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rtisseur" sheetId="1" state="visible" r:id="rId3"/>
    <sheet name="Table 1-8" sheetId="2" state="visible" r:id="rId4"/>
    <sheet name="Table 1-16" sheetId="3" state="visible" r:id="rId5"/>
    <sheet name="Table 1-32" sheetId="4" state="visible" r:id="rId6"/>
    <sheet name="Table 1-6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<sst xmlns="http://schemas.openxmlformats.org/spreadsheetml/2006/main" count="71" uniqueCount="49">
  <si>
    <t xml:space="preserve">Convertisseur de cotes – choix d'outil</t>
  </si>
  <si>
    <t xml:space="preserve">Remplis seulement les cellules jaunes. Tout le reste se calcule tout seul.</t>
  </si>
  <si>
    <t xml:space="preserve">Calculs internes (ne pas modifier)</t>
  </si>
  <si>
    <t xml:space="preserve">Mode de saisie</t>
  </si>
  <si>
    <t xml:space="preserve">Décimal</t>
  </si>
  <si>
    <t xml:space="preserve">Choisis Décimal ou Fraction dans la liste</t>
  </si>
  <si>
    <t xml:space="preserve">Texte fraction</t>
  </si>
  <si>
    <t xml:space="preserve">Cote en décimal</t>
  </si>
  <si>
    <t xml:space="preserve">Utilisée si le mode = Décimal (ex. 0,3125 ou 7,94)</t>
  </si>
  <si>
    <t xml:space="preserve">Position espace</t>
  </si>
  <si>
    <t xml:space="preserve">Cote en fraction</t>
  </si>
  <si>
    <t xml:space="preserve">5/16</t>
  </si>
  <si>
    <t xml:space="preserve">Utilisée si le mode = Fraction (ex. 5/16, 13/64, 1 3/8, 2 11/32)</t>
  </si>
  <si>
    <t xml:space="preserve">Entier</t>
  </si>
  <si>
    <t xml:space="preserve">Unité</t>
  </si>
  <si>
    <t xml:space="preserve">po</t>
  </si>
  <si>
    <t xml:space="preserve">po ou mm</t>
  </si>
  <si>
    <t xml:space="preserve">Partie fraction</t>
  </si>
  <si>
    <t xml:space="preserve">Table (pas des outils)</t>
  </si>
  <si>
    <t xml:space="preserve">1/16</t>
  </si>
  <si>
    <t xml:space="preserve">1/8, 1/16, 1/32 ou 1/64 (1/16 = celle du travail)</t>
  </si>
  <si>
    <t xml:space="preserve">Position /</t>
  </si>
  <si>
    <t xml:space="preserve">Valeur fraction</t>
  </si>
  <si>
    <t xml:space="preserve">Cote à convertir</t>
  </si>
  <si>
    <t xml:space="preserve">Dénominateur table</t>
  </si>
  <si>
    <t xml:space="preserve">Valeur lue</t>
  </si>
  <si>
    <t xml:space="preserve">Valeur saisie</t>
  </si>
  <si>
    <t xml:space="preserve">Cote en pouces</t>
  </si>
  <si>
    <t xml:space="preserve">Crans (arrondi bas)</t>
  </si>
  <si>
    <t xml:space="preserve">Cote en mm</t>
  </si>
  <si>
    <t xml:space="preserve">Rayon (po)</t>
  </si>
  <si>
    <t xml:space="preserve">Rayon (mm)</t>
  </si>
  <si>
    <t xml:space="preserve">Vérification</t>
  </si>
  <si>
    <t xml:space="preserve">Choix</t>
  </si>
  <si>
    <t xml:space="preserve">Fraction (po)</t>
  </si>
  <si>
    <t xml:space="preserve">Décimal (po)</t>
  </si>
  <si>
    <t xml:space="preserve">mm</t>
  </si>
  <si>
    <t xml:space="preserve">Écart vs cote (po)</t>
  </si>
  <si>
    <t xml:space="preserve">Valeur correcte</t>
  </si>
  <si>
    <t xml:space="preserve">1 cran en dessous</t>
  </si>
  <si>
    <t xml:space="preserve">2 crans en dessous</t>
  </si>
  <si>
    <t xml:space="preserve">Notes :</t>
  </si>
  <si>
    <t xml:space="preserve">• Mode Fraction : écris la fraction telle quelle (5/16, 13/64, 1 3/8 avec un espace entre l'entier et la fraction). La cellule est au format texte pour qu'Excel ne la change pas en date.</t>
  </si>
  <si>
    <t xml:space="preserve">• Si la cote n'est pas un multiple du pas choisi, la « valeur correcte » est le cran juste en dessous (l'outil ne dépasse jamais la cote).</t>
  </si>
  <si>
    <t xml:space="preserve">• 1 po = 25,4 mm. Rayon = diamètre ÷ 2. Les onglets « Table 1-8 » à « Table 1-64 » donnent les tables complètes jusqu'à 4 po ; la ligne de la valeur correcte y est surlignée.</t>
  </si>
  <si>
    <t xml:space="preserve">Table 1/8 po (jusqu'à 4 po)</t>
  </si>
  <si>
    <t xml:space="preserve">Table 1/16 po (jusqu'à 4 po)</t>
  </si>
  <si>
    <t xml:space="preserve">Table 1/32 po (jusqu'à 4 po)</t>
  </si>
  <si>
    <t xml:space="preserve">Table 1/64 po (jusqu'à 4 po)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</si>
</sst>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@"/>
    <numFmt numFmtId="167" formatCode="0.000000"/>
    <numFmt numFmtId="168" formatCode="0.000"/>
    <numFmt numFmtId="169" formatCode="0.00000"/>
    <numFmt numFmtId="170" formatCode="# ?/??"/>
    <numFmt numFmtId="171" formatCode="\+0.0000;\-0.000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C953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9531A"/>
      </font>
      <fill>
        <patternFill>
          <bgColor rgb="FFFBE7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7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531A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J3" s="3" t="s">
        <v>2</v>
      </c>
      <c r="K3" s="4"/>
    </row>
    <row r="4" customFormat="false" ht="16.15" hidden="false" customHeight="false" outlineLevel="0" collapsed="false">
      <c r="A4" s="5" t="s">
        <v>3</v>
      </c>
      <c r="B4" s="6" t="s">
        <v>4</v>
      </c>
      <c r="C4" s="2" t="s">
        <v>5</v>
      </c>
      <c r="J4" s="7" t="s">
        <v>6</v>
      </c>
      <c r="K4" s="8" t="str">
        <f aca="false">TRIM(B6)</f>
        <v>5/16</v>
      </c>
    </row>
    <row r="5" customFormat="false" ht="16.15" hidden="false" customHeight="false" outlineLevel="0" collapsed="false">
      <c r="A5" s="5" t="s">
        <v>7</v>
      </c>
      <c r="B5" s="9" t="n">
        <v>0.3125</v>
      </c>
      <c r="C5" s="2" t="s">
        <v>8</v>
      </c>
      <c r="J5" s="7" t="s">
        <v>9</v>
      </c>
      <c r="K5" s="8" t="n">
        <f aca="false">IFERROR(FIND(" ",K4),0)</f>
        <v>0</v>
      </c>
    </row>
    <row r="6" customFormat="false" ht="16.15" hidden="false" customHeight="false" outlineLevel="0" collapsed="false">
      <c r="A6" s="5" t="s">
        <v>10</v>
      </c>
      <c r="B6" s="10" t="s">
        <v>11</v>
      </c>
      <c r="C6" s="2" t="s">
        <v>12</v>
      </c>
      <c r="J6" s="7" t="s">
        <v>13</v>
      </c>
      <c r="K6" s="8" t="n">
        <f aca="false">IF(K5&gt;0,VALUE(LEFT(K4,K5-1)),0)</f>
        <v>0</v>
      </c>
    </row>
    <row r="7" customFormat="false" ht="16.15" hidden="false" customHeight="false" outlineLevel="0" collapsed="false">
      <c r="A7" s="5" t="s">
        <v>14</v>
      </c>
      <c r="B7" s="6" t="s">
        <v>15</v>
      </c>
      <c r="C7" s="2" t="s">
        <v>16</v>
      </c>
      <c r="J7" s="7" t="s">
        <v>17</v>
      </c>
      <c r="K7" s="8" t="str">
        <f aca="false">IF(K5&gt;0,TRIM(MID(K4,K5+1,99)),K4)</f>
        <v>5/16</v>
      </c>
    </row>
    <row r="8" customFormat="false" ht="16.15" hidden="false" customHeight="false" outlineLevel="0" collapsed="false">
      <c r="A8" s="5" t="s">
        <v>18</v>
      </c>
      <c r="B8" s="6" t="s">
        <v>19</v>
      </c>
      <c r="C8" s="2" t="s">
        <v>20</v>
      </c>
      <c r="J8" s="7" t="s">
        <v>21</v>
      </c>
      <c r="K8" s="8" t="n">
        <f aca="false">IFERROR(FIND("/",K7),0)</f>
        <v>2</v>
      </c>
    </row>
    <row r="9" customFormat="false" ht="15" hidden="false" customHeight="false" outlineLevel="0" collapsed="false">
      <c r="J9" s="7" t="s">
        <v>22</v>
      </c>
      <c r="K9" s="11" t="n">
        <f aca="false">IFERROR(IF(K8&gt;0,K6+VALUE(LEFT(K7,K8-1))/VALUE(MID(K7,K8+1,99)),K6+VALUE(K7)),"Erreur")</f>
        <v>0.3125</v>
      </c>
    </row>
    <row r="10" customFormat="false" ht="15" hidden="false" customHeight="false" outlineLevel="0" collapsed="false">
      <c r="A10" s="12" t="s">
        <v>23</v>
      </c>
      <c r="J10" s="7" t="s">
        <v>24</v>
      </c>
      <c r="K10" s="8" t="n">
        <f aca="false">VALUE(MID(B8,3,2))</f>
        <v>16</v>
      </c>
    </row>
    <row r="11" customFormat="false" ht="15" hidden="false" customHeight="false" outlineLevel="0" collapsed="false">
      <c r="A11" s="5" t="s">
        <v>25</v>
      </c>
      <c r="B11" s="13" t="n">
        <f aca="false">IF(ISNUMBER(K11),K11,"Cote invalide – vérifie la saisie")</f>
        <v>0.3125</v>
      </c>
      <c r="J11" s="7" t="s">
        <v>26</v>
      </c>
      <c r="K11" s="11" t="n">
        <f aca="false">IF(B4="Fraction",K9,B5)</f>
        <v>0.3125</v>
      </c>
    </row>
    <row r="12" customFormat="false" ht="15" hidden="false" customHeight="false" outlineLevel="0" collapsed="false">
      <c r="A12" s="5" t="s">
        <v>27</v>
      </c>
      <c r="B12" s="13" t="n">
        <f aca="false">IF(ISNUMBER(K11),IF(B7="mm",K11/25.4,K11),"—")</f>
        <v>0.3125</v>
      </c>
      <c r="J12" s="7" t="s">
        <v>28</v>
      </c>
      <c r="K12" s="8" t="n">
        <f aca="false">IF(ISNUMBER(B16),FLOOR(ROUND(B16*K10,4),1),0)</f>
        <v>5</v>
      </c>
    </row>
    <row r="13" customFormat="false" ht="15" hidden="false" customHeight="false" outlineLevel="0" collapsed="false">
      <c r="A13" s="5" t="s">
        <v>29</v>
      </c>
      <c r="B13" s="14" t="n">
        <f aca="false">IF(ISNUMBER(B12),B12*25.4,"—")</f>
        <v>7.9375</v>
      </c>
    </row>
    <row r="14" customFormat="false" ht="15" hidden="false" customHeight="false" outlineLevel="0" collapsed="false">
      <c r="A14" s="5" t="s">
        <v>30</v>
      </c>
      <c r="B14" s="15" t="n">
        <f aca="false">IF(ISNUMBER(B12),B12/2,"—")</f>
        <v>0.15625</v>
      </c>
    </row>
    <row r="15" customFormat="false" ht="15" hidden="false" customHeight="false" outlineLevel="0" collapsed="false">
      <c r="A15" s="5" t="s">
        <v>31</v>
      </c>
      <c r="B15" s="14" t="n">
        <f aca="false">IF(ISNUMBER(B12),B12*25.4/2,"—")</f>
        <v>3.96875</v>
      </c>
    </row>
    <row r="16" customFormat="false" ht="15" hidden="false" customHeight="false" outlineLevel="0" collapsed="false">
      <c r="B16" s="16" t="n">
        <f aca="false">B12</f>
        <v>0.3125</v>
      </c>
    </row>
    <row r="17" customFormat="false" ht="15" hidden="false" customHeight="false" outlineLevel="0" collapsed="false">
      <c r="A17" s="5" t="s">
        <v>32</v>
      </c>
      <c r="B17" s="17" t="str">
        <f aca="false">IF(NOT(ISNUMBER(B12)),"—",IF(K12&lt;1,"Plus petit que "&amp;B8&amp;" po : aucun outil",IF(ABS(B12*K10-ROUND(B12*K10,0))&lt;0.0001,"Multiple exact de "&amp;B8,"Pas un multiple de "&amp;B8&amp;" : arrondi au "&amp;B8&amp;" en dessous")))</f>
        <v>Multiple exact de 1/16</v>
      </c>
      <c r="C17" s="17"/>
      <c r="D17" s="17"/>
      <c r="E17" s="17"/>
      <c r="F17" s="17"/>
    </row>
    <row r="19" customFormat="false" ht="15" hidden="false" customHeight="false" outlineLevel="0" collapsed="false">
      <c r="A19" s="12" t="str">
        <f aca="false">"Choix d'outil – table "&amp;B8&amp;" po"</f>
        <v>Choix d'outil – table 1/16 po</v>
      </c>
    </row>
    <row r="20" customFormat="false" ht="15" hidden="false" customHeight="false" outlineLevel="0" collapsed="false">
      <c r="A20" s="18" t="s">
        <v>33</v>
      </c>
      <c r="B20" s="18" t="s">
        <v>34</v>
      </c>
      <c r="C20" s="18" t="s">
        <v>35</v>
      </c>
      <c r="D20" s="18" t="s">
        <v>36</v>
      </c>
      <c r="E20" s="18" t="s">
        <v>30</v>
      </c>
      <c r="F20" s="18" t="s">
        <v>31</v>
      </c>
      <c r="G20" s="18" t="s">
        <v>37</v>
      </c>
    </row>
    <row r="21" customFormat="false" ht="16.15" hidden="false" customHeight="false" outlineLevel="0" collapsed="false">
      <c r="A21" s="19" t="s">
        <v>38</v>
      </c>
      <c r="B21" s="20" t="n">
        <f aca="false">IF(C21&lt;=0,"—",C21)</f>
        <v>0.3125</v>
      </c>
      <c r="C21" s="21" t="n">
        <f aca="false">IF(ISNUMBER($B$12),MAX(0,($K$12-0)/$K$10),0)</f>
        <v>0.3125</v>
      </c>
      <c r="D21" s="22" t="n">
        <f aca="false">IF(C21&lt;=0,"—",C21*25.4)</f>
        <v>7.9375</v>
      </c>
      <c r="E21" s="23" t="n">
        <f aca="false">IF(C21&lt;=0,"—",C21/2)</f>
        <v>0.15625</v>
      </c>
      <c r="F21" s="24" t="n">
        <f aca="false">IF(C21&lt;=0,"—",C21*25.4/2)</f>
        <v>3.96875</v>
      </c>
      <c r="G21" s="25" t="n">
        <f aca="false">IF(C21&lt;=0,"—",C21-$B$12)</f>
        <v>0</v>
      </c>
    </row>
    <row r="22" customFormat="false" ht="16.15" hidden="false" customHeight="false" outlineLevel="0" collapsed="false">
      <c r="A22" s="26" t="s">
        <v>39</v>
      </c>
      <c r="B22" s="27" t="n">
        <f aca="false">IF(C22&lt;=0,"—",C22)</f>
        <v>0.25</v>
      </c>
      <c r="C22" s="15" t="n">
        <f aca="false">IF(ISNUMBER($B$12),MAX(0,($K$12-1)/$K$10),0)</f>
        <v>0.25</v>
      </c>
      <c r="D22" s="14" t="n">
        <f aca="false">IF(C22&lt;=0,"—",C22*25.4)</f>
        <v>6.35</v>
      </c>
      <c r="E22" s="28" t="n">
        <f aca="false">IF(C22&lt;=0,"—",C22/2)</f>
        <v>0.125</v>
      </c>
      <c r="F22" s="29" t="n">
        <f aca="false">IF(C22&lt;=0,"—",C22*25.4/2)</f>
        <v>3.175</v>
      </c>
      <c r="G22" s="30" t="n">
        <f aca="false">IF(C22&lt;=0,"—",C22-$B$12)</f>
        <v>-0.0625</v>
      </c>
    </row>
    <row r="23" customFormat="false" ht="16.15" hidden="false" customHeight="false" outlineLevel="0" collapsed="false">
      <c r="A23" s="26" t="s">
        <v>40</v>
      </c>
      <c r="B23" s="27" t="n">
        <f aca="false">IF(C23&lt;=0,"—",C23)</f>
        <v>0.1875</v>
      </c>
      <c r="C23" s="15" t="n">
        <f aca="false">IF(ISNUMBER($B$12),MAX(0,($K$12-2)/$K$10),0)</f>
        <v>0.1875</v>
      </c>
      <c r="D23" s="14" t="n">
        <f aca="false">IF(C23&lt;=0,"—",C23*25.4)</f>
        <v>4.7625</v>
      </c>
      <c r="E23" s="28" t="n">
        <f aca="false">IF(C23&lt;=0,"—",C23/2)</f>
        <v>0.09375</v>
      </c>
      <c r="F23" s="29" t="n">
        <f aca="false">IF(C23&lt;=0,"—",C23*25.4/2)</f>
        <v>2.38125</v>
      </c>
      <c r="G23" s="30" t="n">
        <f aca="false">IF(C23&lt;=0,"—",C23-$B$12)</f>
        <v>-0.125</v>
      </c>
    </row>
    <row r="25" customFormat="false" ht="15" hidden="false" customHeight="false" outlineLevel="0" collapsed="false">
      <c r="A25" s="5" t="s">
        <v>41</v>
      </c>
    </row>
    <row r="26" customFormat="false" ht="15" hidden="false" customHeight="false" outlineLevel="0" collapsed="false">
      <c r="A26" s="31" t="s">
        <v>42</v>
      </c>
    </row>
    <row r="27" customFormat="false" ht="15" hidden="false" customHeight="false" outlineLevel="0" collapsed="false">
      <c r="A27" s="31" t="s">
        <v>43</v>
      </c>
    </row>
    <row r="28" customFormat="false" ht="15" hidden="false" customHeight="false" outlineLevel="0" collapsed="false">
      <c r="A28" s="31" t="s">
        <v>44</v>
      </c>
    </row>
  </sheetData>
  <mergeCells count="1">
    <mergeCell ref="B17:F17"/>
  </mergeCells>
  <dataValidations count="3">
    <dataValidation allowBlank="false" errorStyle="stop" operator="between" showDropDown="false" showErrorMessage="false" showInputMessage="false" sqref="B4" type="list">
      <formula1>"Décimal,Fraction"</formula1>
      <formula2>0</formula2>
    </dataValidation>
    <dataValidation allowBlank="false" errorStyle="stop" operator="between" showDropDown="false" showErrorMessage="false" showInputMessage="false" sqref="B7" type="list">
      <formula1>"po,mm"</formula1>
      <formula2>0</formula2>
    </dataValidation>
    <dataValidation allowBlank="false" errorStyle="stop" operator="between" showDropDown="false" showErrorMessage="false" showInputMessage="false" sqref="B8" type="list">
      <formula1>"1/8,1/16,1/32,1/64"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6.15" hidden="false" customHeight="false" outlineLevel="0" collapsed="false">
      <c r="A1" s="32" t="s">
        <v>45</v>
      </c>
    </row>
    <row r="2" customFormat="false" ht="15" hidden="false" customHeight="false" outlineLevel="0" collapsed="false">
      <c r="A2" s="33" t="s">
        <v>34</v>
      </c>
      <c r="B2" s="33" t="s">
        <v>35</v>
      </c>
      <c r="C2" s="33" t="s">
        <v>36</v>
      </c>
      <c r="D2" s="33" t="s">
        <v>30</v>
      </c>
      <c r="E2" s="33" t="s">
        <v>31</v>
      </c>
    </row>
    <row r="3" customFormat="false" ht="15" hidden="false" customHeight="false" outlineLevel="0" collapsed="false">
      <c r="A3" s="34" t="n">
        <f aca="false">B3</f>
        <v>0.125</v>
      </c>
      <c r="B3" s="15" t="n">
        <f aca="false">1/8</f>
        <v>0.125</v>
      </c>
      <c r="C3" s="14" t="n">
        <f aca="false">B3*25.4</f>
        <v>3.175</v>
      </c>
      <c r="D3" s="35" t="n">
        <f aca="false">B3/2</f>
        <v>0.0625</v>
      </c>
      <c r="E3" s="14" t="n">
        <f aca="false">C3/2</f>
        <v>1.5875</v>
      </c>
    </row>
    <row r="4" customFormat="false" ht="15" hidden="false" customHeight="false" outlineLevel="0" collapsed="false">
      <c r="A4" s="36" t="n">
        <f aca="false">B4</f>
        <v>0.25</v>
      </c>
      <c r="B4" s="37" t="n">
        <f aca="false">2/8</f>
        <v>0.25</v>
      </c>
      <c r="C4" s="38" t="n">
        <f aca="false">B4*25.4</f>
        <v>6.35</v>
      </c>
      <c r="D4" s="39" t="n">
        <f aca="false">B4/2</f>
        <v>0.125</v>
      </c>
      <c r="E4" s="38" t="n">
        <f aca="false">C4/2</f>
        <v>3.175</v>
      </c>
    </row>
    <row r="5" customFormat="false" ht="15" hidden="false" customHeight="false" outlineLevel="0" collapsed="false">
      <c r="A5" s="34" t="n">
        <f aca="false">B5</f>
        <v>0.375</v>
      </c>
      <c r="B5" s="15" t="n">
        <f aca="false">3/8</f>
        <v>0.375</v>
      </c>
      <c r="C5" s="14" t="n">
        <f aca="false">B5*25.4</f>
        <v>9.525</v>
      </c>
      <c r="D5" s="35" t="n">
        <f aca="false">B5/2</f>
        <v>0.1875</v>
      </c>
      <c r="E5" s="14" t="n">
        <f aca="false">C5/2</f>
        <v>4.7625</v>
      </c>
    </row>
    <row r="6" customFormat="false" ht="15" hidden="false" customHeight="false" outlineLevel="0" collapsed="false">
      <c r="A6" s="36" t="n">
        <f aca="false">B6</f>
        <v>0.5</v>
      </c>
      <c r="B6" s="37" t="n">
        <f aca="false">4/8</f>
        <v>0.5</v>
      </c>
      <c r="C6" s="38" t="n">
        <f aca="false">B6*25.4</f>
        <v>12.7</v>
      </c>
      <c r="D6" s="39" t="n">
        <f aca="false">B6/2</f>
        <v>0.25</v>
      </c>
      <c r="E6" s="38" t="n">
        <f aca="false">C6/2</f>
        <v>6.35</v>
      </c>
    </row>
    <row r="7" customFormat="false" ht="15" hidden="false" customHeight="false" outlineLevel="0" collapsed="false">
      <c r="A7" s="34" t="n">
        <f aca="false">B7</f>
        <v>0.625</v>
      </c>
      <c r="B7" s="15" t="n">
        <f aca="false">5/8</f>
        <v>0.625</v>
      </c>
      <c r="C7" s="14" t="n">
        <f aca="false">B7*25.4</f>
        <v>15.875</v>
      </c>
      <c r="D7" s="35" t="n">
        <f aca="false">B7/2</f>
        <v>0.3125</v>
      </c>
      <c r="E7" s="14" t="n">
        <f aca="false">C7/2</f>
        <v>7.9375</v>
      </c>
    </row>
    <row r="8" customFormat="false" ht="15" hidden="false" customHeight="false" outlineLevel="0" collapsed="false">
      <c r="A8" s="36" t="n">
        <f aca="false">B8</f>
        <v>0.75</v>
      </c>
      <c r="B8" s="37" t="n">
        <f aca="false">6/8</f>
        <v>0.75</v>
      </c>
      <c r="C8" s="38" t="n">
        <f aca="false">B8*25.4</f>
        <v>19.05</v>
      </c>
      <c r="D8" s="39" t="n">
        <f aca="false">B8/2</f>
        <v>0.375</v>
      </c>
      <c r="E8" s="38" t="n">
        <f aca="false">C8/2</f>
        <v>9.525</v>
      </c>
    </row>
    <row r="9" customFormat="false" ht="15" hidden="false" customHeight="false" outlineLevel="0" collapsed="false">
      <c r="A9" s="34" t="n">
        <f aca="false">B9</f>
        <v>0.875</v>
      </c>
      <c r="B9" s="15" t="n">
        <f aca="false">7/8</f>
        <v>0.875</v>
      </c>
      <c r="C9" s="14" t="n">
        <f aca="false">B9*25.4</f>
        <v>22.225</v>
      </c>
      <c r="D9" s="35" t="n">
        <f aca="false">B9/2</f>
        <v>0.4375</v>
      </c>
      <c r="E9" s="14" t="n">
        <f aca="false">C9/2</f>
        <v>11.1125</v>
      </c>
    </row>
    <row r="10" customFormat="false" ht="15" hidden="false" customHeight="false" outlineLevel="0" collapsed="false">
      <c r="A10" s="36" t="n">
        <f aca="false">B10</f>
        <v>1</v>
      </c>
      <c r="B10" s="37" t="n">
        <f aca="false">8/8</f>
        <v>1</v>
      </c>
      <c r="C10" s="38" t="n">
        <f aca="false">B10*25.4</f>
        <v>25.4</v>
      </c>
      <c r="D10" s="39" t="n">
        <f aca="false">B10/2</f>
        <v>0.5</v>
      </c>
      <c r="E10" s="38" t="n">
        <f aca="false">C10/2</f>
        <v>12.7</v>
      </c>
    </row>
    <row r="11" customFormat="false" ht="15" hidden="false" customHeight="false" outlineLevel="0" collapsed="false">
      <c r="A11" s="34" t="n">
        <f aca="false">B11</f>
        <v>1.125</v>
      </c>
      <c r="B11" s="15" t="n">
        <f aca="false">9/8</f>
        <v>1.125</v>
      </c>
      <c r="C11" s="14" t="n">
        <f aca="false">B11*25.4</f>
        <v>28.575</v>
      </c>
      <c r="D11" s="35" t="n">
        <f aca="false">B11/2</f>
        <v>0.5625</v>
      </c>
      <c r="E11" s="14" t="n">
        <f aca="false">C11/2</f>
        <v>14.2875</v>
      </c>
    </row>
    <row r="12" customFormat="false" ht="15" hidden="false" customHeight="false" outlineLevel="0" collapsed="false">
      <c r="A12" s="36" t="n">
        <f aca="false">B12</f>
        <v>1.25</v>
      </c>
      <c r="B12" s="37" t="n">
        <f aca="false">10/8</f>
        <v>1.25</v>
      </c>
      <c r="C12" s="38" t="n">
        <f aca="false">B12*25.4</f>
        <v>31.75</v>
      </c>
      <c r="D12" s="39" t="n">
        <f aca="false">B12/2</f>
        <v>0.625</v>
      </c>
      <c r="E12" s="38" t="n">
        <f aca="false">C12/2</f>
        <v>15.875</v>
      </c>
    </row>
    <row r="13" customFormat="false" ht="15" hidden="false" customHeight="false" outlineLevel="0" collapsed="false">
      <c r="A13" s="34" t="n">
        <f aca="false">B13</f>
        <v>1.375</v>
      </c>
      <c r="B13" s="15" t="n">
        <f aca="false">11/8</f>
        <v>1.375</v>
      </c>
      <c r="C13" s="14" t="n">
        <f aca="false">B13*25.4</f>
        <v>34.925</v>
      </c>
      <c r="D13" s="35" t="n">
        <f aca="false">B13/2</f>
        <v>0.6875</v>
      </c>
      <c r="E13" s="14" t="n">
        <f aca="false">C13/2</f>
        <v>17.4625</v>
      </c>
    </row>
    <row r="14" customFormat="false" ht="15" hidden="false" customHeight="false" outlineLevel="0" collapsed="false">
      <c r="A14" s="36" t="n">
        <f aca="false">B14</f>
        <v>1.5</v>
      </c>
      <c r="B14" s="37" t="n">
        <f aca="false">12/8</f>
        <v>1.5</v>
      </c>
      <c r="C14" s="38" t="n">
        <f aca="false">B14*25.4</f>
        <v>38.1</v>
      </c>
      <c r="D14" s="39" t="n">
        <f aca="false">B14/2</f>
        <v>0.75</v>
      </c>
      <c r="E14" s="38" t="n">
        <f aca="false">C14/2</f>
        <v>19.05</v>
      </c>
    </row>
    <row r="15" customFormat="false" ht="15" hidden="false" customHeight="false" outlineLevel="0" collapsed="false">
      <c r="A15" s="34" t="n">
        <f aca="false">B15</f>
        <v>1.625</v>
      </c>
      <c r="B15" s="15" t="n">
        <f aca="false">13/8</f>
        <v>1.625</v>
      </c>
      <c r="C15" s="14" t="n">
        <f aca="false">B15*25.4</f>
        <v>41.275</v>
      </c>
      <c r="D15" s="35" t="n">
        <f aca="false">B15/2</f>
        <v>0.8125</v>
      </c>
      <c r="E15" s="14" t="n">
        <f aca="false">C15/2</f>
        <v>20.6375</v>
      </c>
    </row>
    <row r="16" customFormat="false" ht="15" hidden="false" customHeight="false" outlineLevel="0" collapsed="false">
      <c r="A16" s="36" t="n">
        <f aca="false">B16</f>
        <v>1.75</v>
      </c>
      <c r="B16" s="37" t="n">
        <f aca="false">14/8</f>
        <v>1.75</v>
      </c>
      <c r="C16" s="38" t="n">
        <f aca="false">B16*25.4</f>
        <v>44.45</v>
      </c>
      <c r="D16" s="39" t="n">
        <f aca="false">B16/2</f>
        <v>0.875</v>
      </c>
      <c r="E16" s="38" t="n">
        <f aca="false">C16/2</f>
        <v>22.225</v>
      </c>
    </row>
    <row r="17" customFormat="false" ht="15" hidden="false" customHeight="false" outlineLevel="0" collapsed="false">
      <c r="A17" s="34" t="n">
        <f aca="false">B17</f>
        <v>1.875</v>
      </c>
      <c r="B17" s="15" t="n">
        <f aca="false">15/8</f>
        <v>1.875</v>
      </c>
      <c r="C17" s="14" t="n">
        <f aca="false">B17*25.4</f>
        <v>47.625</v>
      </c>
      <c r="D17" s="35" t="n">
        <f aca="false">B17/2</f>
        <v>0.9375</v>
      </c>
      <c r="E17" s="14" t="n">
        <f aca="false">C17/2</f>
        <v>23.8125</v>
      </c>
    </row>
    <row r="18" customFormat="false" ht="15" hidden="false" customHeight="false" outlineLevel="0" collapsed="false">
      <c r="A18" s="36" t="n">
        <f aca="false">B18</f>
        <v>2</v>
      </c>
      <c r="B18" s="37" t="n">
        <f aca="false">16/8</f>
        <v>2</v>
      </c>
      <c r="C18" s="38" t="n">
        <f aca="false">B18*25.4</f>
        <v>50.8</v>
      </c>
      <c r="D18" s="39" t="n">
        <f aca="false">B18/2</f>
        <v>1</v>
      </c>
      <c r="E18" s="38" t="n">
        <f aca="false">C18/2</f>
        <v>25.4</v>
      </c>
    </row>
    <row r="19" customFormat="false" ht="15" hidden="false" customHeight="false" outlineLevel="0" collapsed="false">
      <c r="A19" s="34" t="n">
        <f aca="false">B19</f>
        <v>2.125</v>
      </c>
      <c r="B19" s="15" t="n">
        <f aca="false">17/8</f>
        <v>2.125</v>
      </c>
      <c r="C19" s="14" t="n">
        <f aca="false">B19*25.4</f>
        <v>53.975</v>
      </c>
      <c r="D19" s="35" t="n">
        <f aca="false">B19/2</f>
        <v>1.0625</v>
      </c>
      <c r="E19" s="14" t="n">
        <f aca="false">C19/2</f>
        <v>26.9875</v>
      </c>
    </row>
    <row r="20" customFormat="false" ht="15" hidden="false" customHeight="false" outlineLevel="0" collapsed="false">
      <c r="A20" s="36" t="n">
        <f aca="false">B20</f>
        <v>2.25</v>
      </c>
      <c r="B20" s="37" t="n">
        <f aca="false">18/8</f>
        <v>2.25</v>
      </c>
      <c r="C20" s="38" t="n">
        <f aca="false">B20*25.4</f>
        <v>57.15</v>
      </c>
      <c r="D20" s="39" t="n">
        <f aca="false">B20/2</f>
        <v>1.125</v>
      </c>
      <c r="E20" s="38" t="n">
        <f aca="false">C20/2</f>
        <v>28.575</v>
      </c>
    </row>
    <row r="21" customFormat="false" ht="15" hidden="false" customHeight="false" outlineLevel="0" collapsed="false">
      <c r="A21" s="34" t="n">
        <f aca="false">B21</f>
        <v>2.375</v>
      </c>
      <c r="B21" s="15" t="n">
        <f aca="false">19/8</f>
        <v>2.375</v>
      </c>
      <c r="C21" s="14" t="n">
        <f aca="false">B21*25.4</f>
        <v>60.325</v>
      </c>
      <c r="D21" s="35" t="n">
        <f aca="false">B21/2</f>
        <v>1.1875</v>
      </c>
      <c r="E21" s="14" t="n">
        <f aca="false">C21/2</f>
        <v>30.1625</v>
      </c>
    </row>
    <row r="22" customFormat="false" ht="15" hidden="false" customHeight="false" outlineLevel="0" collapsed="false">
      <c r="A22" s="36" t="n">
        <f aca="false">B22</f>
        <v>2.5</v>
      </c>
      <c r="B22" s="37" t="n">
        <f aca="false">20/8</f>
        <v>2.5</v>
      </c>
      <c r="C22" s="38" t="n">
        <f aca="false">B22*25.4</f>
        <v>63.5</v>
      </c>
      <c r="D22" s="39" t="n">
        <f aca="false">B22/2</f>
        <v>1.25</v>
      </c>
      <c r="E22" s="38" t="n">
        <f aca="false">C22/2</f>
        <v>31.75</v>
      </c>
    </row>
    <row r="23" customFormat="false" ht="15" hidden="false" customHeight="false" outlineLevel="0" collapsed="false">
      <c r="A23" s="34" t="n">
        <f aca="false">B23</f>
        <v>2.625</v>
      </c>
      <c r="B23" s="15" t="n">
        <f aca="false">21/8</f>
        <v>2.625</v>
      </c>
      <c r="C23" s="14" t="n">
        <f aca="false">B23*25.4</f>
        <v>66.675</v>
      </c>
      <c r="D23" s="35" t="n">
        <f aca="false">B23/2</f>
        <v>1.3125</v>
      </c>
      <c r="E23" s="14" t="n">
        <f aca="false">C23/2</f>
        <v>33.3375</v>
      </c>
    </row>
    <row r="24" customFormat="false" ht="15" hidden="false" customHeight="false" outlineLevel="0" collapsed="false">
      <c r="A24" s="36" t="n">
        <f aca="false">B24</f>
        <v>2.75</v>
      </c>
      <c r="B24" s="37" t="n">
        <f aca="false">22/8</f>
        <v>2.75</v>
      </c>
      <c r="C24" s="38" t="n">
        <f aca="false">B24*25.4</f>
        <v>69.85</v>
      </c>
      <c r="D24" s="39" t="n">
        <f aca="false">B24/2</f>
        <v>1.375</v>
      </c>
      <c r="E24" s="38" t="n">
        <f aca="false">C24/2</f>
        <v>34.925</v>
      </c>
    </row>
    <row r="25" customFormat="false" ht="15" hidden="false" customHeight="false" outlineLevel="0" collapsed="false">
      <c r="A25" s="34" t="n">
        <f aca="false">B25</f>
        <v>2.875</v>
      </c>
      <c r="B25" s="15" t="n">
        <f aca="false">23/8</f>
        <v>2.875</v>
      </c>
      <c r="C25" s="14" t="n">
        <f aca="false">B25*25.4</f>
        <v>73.025</v>
      </c>
      <c r="D25" s="35" t="n">
        <f aca="false">B25/2</f>
        <v>1.4375</v>
      </c>
      <c r="E25" s="14" t="n">
        <f aca="false">C25/2</f>
        <v>36.5125</v>
      </c>
    </row>
    <row r="26" customFormat="false" ht="15" hidden="false" customHeight="false" outlineLevel="0" collapsed="false">
      <c r="A26" s="36" t="n">
        <f aca="false">B26</f>
        <v>3</v>
      </c>
      <c r="B26" s="37" t="n">
        <f aca="false">24/8</f>
        <v>3</v>
      </c>
      <c r="C26" s="38" t="n">
        <f aca="false">B26*25.4</f>
        <v>76.2</v>
      </c>
      <c r="D26" s="39" t="n">
        <f aca="false">B26/2</f>
        <v>1.5</v>
      </c>
      <c r="E26" s="38" t="n">
        <f aca="false">C26/2</f>
        <v>38.1</v>
      </c>
    </row>
    <row r="27" customFormat="false" ht="15" hidden="false" customHeight="false" outlineLevel="0" collapsed="false">
      <c r="A27" s="34" t="n">
        <f aca="false">B27</f>
        <v>3.125</v>
      </c>
      <c r="B27" s="15" t="n">
        <f aca="false">25/8</f>
        <v>3.125</v>
      </c>
      <c r="C27" s="14" t="n">
        <f aca="false">B27*25.4</f>
        <v>79.375</v>
      </c>
      <c r="D27" s="35" t="n">
        <f aca="false">B27/2</f>
        <v>1.5625</v>
      </c>
      <c r="E27" s="14" t="n">
        <f aca="false">C27/2</f>
        <v>39.6875</v>
      </c>
    </row>
    <row r="28" customFormat="false" ht="15" hidden="false" customHeight="false" outlineLevel="0" collapsed="false">
      <c r="A28" s="36" t="n">
        <f aca="false">B28</f>
        <v>3.25</v>
      </c>
      <c r="B28" s="37" t="n">
        <f aca="false">26/8</f>
        <v>3.25</v>
      </c>
      <c r="C28" s="38" t="n">
        <f aca="false">B28*25.4</f>
        <v>82.55</v>
      </c>
      <c r="D28" s="39" t="n">
        <f aca="false">B28/2</f>
        <v>1.625</v>
      </c>
      <c r="E28" s="38" t="n">
        <f aca="false">C28/2</f>
        <v>41.275</v>
      </c>
    </row>
    <row r="29" customFormat="false" ht="15" hidden="false" customHeight="false" outlineLevel="0" collapsed="false">
      <c r="A29" s="34" t="n">
        <f aca="false">B29</f>
        <v>3.375</v>
      </c>
      <c r="B29" s="15" t="n">
        <f aca="false">27/8</f>
        <v>3.375</v>
      </c>
      <c r="C29" s="14" t="n">
        <f aca="false">B29*25.4</f>
        <v>85.725</v>
      </c>
      <c r="D29" s="35" t="n">
        <f aca="false">B29/2</f>
        <v>1.6875</v>
      </c>
      <c r="E29" s="14" t="n">
        <f aca="false">C29/2</f>
        <v>42.8625</v>
      </c>
    </row>
    <row r="30" customFormat="false" ht="15" hidden="false" customHeight="false" outlineLevel="0" collapsed="false">
      <c r="A30" s="36" t="n">
        <f aca="false">B30</f>
        <v>3.5</v>
      </c>
      <c r="B30" s="37" t="n">
        <f aca="false">28/8</f>
        <v>3.5</v>
      </c>
      <c r="C30" s="38" t="n">
        <f aca="false">B30*25.4</f>
        <v>88.9</v>
      </c>
      <c r="D30" s="39" t="n">
        <f aca="false">B30/2</f>
        <v>1.75</v>
      </c>
      <c r="E30" s="38" t="n">
        <f aca="false">C30/2</f>
        <v>44.45</v>
      </c>
    </row>
    <row r="31" customFormat="false" ht="15" hidden="false" customHeight="false" outlineLevel="0" collapsed="false">
      <c r="A31" s="34" t="n">
        <f aca="false">B31</f>
        <v>3.625</v>
      </c>
      <c r="B31" s="15" t="n">
        <f aca="false">29/8</f>
        <v>3.625</v>
      </c>
      <c r="C31" s="14" t="n">
        <f aca="false">B31*25.4</f>
        <v>92.075</v>
      </c>
      <c r="D31" s="35" t="n">
        <f aca="false">B31/2</f>
        <v>1.8125</v>
      </c>
      <c r="E31" s="14" t="n">
        <f aca="false">C31/2</f>
        <v>46.0375</v>
      </c>
    </row>
    <row r="32" customFormat="false" ht="15" hidden="false" customHeight="false" outlineLevel="0" collapsed="false">
      <c r="A32" s="36" t="n">
        <f aca="false">B32</f>
        <v>3.75</v>
      </c>
      <c r="B32" s="37" t="n">
        <f aca="false">30/8</f>
        <v>3.75</v>
      </c>
      <c r="C32" s="38" t="n">
        <f aca="false">B32*25.4</f>
        <v>95.25</v>
      </c>
      <c r="D32" s="39" t="n">
        <f aca="false">B32/2</f>
        <v>1.875</v>
      </c>
      <c r="E32" s="38" t="n">
        <f aca="false">C32/2</f>
        <v>47.625</v>
      </c>
    </row>
    <row r="33" customFormat="false" ht="15" hidden="false" customHeight="false" outlineLevel="0" collapsed="false">
      <c r="A33" s="34" t="n">
        <f aca="false">B33</f>
        <v>3.875</v>
      </c>
      <c r="B33" s="15" t="n">
        <f aca="false">31/8</f>
        <v>3.875</v>
      </c>
      <c r="C33" s="14" t="n">
        <f aca="false">B33*25.4</f>
        <v>98.425</v>
      </c>
      <c r="D33" s="35" t="n">
        <f aca="false">B33/2</f>
        <v>1.9375</v>
      </c>
      <c r="E33" s="14" t="n">
        <f aca="false">C33/2</f>
        <v>49.2125</v>
      </c>
    </row>
    <row r="34" customFormat="false" ht="15" hidden="false" customHeight="false" outlineLevel="0" collapsed="false">
      <c r="A34" s="36" t="n">
        <f aca="false">B34</f>
        <v>4</v>
      </c>
      <c r="B34" s="37" t="n">
        <f aca="false">32/8</f>
        <v>4</v>
      </c>
      <c r="C34" s="38" t="n">
        <f aca="false">B34*25.4</f>
        <v>101.6</v>
      </c>
      <c r="D34" s="39" t="n">
        <f aca="false">B34/2</f>
        <v>2</v>
      </c>
      <c r="E34" s="38" t="n">
        <f aca="false">C34/2</f>
        <v>50.8</v>
      </c>
    </row>
  </sheetData>
  <conditionalFormatting sqref="A3:E34">
    <cfRule type="expression" priority="2" aboveAverage="0" equalAverage="0" bottom="0" percent="0" rank="0" text="" dxfId="0">
      <formula>AND(Convertisseur!$K$10=8,ABS($B3-Convertisseur!$C$21)&lt;0.000001)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6.15" hidden="false" customHeight="false" outlineLevel="0" collapsed="false">
      <c r="A1" s="32" t="s">
        <v>46</v>
      </c>
    </row>
    <row r="2" customFormat="false" ht="15" hidden="false" customHeight="false" outlineLevel="0" collapsed="false">
      <c r="A2" s="33" t="s">
        <v>34</v>
      </c>
      <c r="B2" s="33" t="s">
        <v>35</v>
      </c>
      <c r="C2" s="33" t="s">
        <v>36</v>
      </c>
      <c r="D2" s="33" t="s">
        <v>30</v>
      </c>
      <c r="E2" s="33" t="s">
        <v>31</v>
      </c>
    </row>
    <row r="3" customFormat="false" ht="15" hidden="false" customHeight="false" outlineLevel="0" collapsed="false">
      <c r="A3" s="34" t="n">
        <f aca="false">B3</f>
        <v>0.0625</v>
      </c>
      <c r="B3" s="15" t="n">
        <f aca="false">1/16</f>
        <v>0.0625</v>
      </c>
      <c r="C3" s="14" t="n">
        <f aca="false">B3*25.4</f>
        <v>1.5875</v>
      </c>
      <c r="D3" s="35" t="n">
        <f aca="false">B3/2</f>
        <v>0.03125</v>
      </c>
      <c r="E3" s="14" t="n">
        <f aca="false">C3/2</f>
        <v>0.79375</v>
      </c>
    </row>
    <row r="4" customFormat="false" ht="15" hidden="false" customHeight="false" outlineLevel="0" collapsed="false">
      <c r="A4" s="36" t="n">
        <f aca="false">B4</f>
        <v>0.125</v>
      </c>
      <c r="B4" s="37" t="n">
        <f aca="false">2/16</f>
        <v>0.125</v>
      </c>
      <c r="C4" s="38" t="n">
        <f aca="false">B4*25.4</f>
        <v>3.175</v>
      </c>
      <c r="D4" s="39" t="n">
        <f aca="false">B4/2</f>
        <v>0.0625</v>
      </c>
      <c r="E4" s="38" t="n">
        <f aca="false">C4/2</f>
        <v>1.5875</v>
      </c>
    </row>
    <row r="5" customFormat="false" ht="15" hidden="false" customHeight="false" outlineLevel="0" collapsed="false">
      <c r="A5" s="34" t="n">
        <f aca="false">B5</f>
        <v>0.1875</v>
      </c>
      <c r="B5" s="15" t="n">
        <f aca="false">3/16</f>
        <v>0.1875</v>
      </c>
      <c r="C5" s="14" t="n">
        <f aca="false">B5*25.4</f>
        <v>4.7625</v>
      </c>
      <c r="D5" s="35" t="n">
        <f aca="false">B5/2</f>
        <v>0.09375</v>
      </c>
      <c r="E5" s="14" t="n">
        <f aca="false">C5/2</f>
        <v>2.38125</v>
      </c>
    </row>
    <row r="6" customFormat="false" ht="15" hidden="false" customHeight="false" outlineLevel="0" collapsed="false">
      <c r="A6" s="36" t="n">
        <f aca="false">B6</f>
        <v>0.25</v>
      </c>
      <c r="B6" s="37" t="n">
        <f aca="false">4/16</f>
        <v>0.25</v>
      </c>
      <c r="C6" s="38" t="n">
        <f aca="false">B6*25.4</f>
        <v>6.35</v>
      </c>
      <c r="D6" s="39" t="n">
        <f aca="false">B6/2</f>
        <v>0.125</v>
      </c>
      <c r="E6" s="38" t="n">
        <f aca="false">C6/2</f>
        <v>3.175</v>
      </c>
    </row>
    <row r="7" customFormat="false" ht="15" hidden="false" customHeight="false" outlineLevel="0" collapsed="false">
      <c r="A7" s="34" t="n">
        <f aca="false">B7</f>
        <v>0.3125</v>
      </c>
      <c r="B7" s="15" t="n">
        <f aca="false">5/16</f>
        <v>0.3125</v>
      </c>
      <c r="C7" s="14" t="n">
        <f aca="false">B7*25.4</f>
        <v>7.9375</v>
      </c>
      <c r="D7" s="35" t="n">
        <f aca="false">B7/2</f>
        <v>0.15625</v>
      </c>
      <c r="E7" s="14" t="n">
        <f aca="false">C7/2</f>
        <v>3.96875</v>
      </c>
    </row>
    <row r="8" customFormat="false" ht="15" hidden="false" customHeight="false" outlineLevel="0" collapsed="false">
      <c r="A8" s="36" t="n">
        <f aca="false">B8</f>
        <v>0.375</v>
      </c>
      <c r="B8" s="37" t="n">
        <f aca="false">6/16</f>
        <v>0.375</v>
      </c>
      <c r="C8" s="38" t="n">
        <f aca="false">B8*25.4</f>
        <v>9.525</v>
      </c>
      <c r="D8" s="39" t="n">
        <f aca="false">B8/2</f>
        <v>0.1875</v>
      </c>
      <c r="E8" s="38" t="n">
        <f aca="false">C8/2</f>
        <v>4.7625</v>
      </c>
    </row>
    <row r="9" customFormat="false" ht="15" hidden="false" customHeight="false" outlineLevel="0" collapsed="false">
      <c r="A9" s="34" t="n">
        <f aca="false">B9</f>
        <v>0.4375</v>
      </c>
      <c r="B9" s="15" t="n">
        <f aca="false">7/16</f>
        <v>0.4375</v>
      </c>
      <c r="C9" s="14" t="n">
        <f aca="false">B9*25.4</f>
        <v>11.1125</v>
      </c>
      <c r="D9" s="35" t="n">
        <f aca="false">B9/2</f>
        <v>0.21875</v>
      </c>
      <c r="E9" s="14" t="n">
        <f aca="false">C9/2</f>
        <v>5.55625</v>
      </c>
    </row>
    <row r="10" customFormat="false" ht="15" hidden="false" customHeight="false" outlineLevel="0" collapsed="false">
      <c r="A10" s="36" t="n">
        <f aca="false">B10</f>
        <v>0.5</v>
      </c>
      <c r="B10" s="37" t="n">
        <f aca="false">8/16</f>
        <v>0.5</v>
      </c>
      <c r="C10" s="38" t="n">
        <f aca="false">B10*25.4</f>
        <v>12.7</v>
      </c>
      <c r="D10" s="39" t="n">
        <f aca="false">B10/2</f>
        <v>0.25</v>
      </c>
      <c r="E10" s="38" t="n">
        <f aca="false">C10/2</f>
        <v>6.35</v>
      </c>
    </row>
    <row r="11" customFormat="false" ht="15" hidden="false" customHeight="false" outlineLevel="0" collapsed="false">
      <c r="A11" s="34" t="n">
        <f aca="false">B11</f>
        <v>0.5625</v>
      </c>
      <c r="B11" s="15" t="n">
        <f aca="false">9/16</f>
        <v>0.5625</v>
      </c>
      <c r="C11" s="14" t="n">
        <f aca="false">B11*25.4</f>
        <v>14.2875</v>
      </c>
      <c r="D11" s="35" t="n">
        <f aca="false">B11/2</f>
        <v>0.28125</v>
      </c>
      <c r="E11" s="14" t="n">
        <f aca="false">C11/2</f>
        <v>7.14375</v>
      </c>
    </row>
    <row r="12" customFormat="false" ht="15" hidden="false" customHeight="false" outlineLevel="0" collapsed="false">
      <c r="A12" s="36" t="n">
        <f aca="false">B12</f>
        <v>0.625</v>
      </c>
      <c r="B12" s="37" t="n">
        <f aca="false">10/16</f>
        <v>0.625</v>
      </c>
      <c r="C12" s="38" t="n">
        <f aca="false">B12*25.4</f>
        <v>15.875</v>
      </c>
      <c r="D12" s="39" t="n">
        <f aca="false">B12/2</f>
        <v>0.3125</v>
      </c>
      <c r="E12" s="38" t="n">
        <f aca="false">C12/2</f>
        <v>7.9375</v>
      </c>
    </row>
    <row r="13" customFormat="false" ht="15" hidden="false" customHeight="false" outlineLevel="0" collapsed="false">
      <c r="A13" s="34" t="n">
        <f aca="false">B13</f>
        <v>0.6875</v>
      </c>
      <c r="B13" s="15" t="n">
        <f aca="false">11/16</f>
        <v>0.6875</v>
      </c>
      <c r="C13" s="14" t="n">
        <f aca="false">B13*25.4</f>
        <v>17.4625</v>
      </c>
      <c r="D13" s="35" t="n">
        <f aca="false">B13/2</f>
        <v>0.34375</v>
      </c>
      <c r="E13" s="14" t="n">
        <f aca="false">C13/2</f>
        <v>8.73125</v>
      </c>
    </row>
    <row r="14" customFormat="false" ht="15" hidden="false" customHeight="false" outlineLevel="0" collapsed="false">
      <c r="A14" s="36" t="n">
        <f aca="false">B14</f>
        <v>0.75</v>
      </c>
      <c r="B14" s="37" t="n">
        <f aca="false">12/16</f>
        <v>0.75</v>
      </c>
      <c r="C14" s="38" t="n">
        <f aca="false">B14*25.4</f>
        <v>19.05</v>
      </c>
      <c r="D14" s="39" t="n">
        <f aca="false">B14/2</f>
        <v>0.375</v>
      </c>
      <c r="E14" s="38" t="n">
        <f aca="false">C14/2</f>
        <v>9.525</v>
      </c>
    </row>
    <row r="15" customFormat="false" ht="15" hidden="false" customHeight="false" outlineLevel="0" collapsed="false">
      <c r="A15" s="34" t="n">
        <f aca="false">B15</f>
        <v>0.8125</v>
      </c>
      <c r="B15" s="15" t="n">
        <f aca="false">13/16</f>
        <v>0.8125</v>
      </c>
      <c r="C15" s="14" t="n">
        <f aca="false">B15*25.4</f>
        <v>20.6375</v>
      </c>
      <c r="D15" s="35" t="n">
        <f aca="false">B15/2</f>
        <v>0.40625</v>
      </c>
      <c r="E15" s="14" t="n">
        <f aca="false">C15/2</f>
        <v>10.31875</v>
      </c>
    </row>
    <row r="16" customFormat="false" ht="15" hidden="false" customHeight="false" outlineLevel="0" collapsed="false">
      <c r="A16" s="36" t="n">
        <f aca="false">B16</f>
        <v>0.875</v>
      </c>
      <c r="B16" s="37" t="n">
        <f aca="false">14/16</f>
        <v>0.875</v>
      </c>
      <c r="C16" s="38" t="n">
        <f aca="false">B16*25.4</f>
        <v>22.225</v>
      </c>
      <c r="D16" s="39" t="n">
        <f aca="false">B16/2</f>
        <v>0.4375</v>
      </c>
      <c r="E16" s="38" t="n">
        <f aca="false">C16/2</f>
        <v>11.1125</v>
      </c>
    </row>
    <row r="17" customFormat="false" ht="15" hidden="false" customHeight="false" outlineLevel="0" collapsed="false">
      <c r="A17" s="34" t="n">
        <f aca="false">B17</f>
        <v>0.9375</v>
      </c>
      <c r="B17" s="15" t="n">
        <f aca="false">15/16</f>
        <v>0.9375</v>
      </c>
      <c r="C17" s="14" t="n">
        <f aca="false">B17*25.4</f>
        <v>23.8125</v>
      </c>
      <c r="D17" s="35" t="n">
        <f aca="false">B17/2</f>
        <v>0.46875</v>
      </c>
      <c r="E17" s="14" t="n">
        <f aca="false">C17/2</f>
        <v>11.90625</v>
      </c>
    </row>
    <row r="18" customFormat="false" ht="15" hidden="false" customHeight="false" outlineLevel="0" collapsed="false">
      <c r="A18" s="36" t="n">
        <f aca="false">B18</f>
        <v>1</v>
      </c>
      <c r="B18" s="37" t="n">
        <f aca="false">16/16</f>
        <v>1</v>
      </c>
      <c r="C18" s="38" t="n">
        <f aca="false">B18*25.4</f>
        <v>25.4</v>
      </c>
      <c r="D18" s="39" t="n">
        <f aca="false">B18/2</f>
        <v>0.5</v>
      </c>
      <c r="E18" s="38" t="n">
        <f aca="false">C18/2</f>
        <v>12.7</v>
      </c>
    </row>
    <row r="19" customFormat="false" ht="15" hidden="false" customHeight="false" outlineLevel="0" collapsed="false">
      <c r="A19" s="34" t="n">
        <f aca="false">B19</f>
        <v>1.0625</v>
      </c>
      <c r="B19" s="15" t="n">
        <f aca="false">17/16</f>
        <v>1.0625</v>
      </c>
      <c r="C19" s="14" t="n">
        <f aca="false">B19*25.4</f>
        <v>26.9875</v>
      </c>
      <c r="D19" s="35" t="n">
        <f aca="false">B19/2</f>
        <v>0.53125</v>
      </c>
      <c r="E19" s="14" t="n">
        <f aca="false">C19/2</f>
        <v>13.49375</v>
      </c>
    </row>
    <row r="20" customFormat="false" ht="15" hidden="false" customHeight="false" outlineLevel="0" collapsed="false">
      <c r="A20" s="36" t="n">
        <f aca="false">B20</f>
        <v>1.125</v>
      </c>
      <c r="B20" s="37" t="n">
        <f aca="false">18/16</f>
        <v>1.125</v>
      </c>
      <c r="C20" s="38" t="n">
        <f aca="false">B20*25.4</f>
        <v>28.575</v>
      </c>
      <c r="D20" s="39" t="n">
        <f aca="false">B20/2</f>
        <v>0.5625</v>
      </c>
      <c r="E20" s="38" t="n">
        <f aca="false">C20/2</f>
        <v>14.2875</v>
      </c>
    </row>
    <row r="21" customFormat="false" ht="15" hidden="false" customHeight="false" outlineLevel="0" collapsed="false">
      <c r="A21" s="34" t="n">
        <f aca="false">B21</f>
        <v>1.1875</v>
      </c>
      <c r="B21" s="15" t="n">
        <f aca="false">19/16</f>
        <v>1.1875</v>
      </c>
      <c r="C21" s="14" t="n">
        <f aca="false">B21*25.4</f>
        <v>30.1625</v>
      </c>
      <c r="D21" s="35" t="n">
        <f aca="false">B21/2</f>
        <v>0.59375</v>
      </c>
      <c r="E21" s="14" t="n">
        <f aca="false">C21/2</f>
        <v>15.08125</v>
      </c>
    </row>
    <row r="22" customFormat="false" ht="15" hidden="false" customHeight="false" outlineLevel="0" collapsed="false">
      <c r="A22" s="36" t="n">
        <f aca="false">B22</f>
        <v>1.25</v>
      </c>
      <c r="B22" s="37" t="n">
        <f aca="false">20/16</f>
        <v>1.25</v>
      </c>
      <c r="C22" s="38" t="n">
        <f aca="false">B22*25.4</f>
        <v>31.75</v>
      </c>
      <c r="D22" s="39" t="n">
        <f aca="false">B22/2</f>
        <v>0.625</v>
      </c>
      <c r="E22" s="38" t="n">
        <f aca="false">C22/2</f>
        <v>15.875</v>
      </c>
    </row>
    <row r="23" customFormat="false" ht="15" hidden="false" customHeight="false" outlineLevel="0" collapsed="false">
      <c r="A23" s="34" t="n">
        <f aca="false">B23</f>
        <v>1.3125</v>
      </c>
      <c r="B23" s="15" t="n">
        <f aca="false">21/16</f>
        <v>1.3125</v>
      </c>
      <c r="C23" s="14" t="n">
        <f aca="false">B23*25.4</f>
        <v>33.3375</v>
      </c>
      <c r="D23" s="35" t="n">
        <f aca="false">B23/2</f>
        <v>0.65625</v>
      </c>
      <c r="E23" s="14" t="n">
        <f aca="false">C23/2</f>
        <v>16.66875</v>
      </c>
    </row>
    <row r="24" customFormat="false" ht="15" hidden="false" customHeight="false" outlineLevel="0" collapsed="false">
      <c r="A24" s="36" t="n">
        <f aca="false">B24</f>
        <v>1.375</v>
      </c>
      <c r="B24" s="37" t="n">
        <f aca="false">22/16</f>
        <v>1.375</v>
      </c>
      <c r="C24" s="38" t="n">
        <f aca="false">B24*25.4</f>
        <v>34.925</v>
      </c>
      <c r="D24" s="39" t="n">
        <f aca="false">B24/2</f>
        <v>0.6875</v>
      </c>
      <c r="E24" s="38" t="n">
        <f aca="false">C24/2</f>
        <v>17.4625</v>
      </c>
    </row>
    <row r="25" customFormat="false" ht="15" hidden="false" customHeight="false" outlineLevel="0" collapsed="false">
      <c r="A25" s="34" t="n">
        <f aca="false">B25</f>
        <v>1.4375</v>
      </c>
      <c r="B25" s="15" t="n">
        <f aca="false">23/16</f>
        <v>1.4375</v>
      </c>
      <c r="C25" s="14" t="n">
        <f aca="false">B25*25.4</f>
        <v>36.5125</v>
      </c>
      <c r="D25" s="35" t="n">
        <f aca="false">B25/2</f>
        <v>0.71875</v>
      </c>
      <c r="E25" s="14" t="n">
        <f aca="false">C25/2</f>
        <v>18.25625</v>
      </c>
    </row>
    <row r="26" customFormat="false" ht="15" hidden="false" customHeight="false" outlineLevel="0" collapsed="false">
      <c r="A26" s="36" t="n">
        <f aca="false">B26</f>
        <v>1.5</v>
      </c>
      <c r="B26" s="37" t="n">
        <f aca="false">24/16</f>
        <v>1.5</v>
      </c>
      <c r="C26" s="38" t="n">
        <f aca="false">B26*25.4</f>
        <v>38.1</v>
      </c>
      <c r="D26" s="39" t="n">
        <f aca="false">B26/2</f>
        <v>0.75</v>
      </c>
      <c r="E26" s="38" t="n">
        <f aca="false">C26/2</f>
        <v>19.05</v>
      </c>
    </row>
    <row r="27" customFormat="false" ht="15" hidden="false" customHeight="false" outlineLevel="0" collapsed="false">
      <c r="A27" s="34" t="n">
        <f aca="false">B27</f>
        <v>1.5625</v>
      </c>
      <c r="B27" s="15" t="n">
        <f aca="false">25/16</f>
        <v>1.5625</v>
      </c>
      <c r="C27" s="14" t="n">
        <f aca="false">B27*25.4</f>
        <v>39.6875</v>
      </c>
      <c r="D27" s="35" t="n">
        <f aca="false">B27/2</f>
        <v>0.78125</v>
      </c>
      <c r="E27" s="14" t="n">
        <f aca="false">C27/2</f>
        <v>19.84375</v>
      </c>
    </row>
    <row r="28" customFormat="false" ht="15" hidden="false" customHeight="false" outlineLevel="0" collapsed="false">
      <c r="A28" s="36" t="n">
        <f aca="false">B28</f>
        <v>1.625</v>
      </c>
      <c r="B28" s="37" t="n">
        <f aca="false">26/16</f>
        <v>1.625</v>
      </c>
      <c r="C28" s="38" t="n">
        <f aca="false">B28*25.4</f>
        <v>41.275</v>
      </c>
      <c r="D28" s="39" t="n">
        <f aca="false">B28/2</f>
        <v>0.8125</v>
      </c>
      <c r="E28" s="38" t="n">
        <f aca="false">C28/2</f>
        <v>20.6375</v>
      </c>
    </row>
    <row r="29" customFormat="false" ht="15" hidden="false" customHeight="false" outlineLevel="0" collapsed="false">
      <c r="A29" s="34" t="n">
        <f aca="false">B29</f>
        <v>1.6875</v>
      </c>
      <c r="B29" s="15" t="n">
        <f aca="false">27/16</f>
        <v>1.6875</v>
      </c>
      <c r="C29" s="14" t="n">
        <f aca="false">B29*25.4</f>
        <v>42.8625</v>
      </c>
      <c r="D29" s="35" t="n">
        <f aca="false">B29/2</f>
        <v>0.84375</v>
      </c>
      <c r="E29" s="14" t="n">
        <f aca="false">C29/2</f>
        <v>21.43125</v>
      </c>
    </row>
    <row r="30" customFormat="false" ht="15" hidden="false" customHeight="false" outlineLevel="0" collapsed="false">
      <c r="A30" s="36" t="n">
        <f aca="false">B30</f>
        <v>1.75</v>
      </c>
      <c r="B30" s="37" t="n">
        <f aca="false">28/16</f>
        <v>1.75</v>
      </c>
      <c r="C30" s="38" t="n">
        <f aca="false">B30*25.4</f>
        <v>44.45</v>
      </c>
      <c r="D30" s="39" t="n">
        <f aca="false">B30/2</f>
        <v>0.875</v>
      </c>
      <c r="E30" s="38" t="n">
        <f aca="false">C30/2</f>
        <v>22.225</v>
      </c>
    </row>
    <row r="31" customFormat="false" ht="15" hidden="false" customHeight="false" outlineLevel="0" collapsed="false">
      <c r="A31" s="34" t="n">
        <f aca="false">B31</f>
        <v>1.8125</v>
      </c>
      <c r="B31" s="15" t="n">
        <f aca="false">29/16</f>
        <v>1.8125</v>
      </c>
      <c r="C31" s="14" t="n">
        <f aca="false">B31*25.4</f>
        <v>46.0375</v>
      </c>
      <c r="D31" s="35" t="n">
        <f aca="false">B31/2</f>
        <v>0.90625</v>
      </c>
      <c r="E31" s="14" t="n">
        <f aca="false">C31/2</f>
        <v>23.01875</v>
      </c>
    </row>
    <row r="32" customFormat="false" ht="15" hidden="false" customHeight="false" outlineLevel="0" collapsed="false">
      <c r="A32" s="36" t="n">
        <f aca="false">B32</f>
        <v>1.875</v>
      </c>
      <c r="B32" s="37" t="n">
        <f aca="false">30/16</f>
        <v>1.875</v>
      </c>
      <c r="C32" s="38" t="n">
        <f aca="false">B32*25.4</f>
        <v>47.625</v>
      </c>
      <c r="D32" s="39" t="n">
        <f aca="false">B32/2</f>
        <v>0.9375</v>
      </c>
      <c r="E32" s="38" t="n">
        <f aca="false">C32/2</f>
        <v>23.8125</v>
      </c>
    </row>
    <row r="33" customFormat="false" ht="15" hidden="false" customHeight="false" outlineLevel="0" collapsed="false">
      <c r="A33" s="34" t="n">
        <f aca="false">B33</f>
        <v>1.9375</v>
      </c>
      <c r="B33" s="15" t="n">
        <f aca="false">31/16</f>
        <v>1.9375</v>
      </c>
      <c r="C33" s="14" t="n">
        <f aca="false">B33*25.4</f>
        <v>49.2125</v>
      </c>
      <c r="D33" s="35" t="n">
        <f aca="false">B33/2</f>
        <v>0.96875</v>
      </c>
      <c r="E33" s="14" t="n">
        <f aca="false">C33/2</f>
        <v>24.60625</v>
      </c>
    </row>
    <row r="34" customFormat="false" ht="15" hidden="false" customHeight="false" outlineLevel="0" collapsed="false">
      <c r="A34" s="36" t="n">
        <f aca="false">B34</f>
        <v>2</v>
      </c>
      <c r="B34" s="37" t="n">
        <f aca="false">32/16</f>
        <v>2</v>
      </c>
      <c r="C34" s="38" t="n">
        <f aca="false">B34*25.4</f>
        <v>50.8</v>
      </c>
      <c r="D34" s="39" t="n">
        <f aca="false">B34/2</f>
        <v>1</v>
      </c>
      <c r="E34" s="38" t="n">
        <f aca="false">C34/2</f>
        <v>25.4</v>
      </c>
    </row>
    <row r="35" customFormat="false" ht="15" hidden="false" customHeight="false" outlineLevel="0" collapsed="false">
      <c r="A35" s="34" t="n">
        <f aca="false">B35</f>
        <v>2.0625</v>
      </c>
      <c r="B35" s="15" t="n">
        <f aca="false">33/16</f>
        <v>2.0625</v>
      </c>
      <c r="C35" s="14" t="n">
        <f aca="false">B35*25.4</f>
        <v>52.3875</v>
      </c>
      <c r="D35" s="35" t="n">
        <f aca="false">B35/2</f>
        <v>1.03125</v>
      </c>
      <c r="E35" s="14" t="n">
        <f aca="false">C35/2</f>
        <v>26.19375</v>
      </c>
    </row>
    <row r="36" customFormat="false" ht="15" hidden="false" customHeight="false" outlineLevel="0" collapsed="false">
      <c r="A36" s="36" t="n">
        <f aca="false">B36</f>
        <v>2.125</v>
      </c>
      <c r="B36" s="37" t="n">
        <f aca="false">34/16</f>
        <v>2.125</v>
      </c>
      <c r="C36" s="38" t="n">
        <f aca="false">B36*25.4</f>
        <v>53.975</v>
      </c>
      <c r="D36" s="39" t="n">
        <f aca="false">B36/2</f>
        <v>1.0625</v>
      </c>
      <c r="E36" s="38" t="n">
        <f aca="false">C36/2</f>
        <v>26.9875</v>
      </c>
    </row>
    <row r="37" customFormat="false" ht="15" hidden="false" customHeight="false" outlineLevel="0" collapsed="false">
      <c r="A37" s="34" t="n">
        <f aca="false">B37</f>
        <v>2.1875</v>
      </c>
      <c r="B37" s="15" t="n">
        <f aca="false">35/16</f>
        <v>2.1875</v>
      </c>
      <c r="C37" s="14" t="n">
        <f aca="false">B37*25.4</f>
        <v>55.5625</v>
      </c>
      <c r="D37" s="35" t="n">
        <f aca="false">B37/2</f>
        <v>1.09375</v>
      </c>
      <c r="E37" s="14" t="n">
        <f aca="false">C37/2</f>
        <v>27.78125</v>
      </c>
    </row>
    <row r="38" customFormat="false" ht="15" hidden="false" customHeight="false" outlineLevel="0" collapsed="false">
      <c r="A38" s="36" t="n">
        <f aca="false">B38</f>
        <v>2.25</v>
      </c>
      <c r="B38" s="37" t="n">
        <f aca="false">36/16</f>
        <v>2.25</v>
      </c>
      <c r="C38" s="38" t="n">
        <f aca="false">B38*25.4</f>
        <v>57.15</v>
      </c>
      <c r="D38" s="39" t="n">
        <f aca="false">B38/2</f>
        <v>1.125</v>
      </c>
      <c r="E38" s="38" t="n">
        <f aca="false">C38/2</f>
        <v>28.575</v>
      </c>
    </row>
    <row r="39" customFormat="false" ht="15" hidden="false" customHeight="false" outlineLevel="0" collapsed="false">
      <c r="A39" s="34" t="n">
        <f aca="false">B39</f>
        <v>2.3125</v>
      </c>
      <c r="B39" s="15" t="n">
        <f aca="false">37/16</f>
        <v>2.3125</v>
      </c>
      <c r="C39" s="14" t="n">
        <f aca="false">B39*25.4</f>
        <v>58.7375</v>
      </c>
      <c r="D39" s="35" t="n">
        <f aca="false">B39/2</f>
        <v>1.15625</v>
      </c>
      <c r="E39" s="14" t="n">
        <f aca="false">C39/2</f>
        <v>29.36875</v>
      </c>
    </row>
    <row r="40" customFormat="false" ht="15" hidden="false" customHeight="false" outlineLevel="0" collapsed="false">
      <c r="A40" s="36" t="n">
        <f aca="false">B40</f>
        <v>2.375</v>
      </c>
      <c r="B40" s="37" t="n">
        <f aca="false">38/16</f>
        <v>2.375</v>
      </c>
      <c r="C40" s="38" t="n">
        <f aca="false">B40*25.4</f>
        <v>60.325</v>
      </c>
      <c r="D40" s="39" t="n">
        <f aca="false">B40/2</f>
        <v>1.1875</v>
      </c>
      <c r="E40" s="38" t="n">
        <f aca="false">C40/2</f>
        <v>30.1625</v>
      </c>
    </row>
    <row r="41" customFormat="false" ht="15" hidden="false" customHeight="false" outlineLevel="0" collapsed="false">
      <c r="A41" s="34" t="n">
        <f aca="false">B41</f>
        <v>2.4375</v>
      </c>
      <c r="B41" s="15" t="n">
        <f aca="false">39/16</f>
        <v>2.4375</v>
      </c>
      <c r="C41" s="14" t="n">
        <f aca="false">B41*25.4</f>
        <v>61.9125</v>
      </c>
      <c r="D41" s="35" t="n">
        <f aca="false">B41/2</f>
        <v>1.21875</v>
      </c>
      <c r="E41" s="14" t="n">
        <f aca="false">C41/2</f>
        <v>30.95625</v>
      </c>
    </row>
    <row r="42" customFormat="false" ht="15" hidden="false" customHeight="false" outlineLevel="0" collapsed="false">
      <c r="A42" s="36" t="n">
        <f aca="false">B42</f>
        <v>2.5</v>
      </c>
      <c r="B42" s="37" t="n">
        <f aca="false">40/16</f>
        <v>2.5</v>
      </c>
      <c r="C42" s="38" t="n">
        <f aca="false">B42*25.4</f>
        <v>63.5</v>
      </c>
      <c r="D42" s="39" t="n">
        <f aca="false">B42/2</f>
        <v>1.25</v>
      </c>
      <c r="E42" s="38" t="n">
        <f aca="false">C42/2</f>
        <v>31.75</v>
      </c>
    </row>
    <row r="43" customFormat="false" ht="15" hidden="false" customHeight="false" outlineLevel="0" collapsed="false">
      <c r="A43" s="34" t="n">
        <f aca="false">B43</f>
        <v>2.5625</v>
      </c>
      <c r="B43" s="15" t="n">
        <f aca="false">41/16</f>
        <v>2.5625</v>
      </c>
      <c r="C43" s="14" t="n">
        <f aca="false">B43*25.4</f>
        <v>65.0875</v>
      </c>
      <c r="D43" s="35" t="n">
        <f aca="false">B43/2</f>
        <v>1.28125</v>
      </c>
      <c r="E43" s="14" t="n">
        <f aca="false">C43/2</f>
        <v>32.54375</v>
      </c>
    </row>
    <row r="44" customFormat="false" ht="15" hidden="false" customHeight="false" outlineLevel="0" collapsed="false">
      <c r="A44" s="36" t="n">
        <f aca="false">B44</f>
        <v>2.625</v>
      </c>
      <c r="B44" s="37" t="n">
        <f aca="false">42/16</f>
        <v>2.625</v>
      </c>
      <c r="C44" s="38" t="n">
        <f aca="false">B44*25.4</f>
        <v>66.675</v>
      </c>
      <c r="D44" s="39" t="n">
        <f aca="false">B44/2</f>
        <v>1.3125</v>
      </c>
      <c r="E44" s="38" t="n">
        <f aca="false">C44/2</f>
        <v>33.3375</v>
      </c>
    </row>
    <row r="45" customFormat="false" ht="15" hidden="false" customHeight="false" outlineLevel="0" collapsed="false">
      <c r="A45" s="34" t="n">
        <f aca="false">B45</f>
        <v>2.6875</v>
      </c>
      <c r="B45" s="15" t="n">
        <f aca="false">43/16</f>
        <v>2.6875</v>
      </c>
      <c r="C45" s="14" t="n">
        <f aca="false">B45*25.4</f>
        <v>68.2625</v>
      </c>
      <c r="D45" s="35" t="n">
        <f aca="false">B45/2</f>
        <v>1.34375</v>
      </c>
      <c r="E45" s="14" t="n">
        <f aca="false">C45/2</f>
        <v>34.13125</v>
      </c>
    </row>
    <row r="46" customFormat="false" ht="15" hidden="false" customHeight="false" outlineLevel="0" collapsed="false">
      <c r="A46" s="36" t="n">
        <f aca="false">B46</f>
        <v>2.75</v>
      </c>
      <c r="B46" s="37" t="n">
        <f aca="false">44/16</f>
        <v>2.75</v>
      </c>
      <c r="C46" s="38" t="n">
        <f aca="false">B46*25.4</f>
        <v>69.85</v>
      </c>
      <c r="D46" s="39" t="n">
        <f aca="false">B46/2</f>
        <v>1.375</v>
      </c>
      <c r="E46" s="38" t="n">
        <f aca="false">C46/2</f>
        <v>34.925</v>
      </c>
    </row>
    <row r="47" customFormat="false" ht="15" hidden="false" customHeight="false" outlineLevel="0" collapsed="false">
      <c r="A47" s="34" t="n">
        <f aca="false">B47</f>
        <v>2.8125</v>
      </c>
      <c r="B47" s="15" t="n">
        <f aca="false">45/16</f>
        <v>2.8125</v>
      </c>
      <c r="C47" s="14" t="n">
        <f aca="false">B47*25.4</f>
        <v>71.4375</v>
      </c>
      <c r="D47" s="35" t="n">
        <f aca="false">B47/2</f>
        <v>1.40625</v>
      </c>
      <c r="E47" s="14" t="n">
        <f aca="false">C47/2</f>
        <v>35.71875</v>
      </c>
    </row>
    <row r="48" customFormat="false" ht="15" hidden="false" customHeight="false" outlineLevel="0" collapsed="false">
      <c r="A48" s="36" t="n">
        <f aca="false">B48</f>
        <v>2.875</v>
      </c>
      <c r="B48" s="37" t="n">
        <f aca="false">46/16</f>
        <v>2.875</v>
      </c>
      <c r="C48" s="38" t="n">
        <f aca="false">B48*25.4</f>
        <v>73.025</v>
      </c>
      <c r="D48" s="39" t="n">
        <f aca="false">B48/2</f>
        <v>1.4375</v>
      </c>
      <c r="E48" s="38" t="n">
        <f aca="false">C48/2</f>
        <v>36.5125</v>
      </c>
    </row>
    <row r="49" customFormat="false" ht="15" hidden="false" customHeight="false" outlineLevel="0" collapsed="false">
      <c r="A49" s="34" t="n">
        <f aca="false">B49</f>
        <v>2.9375</v>
      </c>
      <c r="B49" s="15" t="n">
        <f aca="false">47/16</f>
        <v>2.9375</v>
      </c>
      <c r="C49" s="14" t="n">
        <f aca="false">B49*25.4</f>
        <v>74.6125</v>
      </c>
      <c r="D49" s="35" t="n">
        <f aca="false">B49/2</f>
        <v>1.46875</v>
      </c>
      <c r="E49" s="14" t="n">
        <f aca="false">C49/2</f>
        <v>37.30625</v>
      </c>
    </row>
    <row r="50" customFormat="false" ht="15" hidden="false" customHeight="false" outlineLevel="0" collapsed="false">
      <c r="A50" s="36" t="n">
        <f aca="false">B50</f>
        <v>3</v>
      </c>
      <c r="B50" s="37" t="n">
        <f aca="false">48/16</f>
        <v>3</v>
      </c>
      <c r="C50" s="38" t="n">
        <f aca="false">B50*25.4</f>
        <v>76.2</v>
      </c>
      <c r="D50" s="39" t="n">
        <f aca="false">B50/2</f>
        <v>1.5</v>
      </c>
      <c r="E50" s="38" t="n">
        <f aca="false">C50/2</f>
        <v>38.1</v>
      </c>
    </row>
    <row r="51" customFormat="false" ht="15" hidden="false" customHeight="false" outlineLevel="0" collapsed="false">
      <c r="A51" s="34" t="n">
        <f aca="false">B51</f>
        <v>3.0625</v>
      </c>
      <c r="B51" s="15" t="n">
        <f aca="false">49/16</f>
        <v>3.0625</v>
      </c>
      <c r="C51" s="14" t="n">
        <f aca="false">B51*25.4</f>
        <v>77.7875</v>
      </c>
      <c r="D51" s="35" t="n">
        <f aca="false">B51/2</f>
        <v>1.53125</v>
      </c>
      <c r="E51" s="14" t="n">
        <f aca="false">C51/2</f>
        <v>38.89375</v>
      </c>
    </row>
    <row r="52" customFormat="false" ht="15" hidden="false" customHeight="false" outlineLevel="0" collapsed="false">
      <c r="A52" s="36" t="n">
        <f aca="false">B52</f>
        <v>3.125</v>
      </c>
      <c r="B52" s="37" t="n">
        <f aca="false">50/16</f>
        <v>3.125</v>
      </c>
      <c r="C52" s="38" t="n">
        <f aca="false">B52*25.4</f>
        <v>79.375</v>
      </c>
      <c r="D52" s="39" t="n">
        <f aca="false">B52/2</f>
        <v>1.5625</v>
      </c>
      <c r="E52" s="38" t="n">
        <f aca="false">C52/2</f>
        <v>39.6875</v>
      </c>
    </row>
    <row r="53" customFormat="false" ht="15" hidden="false" customHeight="false" outlineLevel="0" collapsed="false">
      <c r="A53" s="34" t="n">
        <f aca="false">B53</f>
        <v>3.1875</v>
      </c>
      <c r="B53" s="15" t="n">
        <f aca="false">51/16</f>
        <v>3.1875</v>
      </c>
      <c r="C53" s="14" t="n">
        <f aca="false">B53*25.4</f>
        <v>80.9625</v>
      </c>
      <c r="D53" s="35" t="n">
        <f aca="false">B53/2</f>
        <v>1.59375</v>
      </c>
      <c r="E53" s="14" t="n">
        <f aca="false">C53/2</f>
        <v>40.48125</v>
      </c>
    </row>
    <row r="54" customFormat="false" ht="15" hidden="false" customHeight="false" outlineLevel="0" collapsed="false">
      <c r="A54" s="36" t="n">
        <f aca="false">B54</f>
        <v>3.25</v>
      </c>
      <c r="B54" s="37" t="n">
        <f aca="false">52/16</f>
        <v>3.25</v>
      </c>
      <c r="C54" s="38" t="n">
        <f aca="false">B54*25.4</f>
        <v>82.55</v>
      </c>
      <c r="D54" s="39" t="n">
        <f aca="false">B54/2</f>
        <v>1.625</v>
      </c>
      <c r="E54" s="38" t="n">
        <f aca="false">C54/2</f>
        <v>41.275</v>
      </c>
    </row>
    <row r="55" customFormat="false" ht="15" hidden="false" customHeight="false" outlineLevel="0" collapsed="false">
      <c r="A55" s="34" t="n">
        <f aca="false">B55</f>
        <v>3.3125</v>
      </c>
      <c r="B55" s="15" t="n">
        <f aca="false">53/16</f>
        <v>3.3125</v>
      </c>
      <c r="C55" s="14" t="n">
        <f aca="false">B55*25.4</f>
        <v>84.1375</v>
      </c>
      <c r="D55" s="35" t="n">
        <f aca="false">B55/2</f>
        <v>1.65625</v>
      </c>
      <c r="E55" s="14" t="n">
        <f aca="false">C55/2</f>
        <v>42.06875</v>
      </c>
    </row>
    <row r="56" customFormat="false" ht="15" hidden="false" customHeight="false" outlineLevel="0" collapsed="false">
      <c r="A56" s="36" t="n">
        <f aca="false">B56</f>
        <v>3.375</v>
      </c>
      <c r="B56" s="37" t="n">
        <f aca="false">54/16</f>
        <v>3.375</v>
      </c>
      <c r="C56" s="38" t="n">
        <f aca="false">B56*25.4</f>
        <v>85.725</v>
      </c>
      <c r="D56" s="39" t="n">
        <f aca="false">B56/2</f>
        <v>1.6875</v>
      </c>
      <c r="E56" s="38" t="n">
        <f aca="false">C56/2</f>
        <v>42.8625</v>
      </c>
    </row>
    <row r="57" customFormat="false" ht="15" hidden="false" customHeight="false" outlineLevel="0" collapsed="false">
      <c r="A57" s="34" t="n">
        <f aca="false">B57</f>
        <v>3.4375</v>
      </c>
      <c r="B57" s="15" t="n">
        <f aca="false">55/16</f>
        <v>3.4375</v>
      </c>
      <c r="C57" s="14" t="n">
        <f aca="false">B57*25.4</f>
        <v>87.3125</v>
      </c>
      <c r="D57" s="35" t="n">
        <f aca="false">B57/2</f>
        <v>1.71875</v>
      </c>
      <c r="E57" s="14" t="n">
        <f aca="false">C57/2</f>
        <v>43.65625</v>
      </c>
    </row>
    <row r="58" customFormat="false" ht="15" hidden="false" customHeight="false" outlineLevel="0" collapsed="false">
      <c r="A58" s="36" t="n">
        <f aca="false">B58</f>
        <v>3.5</v>
      </c>
      <c r="B58" s="37" t="n">
        <f aca="false">56/16</f>
        <v>3.5</v>
      </c>
      <c r="C58" s="38" t="n">
        <f aca="false">B58*25.4</f>
        <v>88.9</v>
      </c>
      <c r="D58" s="39" t="n">
        <f aca="false">B58/2</f>
        <v>1.75</v>
      </c>
      <c r="E58" s="38" t="n">
        <f aca="false">C58/2</f>
        <v>44.45</v>
      </c>
    </row>
    <row r="59" customFormat="false" ht="15" hidden="false" customHeight="false" outlineLevel="0" collapsed="false">
      <c r="A59" s="34" t="n">
        <f aca="false">B59</f>
        <v>3.5625</v>
      </c>
      <c r="B59" s="15" t="n">
        <f aca="false">57/16</f>
        <v>3.5625</v>
      </c>
      <c r="C59" s="14" t="n">
        <f aca="false">B59*25.4</f>
        <v>90.4875</v>
      </c>
      <c r="D59" s="35" t="n">
        <f aca="false">B59/2</f>
        <v>1.78125</v>
      </c>
      <c r="E59" s="14" t="n">
        <f aca="false">C59/2</f>
        <v>45.24375</v>
      </c>
    </row>
    <row r="60" customFormat="false" ht="15" hidden="false" customHeight="false" outlineLevel="0" collapsed="false">
      <c r="A60" s="36" t="n">
        <f aca="false">B60</f>
        <v>3.625</v>
      </c>
      <c r="B60" s="37" t="n">
        <f aca="false">58/16</f>
        <v>3.625</v>
      </c>
      <c r="C60" s="38" t="n">
        <f aca="false">B60*25.4</f>
        <v>92.075</v>
      </c>
      <c r="D60" s="39" t="n">
        <f aca="false">B60/2</f>
        <v>1.8125</v>
      </c>
      <c r="E60" s="38" t="n">
        <f aca="false">C60/2</f>
        <v>46.0375</v>
      </c>
    </row>
    <row r="61" customFormat="false" ht="15" hidden="false" customHeight="false" outlineLevel="0" collapsed="false">
      <c r="A61" s="34" t="n">
        <f aca="false">B61</f>
        <v>3.6875</v>
      </c>
      <c r="B61" s="15" t="n">
        <f aca="false">59/16</f>
        <v>3.6875</v>
      </c>
      <c r="C61" s="14" t="n">
        <f aca="false">B61*25.4</f>
        <v>93.6625</v>
      </c>
      <c r="D61" s="35" t="n">
        <f aca="false">B61/2</f>
        <v>1.84375</v>
      </c>
      <c r="E61" s="14" t="n">
        <f aca="false">C61/2</f>
        <v>46.83125</v>
      </c>
    </row>
    <row r="62" customFormat="false" ht="15" hidden="false" customHeight="false" outlineLevel="0" collapsed="false">
      <c r="A62" s="36" t="n">
        <f aca="false">B62</f>
        <v>3.75</v>
      </c>
      <c r="B62" s="37" t="n">
        <f aca="false">60/16</f>
        <v>3.75</v>
      </c>
      <c r="C62" s="38" t="n">
        <f aca="false">B62*25.4</f>
        <v>95.25</v>
      </c>
      <c r="D62" s="39" t="n">
        <f aca="false">B62/2</f>
        <v>1.875</v>
      </c>
      <c r="E62" s="38" t="n">
        <f aca="false">C62/2</f>
        <v>47.625</v>
      </c>
    </row>
    <row r="63" customFormat="false" ht="15" hidden="false" customHeight="false" outlineLevel="0" collapsed="false">
      <c r="A63" s="34" t="n">
        <f aca="false">B63</f>
        <v>3.8125</v>
      </c>
      <c r="B63" s="15" t="n">
        <f aca="false">61/16</f>
        <v>3.8125</v>
      </c>
      <c r="C63" s="14" t="n">
        <f aca="false">B63*25.4</f>
        <v>96.8375</v>
      </c>
      <c r="D63" s="35" t="n">
        <f aca="false">B63/2</f>
        <v>1.90625</v>
      </c>
      <c r="E63" s="14" t="n">
        <f aca="false">C63/2</f>
        <v>48.41875</v>
      </c>
    </row>
    <row r="64" customFormat="false" ht="15" hidden="false" customHeight="false" outlineLevel="0" collapsed="false">
      <c r="A64" s="36" t="n">
        <f aca="false">B64</f>
        <v>3.875</v>
      </c>
      <c r="B64" s="37" t="n">
        <f aca="false">62/16</f>
        <v>3.875</v>
      </c>
      <c r="C64" s="38" t="n">
        <f aca="false">B64*25.4</f>
        <v>98.425</v>
      </c>
      <c r="D64" s="39" t="n">
        <f aca="false">B64/2</f>
        <v>1.9375</v>
      </c>
      <c r="E64" s="38" t="n">
        <f aca="false">C64/2</f>
        <v>49.2125</v>
      </c>
    </row>
    <row r="65" customFormat="false" ht="15" hidden="false" customHeight="false" outlineLevel="0" collapsed="false">
      <c r="A65" s="34" t="n">
        <f aca="false">B65</f>
        <v>3.9375</v>
      </c>
      <c r="B65" s="15" t="n">
        <f aca="false">63/16</f>
        <v>3.9375</v>
      </c>
      <c r="C65" s="14" t="n">
        <f aca="false">B65*25.4</f>
        <v>100.0125</v>
      </c>
      <c r="D65" s="35" t="n">
        <f aca="false">B65/2</f>
        <v>1.96875</v>
      </c>
      <c r="E65" s="14" t="n">
        <f aca="false">C65/2</f>
        <v>50.00625</v>
      </c>
    </row>
    <row r="66" customFormat="false" ht="15" hidden="false" customHeight="false" outlineLevel="0" collapsed="false">
      <c r="A66" s="36" t="n">
        <f aca="false">B66</f>
        <v>4</v>
      </c>
      <c r="B66" s="37" t="n">
        <f aca="false">64/16</f>
        <v>4</v>
      </c>
      <c r="C66" s="38" t="n">
        <f aca="false">B66*25.4</f>
        <v>101.6</v>
      </c>
      <c r="D66" s="39" t="n">
        <f aca="false">B66/2</f>
        <v>2</v>
      </c>
      <c r="E66" s="38" t="n">
        <f aca="false">C66/2</f>
        <v>50.8</v>
      </c>
    </row>
  </sheetData>
  <conditionalFormatting sqref="A3:E66">
    <cfRule type="expression" priority="2" aboveAverage="0" equalAverage="0" bottom="0" percent="0" rank="0" text="" dxfId="0">
      <formula>AND(Convertisseur!$K$10=16,ABS($B3-Convertisseur!$C$21)&lt;0.000001)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6.15" hidden="false" customHeight="false" outlineLevel="0" collapsed="false">
      <c r="A1" s="32" t="s">
        <v>47</v>
      </c>
    </row>
    <row r="2" customFormat="false" ht="15" hidden="false" customHeight="false" outlineLevel="0" collapsed="false">
      <c r="A2" s="33" t="s">
        <v>34</v>
      </c>
      <c r="B2" s="33" t="s">
        <v>35</v>
      </c>
      <c r="C2" s="33" t="s">
        <v>36</v>
      </c>
      <c r="D2" s="33" t="s">
        <v>30</v>
      </c>
      <c r="E2" s="33" t="s">
        <v>31</v>
      </c>
    </row>
    <row r="3" customFormat="false" ht="15" hidden="false" customHeight="false" outlineLevel="0" collapsed="false">
      <c r="A3" s="34" t="n">
        <f aca="false">B3</f>
        <v>0.03125</v>
      </c>
      <c r="B3" s="15" t="n">
        <f aca="false">1/32</f>
        <v>0.03125</v>
      </c>
      <c r="C3" s="14" t="n">
        <f aca="false">B3*25.4</f>
        <v>0.79375</v>
      </c>
      <c r="D3" s="35" t="n">
        <f aca="false">B3/2</f>
        <v>0.015625</v>
      </c>
      <c r="E3" s="14" t="n">
        <f aca="false">C3/2</f>
        <v>0.396875</v>
      </c>
    </row>
    <row r="4" customFormat="false" ht="15" hidden="false" customHeight="false" outlineLevel="0" collapsed="false">
      <c r="A4" s="36" t="n">
        <f aca="false">B4</f>
        <v>0.0625</v>
      </c>
      <c r="B4" s="37" t="n">
        <f aca="false">2/32</f>
        <v>0.0625</v>
      </c>
      <c r="C4" s="38" t="n">
        <f aca="false">B4*25.4</f>
        <v>1.5875</v>
      </c>
      <c r="D4" s="39" t="n">
        <f aca="false">B4/2</f>
        <v>0.03125</v>
      </c>
      <c r="E4" s="38" t="n">
        <f aca="false">C4/2</f>
        <v>0.79375</v>
      </c>
    </row>
    <row r="5" customFormat="false" ht="15" hidden="false" customHeight="false" outlineLevel="0" collapsed="false">
      <c r="A5" s="34" t="n">
        <f aca="false">B5</f>
        <v>0.09375</v>
      </c>
      <c r="B5" s="15" t="n">
        <f aca="false">3/32</f>
        <v>0.09375</v>
      </c>
      <c r="C5" s="14" t="n">
        <f aca="false">B5*25.4</f>
        <v>2.38125</v>
      </c>
      <c r="D5" s="35" t="n">
        <f aca="false">B5/2</f>
        <v>0.046875</v>
      </c>
      <c r="E5" s="14" t="n">
        <f aca="false">C5/2</f>
        <v>1.190625</v>
      </c>
    </row>
    <row r="6" customFormat="false" ht="15" hidden="false" customHeight="false" outlineLevel="0" collapsed="false">
      <c r="A6" s="36" t="n">
        <f aca="false">B6</f>
        <v>0.125</v>
      </c>
      <c r="B6" s="37" t="n">
        <f aca="false">4/32</f>
        <v>0.125</v>
      </c>
      <c r="C6" s="38" t="n">
        <f aca="false">B6*25.4</f>
        <v>3.175</v>
      </c>
      <c r="D6" s="39" t="n">
        <f aca="false">B6/2</f>
        <v>0.0625</v>
      </c>
      <c r="E6" s="38" t="n">
        <f aca="false">C6/2</f>
        <v>1.5875</v>
      </c>
    </row>
    <row r="7" customFormat="false" ht="15" hidden="false" customHeight="false" outlineLevel="0" collapsed="false">
      <c r="A7" s="34" t="n">
        <f aca="false">B7</f>
        <v>0.15625</v>
      </c>
      <c r="B7" s="15" t="n">
        <f aca="false">5/32</f>
        <v>0.15625</v>
      </c>
      <c r="C7" s="14" t="n">
        <f aca="false">B7*25.4</f>
        <v>3.96875</v>
      </c>
      <c r="D7" s="35" t="n">
        <f aca="false">B7/2</f>
        <v>0.078125</v>
      </c>
      <c r="E7" s="14" t="n">
        <f aca="false">C7/2</f>
        <v>1.984375</v>
      </c>
    </row>
    <row r="8" customFormat="false" ht="15" hidden="false" customHeight="false" outlineLevel="0" collapsed="false">
      <c r="A8" s="36" t="n">
        <f aca="false">B8</f>
        <v>0.1875</v>
      </c>
      <c r="B8" s="37" t="n">
        <f aca="false">6/32</f>
        <v>0.1875</v>
      </c>
      <c r="C8" s="38" t="n">
        <f aca="false">B8*25.4</f>
        <v>4.7625</v>
      </c>
      <c r="D8" s="39" t="n">
        <f aca="false">B8/2</f>
        <v>0.09375</v>
      </c>
      <c r="E8" s="38" t="n">
        <f aca="false">C8/2</f>
        <v>2.38125</v>
      </c>
    </row>
    <row r="9" customFormat="false" ht="15" hidden="false" customHeight="false" outlineLevel="0" collapsed="false">
      <c r="A9" s="34" t="n">
        <f aca="false">B9</f>
        <v>0.21875</v>
      </c>
      <c r="B9" s="15" t="n">
        <f aca="false">7/32</f>
        <v>0.21875</v>
      </c>
      <c r="C9" s="14" t="n">
        <f aca="false">B9*25.4</f>
        <v>5.55625</v>
      </c>
      <c r="D9" s="35" t="n">
        <f aca="false">B9/2</f>
        <v>0.109375</v>
      </c>
      <c r="E9" s="14" t="n">
        <f aca="false">C9/2</f>
        <v>2.778125</v>
      </c>
    </row>
    <row r="10" customFormat="false" ht="15" hidden="false" customHeight="false" outlineLevel="0" collapsed="false">
      <c r="A10" s="36" t="n">
        <f aca="false">B10</f>
        <v>0.25</v>
      </c>
      <c r="B10" s="37" t="n">
        <f aca="false">8/32</f>
        <v>0.25</v>
      </c>
      <c r="C10" s="38" t="n">
        <f aca="false">B10*25.4</f>
        <v>6.35</v>
      </c>
      <c r="D10" s="39" t="n">
        <f aca="false">B10/2</f>
        <v>0.125</v>
      </c>
      <c r="E10" s="38" t="n">
        <f aca="false">C10/2</f>
        <v>3.175</v>
      </c>
    </row>
    <row r="11" customFormat="false" ht="15" hidden="false" customHeight="false" outlineLevel="0" collapsed="false">
      <c r="A11" s="34" t="n">
        <f aca="false">B11</f>
        <v>0.28125</v>
      </c>
      <c r="B11" s="15" t="n">
        <f aca="false">9/32</f>
        <v>0.28125</v>
      </c>
      <c r="C11" s="14" t="n">
        <f aca="false">B11*25.4</f>
        <v>7.14375</v>
      </c>
      <c r="D11" s="35" t="n">
        <f aca="false">B11/2</f>
        <v>0.140625</v>
      </c>
      <c r="E11" s="14" t="n">
        <f aca="false">C11/2</f>
        <v>3.571875</v>
      </c>
    </row>
    <row r="12" customFormat="false" ht="15" hidden="false" customHeight="false" outlineLevel="0" collapsed="false">
      <c r="A12" s="36" t="n">
        <f aca="false">B12</f>
        <v>0.3125</v>
      </c>
      <c r="B12" s="37" t="n">
        <f aca="false">10/32</f>
        <v>0.3125</v>
      </c>
      <c r="C12" s="38" t="n">
        <f aca="false">B12*25.4</f>
        <v>7.9375</v>
      </c>
      <c r="D12" s="39" t="n">
        <f aca="false">B12/2</f>
        <v>0.15625</v>
      </c>
      <c r="E12" s="38" t="n">
        <f aca="false">C12/2</f>
        <v>3.96875</v>
      </c>
    </row>
    <row r="13" customFormat="false" ht="15" hidden="false" customHeight="false" outlineLevel="0" collapsed="false">
      <c r="A13" s="34" t="n">
        <f aca="false">B13</f>
        <v>0.34375</v>
      </c>
      <c r="B13" s="15" t="n">
        <f aca="false">11/32</f>
        <v>0.34375</v>
      </c>
      <c r="C13" s="14" t="n">
        <f aca="false">B13*25.4</f>
        <v>8.73125</v>
      </c>
      <c r="D13" s="35" t="n">
        <f aca="false">B13/2</f>
        <v>0.171875</v>
      </c>
      <c r="E13" s="14" t="n">
        <f aca="false">C13/2</f>
        <v>4.365625</v>
      </c>
    </row>
    <row r="14" customFormat="false" ht="15" hidden="false" customHeight="false" outlineLevel="0" collapsed="false">
      <c r="A14" s="36" t="n">
        <f aca="false">B14</f>
        <v>0.375</v>
      </c>
      <c r="B14" s="37" t="n">
        <f aca="false">12/32</f>
        <v>0.375</v>
      </c>
      <c r="C14" s="38" t="n">
        <f aca="false">B14*25.4</f>
        <v>9.525</v>
      </c>
      <c r="D14" s="39" t="n">
        <f aca="false">B14/2</f>
        <v>0.1875</v>
      </c>
      <c r="E14" s="38" t="n">
        <f aca="false">C14/2</f>
        <v>4.7625</v>
      </c>
    </row>
    <row r="15" customFormat="false" ht="15" hidden="false" customHeight="false" outlineLevel="0" collapsed="false">
      <c r="A15" s="34" t="n">
        <f aca="false">B15</f>
        <v>0.40625</v>
      </c>
      <c r="B15" s="15" t="n">
        <f aca="false">13/32</f>
        <v>0.40625</v>
      </c>
      <c r="C15" s="14" t="n">
        <f aca="false">B15*25.4</f>
        <v>10.31875</v>
      </c>
      <c r="D15" s="35" t="n">
        <f aca="false">B15/2</f>
        <v>0.203125</v>
      </c>
      <c r="E15" s="14" t="n">
        <f aca="false">C15/2</f>
        <v>5.159375</v>
      </c>
    </row>
    <row r="16" customFormat="false" ht="15" hidden="false" customHeight="false" outlineLevel="0" collapsed="false">
      <c r="A16" s="36" t="n">
        <f aca="false">B16</f>
        <v>0.4375</v>
      </c>
      <c r="B16" s="37" t="n">
        <f aca="false">14/32</f>
        <v>0.4375</v>
      </c>
      <c r="C16" s="38" t="n">
        <f aca="false">B16*25.4</f>
        <v>11.1125</v>
      </c>
      <c r="D16" s="39" t="n">
        <f aca="false">B16/2</f>
        <v>0.21875</v>
      </c>
      <c r="E16" s="38" t="n">
        <f aca="false">C16/2</f>
        <v>5.55625</v>
      </c>
    </row>
    <row r="17" customFormat="false" ht="15" hidden="false" customHeight="false" outlineLevel="0" collapsed="false">
      <c r="A17" s="34" t="n">
        <f aca="false">B17</f>
        <v>0.46875</v>
      </c>
      <c r="B17" s="15" t="n">
        <f aca="false">15/32</f>
        <v>0.46875</v>
      </c>
      <c r="C17" s="14" t="n">
        <f aca="false">B17*25.4</f>
        <v>11.90625</v>
      </c>
      <c r="D17" s="35" t="n">
        <f aca="false">B17/2</f>
        <v>0.234375</v>
      </c>
      <c r="E17" s="14" t="n">
        <f aca="false">C17/2</f>
        <v>5.953125</v>
      </c>
    </row>
    <row r="18" customFormat="false" ht="15" hidden="false" customHeight="false" outlineLevel="0" collapsed="false">
      <c r="A18" s="36" t="n">
        <f aca="false">B18</f>
        <v>0.5</v>
      </c>
      <c r="B18" s="37" t="n">
        <f aca="false">16/32</f>
        <v>0.5</v>
      </c>
      <c r="C18" s="38" t="n">
        <f aca="false">B18*25.4</f>
        <v>12.7</v>
      </c>
      <c r="D18" s="39" t="n">
        <f aca="false">B18/2</f>
        <v>0.25</v>
      </c>
      <c r="E18" s="38" t="n">
        <f aca="false">C18/2</f>
        <v>6.35</v>
      </c>
    </row>
    <row r="19" customFormat="false" ht="15" hidden="false" customHeight="false" outlineLevel="0" collapsed="false">
      <c r="A19" s="34" t="n">
        <f aca="false">B19</f>
        <v>0.53125</v>
      </c>
      <c r="B19" s="15" t="n">
        <f aca="false">17/32</f>
        <v>0.53125</v>
      </c>
      <c r="C19" s="14" t="n">
        <f aca="false">B19*25.4</f>
        <v>13.49375</v>
      </c>
      <c r="D19" s="35" t="n">
        <f aca="false">B19/2</f>
        <v>0.265625</v>
      </c>
      <c r="E19" s="14" t="n">
        <f aca="false">C19/2</f>
        <v>6.746875</v>
      </c>
    </row>
    <row r="20" customFormat="false" ht="15" hidden="false" customHeight="false" outlineLevel="0" collapsed="false">
      <c r="A20" s="36" t="n">
        <f aca="false">B20</f>
        <v>0.5625</v>
      </c>
      <c r="B20" s="37" t="n">
        <f aca="false">18/32</f>
        <v>0.5625</v>
      </c>
      <c r="C20" s="38" t="n">
        <f aca="false">B20*25.4</f>
        <v>14.2875</v>
      </c>
      <c r="D20" s="39" t="n">
        <f aca="false">B20/2</f>
        <v>0.28125</v>
      </c>
      <c r="E20" s="38" t="n">
        <f aca="false">C20/2</f>
        <v>7.14375</v>
      </c>
    </row>
    <row r="21" customFormat="false" ht="15" hidden="false" customHeight="false" outlineLevel="0" collapsed="false">
      <c r="A21" s="34" t="n">
        <f aca="false">B21</f>
        <v>0.59375</v>
      </c>
      <c r="B21" s="15" t="n">
        <f aca="false">19/32</f>
        <v>0.59375</v>
      </c>
      <c r="C21" s="14" t="n">
        <f aca="false">B21*25.4</f>
        <v>15.08125</v>
      </c>
      <c r="D21" s="35" t="n">
        <f aca="false">B21/2</f>
        <v>0.296875</v>
      </c>
      <c r="E21" s="14" t="n">
        <f aca="false">C21/2</f>
        <v>7.540625</v>
      </c>
    </row>
    <row r="22" customFormat="false" ht="15" hidden="false" customHeight="false" outlineLevel="0" collapsed="false">
      <c r="A22" s="36" t="n">
        <f aca="false">B22</f>
        <v>0.625</v>
      </c>
      <c r="B22" s="37" t="n">
        <f aca="false">20/32</f>
        <v>0.625</v>
      </c>
      <c r="C22" s="38" t="n">
        <f aca="false">B22*25.4</f>
        <v>15.875</v>
      </c>
      <c r="D22" s="39" t="n">
        <f aca="false">B22/2</f>
        <v>0.3125</v>
      </c>
      <c r="E22" s="38" t="n">
        <f aca="false">C22/2</f>
        <v>7.9375</v>
      </c>
    </row>
    <row r="23" customFormat="false" ht="15" hidden="false" customHeight="false" outlineLevel="0" collapsed="false">
      <c r="A23" s="34" t="n">
        <f aca="false">B23</f>
        <v>0.65625</v>
      </c>
      <c r="B23" s="15" t="n">
        <f aca="false">21/32</f>
        <v>0.65625</v>
      </c>
      <c r="C23" s="14" t="n">
        <f aca="false">B23*25.4</f>
        <v>16.66875</v>
      </c>
      <c r="D23" s="35" t="n">
        <f aca="false">B23/2</f>
        <v>0.328125</v>
      </c>
      <c r="E23" s="14" t="n">
        <f aca="false">C23/2</f>
        <v>8.334375</v>
      </c>
    </row>
    <row r="24" customFormat="false" ht="15" hidden="false" customHeight="false" outlineLevel="0" collapsed="false">
      <c r="A24" s="36" t="n">
        <f aca="false">B24</f>
        <v>0.6875</v>
      </c>
      <c r="B24" s="37" t="n">
        <f aca="false">22/32</f>
        <v>0.6875</v>
      </c>
      <c r="C24" s="38" t="n">
        <f aca="false">B24*25.4</f>
        <v>17.4625</v>
      </c>
      <c r="D24" s="39" t="n">
        <f aca="false">B24/2</f>
        <v>0.34375</v>
      </c>
      <c r="E24" s="38" t="n">
        <f aca="false">C24/2</f>
        <v>8.73125</v>
      </c>
    </row>
    <row r="25" customFormat="false" ht="15" hidden="false" customHeight="false" outlineLevel="0" collapsed="false">
      <c r="A25" s="34" t="n">
        <f aca="false">B25</f>
        <v>0.71875</v>
      </c>
      <c r="B25" s="15" t="n">
        <f aca="false">23/32</f>
        <v>0.71875</v>
      </c>
      <c r="C25" s="14" t="n">
        <f aca="false">B25*25.4</f>
        <v>18.25625</v>
      </c>
      <c r="D25" s="35" t="n">
        <f aca="false">B25/2</f>
        <v>0.359375</v>
      </c>
      <c r="E25" s="14" t="n">
        <f aca="false">C25/2</f>
        <v>9.128125</v>
      </c>
    </row>
    <row r="26" customFormat="false" ht="15" hidden="false" customHeight="false" outlineLevel="0" collapsed="false">
      <c r="A26" s="36" t="n">
        <f aca="false">B26</f>
        <v>0.75</v>
      </c>
      <c r="B26" s="37" t="n">
        <f aca="false">24/32</f>
        <v>0.75</v>
      </c>
      <c r="C26" s="38" t="n">
        <f aca="false">B26*25.4</f>
        <v>19.05</v>
      </c>
      <c r="D26" s="39" t="n">
        <f aca="false">B26/2</f>
        <v>0.375</v>
      </c>
      <c r="E26" s="38" t="n">
        <f aca="false">C26/2</f>
        <v>9.525</v>
      </c>
    </row>
    <row r="27" customFormat="false" ht="15" hidden="false" customHeight="false" outlineLevel="0" collapsed="false">
      <c r="A27" s="34" t="n">
        <f aca="false">B27</f>
        <v>0.78125</v>
      </c>
      <c r="B27" s="15" t="n">
        <f aca="false">25/32</f>
        <v>0.78125</v>
      </c>
      <c r="C27" s="14" t="n">
        <f aca="false">B27*25.4</f>
        <v>19.84375</v>
      </c>
      <c r="D27" s="35" t="n">
        <f aca="false">B27/2</f>
        <v>0.390625</v>
      </c>
      <c r="E27" s="14" t="n">
        <f aca="false">C27/2</f>
        <v>9.921875</v>
      </c>
    </row>
    <row r="28" customFormat="false" ht="15" hidden="false" customHeight="false" outlineLevel="0" collapsed="false">
      <c r="A28" s="36" t="n">
        <f aca="false">B28</f>
        <v>0.8125</v>
      </c>
      <c r="B28" s="37" t="n">
        <f aca="false">26/32</f>
        <v>0.8125</v>
      </c>
      <c r="C28" s="38" t="n">
        <f aca="false">B28*25.4</f>
        <v>20.6375</v>
      </c>
      <c r="D28" s="39" t="n">
        <f aca="false">B28/2</f>
        <v>0.40625</v>
      </c>
      <c r="E28" s="38" t="n">
        <f aca="false">C28/2</f>
        <v>10.31875</v>
      </c>
    </row>
    <row r="29" customFormat="false" ht="15" hidden="false" customHeight="false" outlineLevel="0" collapsed="false">
      <c r="A29" s="34" t="n">
        <f aca="false">B29</f>
        <v>0.84375</v>
      </c>
      <c r="B29" s="15" t="n">
        <f aca="false">27/32</f>
        <v>0.84375</v>
      </c>
      <c r="C29" s="14" t="n">
        <f aca="false">B29*25.4</f>
        <v>21.43125</v>
      </c>
      <c r="D29" s="35" t="n">
        <f aca="false">B29/2</f>
        <v>0.421875</v>
      </c>
      <c r="E29" s="14" t="n">
        <f aca="false">C29/2</f>
        <v>10.715625</v>
      </c>
    </row>
    <row r="30" customFormat="false" ht="15" hidden="false" customHeight="false" outlineLevel="0" collapsed="false">
      <c r="A30" s="36" t="n">
        <f aca="false">B30</f>
        <v>0.875</v>
      </c>
      <c r="B30" s="37" t="n">
        <f aca="false">28/32</f>
        <v>0.875</v>
      </c>
      <c r="C30" s="38" t="n">
        <f aca="false">B30*25.4</f>
        <v>22.225</v>
      </c>
      <c r="D30" s="39" t="n">
        <f aca="false">B30/2</f>
        <v>0.4375</v>
      </c>
      <c r="E30" s="38" t="n">
        <f aca="false">C30/2</f>
        <v>11.1125</v>
      </c>
    </row>
    <row r="31" customFormat="false" ht="15" hidden="false" customHeight="false" outlineLevel="0" collapsed="false">
      <c r="A31" s="34" t="n">
        <f aca="false">B31</f>
        <v>0.90625</v>
      </c>
      <c r="B31" s="15" t="n">
        <f aca="false">29/32</f>
        <v>0.90625</v>
      </c>
      <c r="C31" s="14" t="n">
        <f aca="false">B31*25.4</f>
        <v>23.01875</v>
      </c>
      <c r="D31" s="35" t="n">
        <f aca="false">B31/2</f>
        <v>0.453125</v>
      </c>
      <c r="E31" s="14" t="n">
        <f aca="false">C31/2</f>
        <v>11.509375</v>
      </c>
    </row>
    <row r="32" customFormat="false" ht="15" hidden="false" customHeight="false" outlineLevel="0" collapsed="false">
      <c r="A32" s="36" t="n">
        <f aca="false">B32</f>
        <v>0.9375</v>
      </c>
      <c r="B32" s="37" t="n">
        <f aca="false">30/32</f>
        <v>0.9375</v>
      </c>
      <c r="C32" s="38" t="n">
        <f aca="false">B32*25.4</f>
        <v>23.8125</v>
      </c>
      <c r="D32" s="39" t="n">
        <f aca="false">B32/2</f>
        <v>0.46875</v>
      </c>
      <c r="E32" s="38" t="n">
        <f aca="false">C32/2</f>
        <v>11.90625</v>
      </c>
    </row>
    <row r="33" customFormat="false" ht="15" hidden="false" customHeight="false" outlineLevel="0" collapsed="false">
      <c r="A33" s="34" t="n">
        <f aca="false">B33</f>
        <v>0.96875</v>
      </c>
      <c r="B33" s="15" t="n">
        <f aca="false">31/32</f>
        <v>0.96875</v>
      </c>
      <c r="C33" s="14" t="n">
        <f aca="false">B33*25.4</f>
        <v>24.60625</v>
      </c>
      <c r="D33" s="35" t="n">
        <f aca="false">B33/2</f>
        <v>0.484375</v>
      </c>
      <c r="E33" s="14" t="n">
        <f aca="false">C33/2</f>
        <v>12.303125</v>
      </c>
    </row>
    <row r="34" customFormat="false" ht="15" hidden="false" customHeight="false" outlineLevel="0" collapsed="false">
      <c r="A34" s="36" t="n">
        <f aca="false">B34</f>
        <v>1</v>
      </c>
      <c r="B34" s="37" t="n">
        <f aca="false">32/32</f>
        <v>1</v>
      </c>
      <c r="C34" s="38" t="n">
        <f aca="false">B34*25.4</f>
        <v>25.4</v>
      </c>
      <c r="D34" s="39" t="n">
        <f aca="false">B34/2</f>
        <v>0.5</v>
      </c>
      <c r="E34" s="38" t="n">
        <f aca="false">C34/2</f>
        <v>12.7</v>
      </c>
    </row>
    <row r="35" customFormat="false" ht="15" hidden="false" customHeight="false" outlineLevel="0" collapsed="false">
      <c r="A35" s="34" t="n">
        <f aca="false">B35</f>
        <v>1.03125</v>
      </c>
      <c r="B35" s="15" t="n">
        <f aca="false">33/32</f>
        <v>1.03125</v>
      </c>
      <c r="C35" s="14" t="n">
        <f aca="false">B35*25.4</f>
        <v>26.19375</v>
      </c>
      <c r="D35" s="35" t="n">
        <f aca="false">B35/2</f>
        <v>0.515625</v>
      </c>
      <c r="E35" s="14" t="n">
        <f aca="false">C35/2</f>
        <v>13.096875</v>
      </c>
    </row>
    <row r="36" customFormat="false" ht="15" hidden="false" customHeight="false" outlineLevel="0" collapsed="false">
      <c r="A36" s="36" t="n">
        <f aca="false">B36</f>
        <v>1.0625</v>
      </c>
      <c r="B36" s="37" t="n">
        <f aca="false">34/32</f>
        <v>1.0625</v>
      </c>
      <c r="C36" s="38" t="n">
        <f aca="false">B36*25.4</f>
        <v>26.9875</v>
      </c>
      <c r="D36" s="39" t="n">
        <f aca="false">B36/2</f>
        <v>0.53125</v>
      </c>
      <c r="E36" s="38" t="n">
        <f aca="false">C36/2</f>
        <v>13.49375</v>
      </c>
    </row>
    <row r="37" customFormat="false" ht="15" hidden="false" customHeight="false" outlineLevel="0" collapsed="false">
      <c r="A37" s="34" t="n">
        <f aca="false">B37</f>
        <v>1.09375</v>
      </c>
      <c r="B37" s="15" t="n">
        <f aca="false">35/32</f>
        <v>1.09375</v>
      </c>
      <c r="C37" s="14" t="n">
        <f aca="false">B37*25.4</f>
        <v>27.78125</v>
      </c>
      <c r="D37" s="35" t="n">
        <f aca="false">B37/2</f>
        <v>0.546875</v>
      </c>
      <c r="E37" s="14" t="n">
        <f aca="false">C37/2</f>
        <v>13.890625</v>
      </c>
    </row>
    <row r="38" customFormat="false" ht="15" hidden="false" customHeight="false" outlineLevel="0" collapsed="false">
      <c r="A38" s="36" t="n">
        <f aca="false">B38</f>
        <v>1.125</v>
      </c>
      <c r="B38" s="37" t="n">
        <f aca="false">36/32</f>
        <v>1.125</v>
      </c>
      <c r="C38" s="38" t="n">
        <f aca="false">B38*25.4</f>
        <v>28.575</v>
      </c>
      <c r="D38" s="39" t="n">
        <f aca="false">B38/2</f>
        <v>0.5625</v>
      </c>
      <c r="E38" s="38" t="n">
        <f aca="false">C38/2</f>
        <v>14.2875</v>
      </c>
    </row>
    <row r="39" customFormat="false" ht="15" hidden="false" customHeight="false" outlineLevel="0" collapsed="false">
      <c r="A39" s="34" t="n">
        <f aca="false">B39</f>
        <v>1.15625</v>
      </c>
      <c r="B39" s="15" t="n">
        <f aca="false">37/32</f>
        <v>1.15625</v>
      </c>
      <c r="C39" s="14" t="n">
        <f aca="false">B39*25.4</f>
        <v>29.36875</v>
      </c>
      <c r="D39" s="35" t="n">
        <f aca="false">B39/2</f>
        <v>0.578125</v>
      </c>
      <c r="E39" s="14" t="n">
        <f aca="false">C39/2</f>
        <v>14.684375</v>
      </c>
    </row>
    <row r="40" customFormat="false" ht="15" hidden="false" customHeight="false" outlineLevel="0" collapsed="false">
      <c r="A40" s="36" t="n">
        <f aca="false">B40</f>
        <v>1.1875</v>
      </c>
      <c r="B40" s="37" t="n">
        <f aca="false">38/32</f>
        <v>1.1875</v>
      </c>
      <c r="C40" s="38" t="n">
        <f aca="false">B40*25.4</f>
        <v>30.1625</v>
      </c>
      <c r="D40" s="39" t="n">
        <f aca="false">B40/2</f>
        <v>0.59375</v>
      </c>
      <c r="E40" s="38" t="n">
        <f aca="false">C40/2</f>
        <v>15.08125</v>
      </c>
    </row>
    <row r="41" customFormat="false" ht="15" hidden="false" customHeight="false" outlineLevel="0" collapsed="false">
      <c r="A41" s="34" t="n">
        <f aca="false">B41</f>
        <v>1.21875</v>
      </c>
      <c r="B41" s="15" t="n">
        <f aca="false">39/32</f>
        <v>1.21875</v>
      </c>
      <c r="C41" s="14" t="n">
        <f aca="false">B41*25.4</f>
        <v>30.95625</v>
      </c>
      <c r="D41" s="35" t="n">
        <f aca="false">B41/2</f>
        <v>0.609375</v>
      </c>
      <c r="E41" s="14" t="n">
        <f aca="false">C41/2</f>
        <v>15.478125</v>
      </c>
    </row>
    <row r="42" customFormat="false" ht="15" hidden="false" customHeight="false" outlineLevel="0" collapsed="false">
      <c r="A42" s="36" t="n">
        <f aca="false">B42</f>
        <v>1.25</v>
      </c>
      <c r="B42" s="37" t="n">
        <f aca="false">40/32</f>
        <v>1.25</v>
      </c>
      <c r="C42" s="38" t="n">
        <f aca="false">B42*25.4</f>
        <v>31.75</v>
      </c>
      <c r="D42" s="39" t="n">
        <f aca="false">B42/2</f>
        <v>0.625</v>
      </c>
      <c r="E42" s="38" t="n">
        <f aca="false">C42/2</f>
        <v>15.875</v>
      </c>
    </row>
    <row r="43" customFormat="false" ht="15" hidden="false" customHeight="false" outlineLevel="0" collapsed="false">
      <c r="A43" s="34" t="n">
        <f aca="false">B43</f>
        <v>1.28125</v>
      </c>
      <c r="B43" s="15" t="n">
        <f aca="false">41/32</f>
        <v>1.28125</v>
      </c>
      <c r="C43" s="14" t="n">
        <f aca="false">B43*25.4</f>
        <v>32.54375</v>
      </c>
      <c r="D43" s="35" t="n">
        <f aca="false">B43/2</f>
        <v>0.640625</v>
      </c>
      <c r="E43" s="14" t="n">
        <f aca="false">C43/2</f>
        <v>16.271875</v>
      </c>
    </row>
    <row r="44" customFormat="false" ht="15" hidden="false" customHeight="false" outlineLevel="0" collapsed="false">
      <c r="A44" s="36" t="n">
        <f aca="false">B44</f>
        <v>1.3125</v>
      </c>
      <c r="B44" s="37" t="n">
        <f aca="false">42/32</f>
        <v>1.3125</v>
      </c>
      <c r="C44" s="38" t="n">
        <f aca="false">B44*25.4</f>
        <v>33.3375</v>
      </c>
      <c r="D44" s="39" t="n">
        <f aca="false">B44/2</f>
        <v>0.65625</v>
      </c>
      <c r="E44" s="38" t="n">
        <f aca="false">C44/2</f>
        <v>16.66875</v>
      </c>
    </row>
    <row r="45" customFormat="false" ht="15" hidden="false" customHeight="false" outlineLevel="0" collapsed="false">
      <c r="A45" s="34" t="n">
        <f aca="false">B45</f>
        <v>1.34375</v>
      </c>
      <c r="B45" s="15" t="n">
        <f aca="false">43/32</f>
        <v>1.34375</v>
      </c>
      <c r="C45" s="14" t="n">
        <f aca="false">B45*25.4</f>
        <v>34.13125</v>
      </c>
      <c r="D45" s="35" t="n">
        <f aca="false">B45/2</f>
        <v>0.671875</v>
      </c>
      <c r="E45" s="14" t="n">
        <f aca="false">C45/2</f>
        <v>17.065625</v>
      </c>
    </row>
    <row r="46" customFormat="false" ht="15" hidden="false" customHeight="false" outlineLevel="0" collapsed="false">
      <c r="A46" s="36" t="n">
        <f aca="false">B46</f>
        <v>1.375</v>
      </c>
      <c r="B46" s="37" t="n">
        <f aca="false">44/32</f>
        <v>1.375</v>
      </c>
      <c r="C46" s="38" t="n">
        <f aca="false">B46*25.4</f>
        <v>34.925</v>
      </c>
      <c r="D46" s="39" t="n">
        <f aca="false">B46/2</f>
        <v>0.6875</v>
      </c>
      <c r="E46" s="38" t="n">
        <f aca="false">C46/2</f>
        <v>17.4625</v>
      </c>
    </row>
    <row r="47" customFormat="false" ht="15" hidden="false" customHeight="false" outlineLevel="0" collapsed="false">
      <c r="A47" s="34" t="n">
        <f aca="false">B47</f>
        <v>1.40625</v>
      </c>
      <c r="B47" s="15" t="n">
        <f aca="false">45/32</f>
        <v>1.40625</v>
      </c>
      <c r="C47" s="14" t="n">
        <f aca="false">B47*25.4</f>
        <v>35.71875</v>
      </c>
      <c r="D47" s="35" t="n">
        <f aca="false">B47/2</f>
        <v>0.703125</v>
      </c>
      <c r="E47" s="14" t="n">
        <f aca="false">C47/2</f>
        <v>17.859375</v>
      </c>
    </row>
    <row r="48" customFormat="false" ht="15" hidden="false" customHeight="false" outlineLevel="0" collapsed="false">
      <c r="A48" s="36" t="n">
        <f aca="false">B48</f>
        <v>1.4375</v>
      </c>
      <c r="B48" s="37" t="n">
        <f aca="false">46/32</f>
        <v>1.4375</v>
      </c>
      <c r="C48" s="38" t="n">
        <f aca="false">B48*25.4</f>
        <v>36.5125</v>
      </c>
      <c r="D48" s="39" t="n">
        <f aca="false">B48/2</f>
        <v>0.71875</v>
      </c>
      <c r="E48" s="38" t="n">
        <f aca="false">C48/2</f>
        <v>18.25625</v>
      </c>
    </row>
    <row r="49" customFormat="false" ht="15" hidden="false" customHeight="false" outlineLevel="0" collapsed="false">
      <c r="A49" s="34" t="n">
        <f aca="false">B49</f>
        <v>1.46875</v>
      </c>
      <c r="B49" s="15" t="n">
        <f aca="false">47/32</f>
        <v>1.46875</v>
      </c>
      <c r="C49" s="14" t="n">
        <f aca="false">B49*25.4</f>
        <v>37.30625</v>
      </c>
      <c r="D49" s="35" t="n">
        <f aca="false">B49/2</f>
        <v>0.734375</v>
      </c>
      <c r="E49" s="14" t="n">
        <f aca="false">C49/2</f>
        <v>18.653125</v>
      </c>
    </row>
    <row r="50" customFormat="false" ht="15" hidden="false" customHeight="false" outlineLevel="0" collapsed="false">
      <c r="A50" s="36" t="n">
        <f aca="false">B50</f>
        <v>1.5</v>
      </c>
      <c r="B50" s="37" t="n">
        <f aca="false">48/32</f>
        <v>1.5</v>
      </c>
      <c r="C50" s="38" t="n">
        <f aca="false">B50*25.4</f>
        <v>38.1</v>
      </c>
      <c r="D50" s="39" t="n">
        <f aca="false">B50/2</f>
        <v>0.75</v>
      </c>
      <c r="E50" s="38" t="n">
        <f aca="false">C50/2</f>
        <v>19.05</v>
      </c>
    </row>
    <row r="51" customFormat="false" ht="15" hidden="false" customHeight="false" outlineLevel="0" collapsed="false">
      <c r="A51" s="34" t="n">
        <f aca="false">B51</f>
        <v>1.53125</v>
      </c>
      <c r="B51" s="15" t="n">
        <f aca="false">49/32</f>
        <v>1.53125</v>
      </c>
      <c r="C51" s="14" t="n">
        <f aca="false">B51*25.4</f>
        <v>38.89375</v>
      </c>
      <c r="D51" s="35" t="n">
        <f aca="false">B51/2</f>
        <v>0.765625</v>
      </c>
      <c r="E51" s="14" t="n">
        <f aca="false">C51/2</f>
        <v>19.446875</v>
      </c>
    </row>
    <row r="52" customFormat="false" ht="15" hidden="false" customHeight="false" outlineLevel="0" collapsed="false">
      <c r="A52" s="36" t="n">
        <f aca="false">B52</f>
        <v>1.5625</v>
      </c>
      <c r="B52" s="37" t="n">
        <f aca="false">50/32</f>
        <v>1.5625</v>
      </c>
      <c r="C52" s="38" t="n">
        <f aca="false">B52*25.4</f>
        <v>39.6875</v>
      </c>
      <c r="D52" s="39" t="n">
        <f aca="false">B52/2</f>
        <v>0.78125</v>
      </c>
      <c r="E52" s="38" t="n">
        <f aca="false">C52/2</f>
        <v>19.84375</v>
      </c>
    </row>
    <row r="53" customFormat="false" ht="15" hidden="false" customHeight="false" outlineLevel="0" collapsed="false">
      <c r="A53" s="34" t="n">
        <f aca="false">B53</f>
        <v>1.59375</v>
      </c>
      <c r="B53" s="15" t="n">
        <f aca="false">51/32</f>
        <v>1.59375</v>
      </c>
      <c r="C53" s="14" t="n">
        <f aca="false">B53*25.4</f>
        <v>40.48125</v>
      </c>
      <c r="D53" s="35" t="n">
        <f aca="false">B53/2</f>
        <v>0.796875</v>
      </c>
      <c r="E53" s="14" t="n">
        <f aca="false">C53/2</f>
        <v>20.240625</v>
      </c>
    </row>
    <row r="54" customFormat="false" ht="15" hidden="false" customHeight="false" outlineLevel="0" collapsed="false">
      <c r="A54" s="36" t="n">
        <f aca="false">B54</f>
        <v>1.625</v>
      </c>
      <c r="B54" s="37" t="n">
        <f aca="false">52/32</f>
        <v>1.625</v>
      </c>
      <c r="C54" s="38" t="n">
        <f aca="false">B54*25.4</f>
        <v>41.275</v>
      </c>
      <c r="D54" s="39" t="n">
        <f aca="false">B54/2</f>
        <v>0.8125</v>
      </c>
      <c r="E54" s="38" t="n">
        <f aca="false">C54/2</f>
        <v>20.6375</v>
      </c>
    </row>
    <row r="55" customFormat="false" ht="15" hidden="false" customHeight="false" outlineLevel="0" collapsed="false">
      <c r="A55" s="34" t="n">
        <f aca="false">B55</f>
        <v>1.65625</v>
      </c>
      <c r="B55" s="15" t="n">
        <f aca="false">53/32</f>
        <v>1.65625</v>
      </c>
      <c r="C55" s="14" t="n">
        <f aca="false">B55*25.4</f>
        <v>42.06875</v>
      </c>
      <c r="D55" s="35" t="n">
        <f aca="false">B55/2</f>
        <v>0.828125</v>
      </c>
      <c r="E55" s="14" t="n">
        <f aca="false">C55/2</f>
        <v>21.034375</v>
      </c>
    </row>
    <row r="56" customFormat="false" ht="15" hidden="false" customHeight="false" outlineLevel="0" collapsed="false">
      <c r="A56" s="36" t="n">
        <f aca="false">B56</f>
        <v>1.6875</v>
      </c>
      <c r="B56" s="37" t="n">
        <f aca="false">54/32</f>
        <v>1.6875</v>
      </c>
      <c r="C56" s="38" t="n">
        <f aca="false">B56*25.4</f>
        <v>42.8625</v>
      </c>
      <c r="D56" s="39" t="n">
        <f aca="false">B56/2</f>
        <v>0.84375</v>
      </c>
      <c r="E56" s="38" t="n">
        <f aca="false">C56/2</f>
        <v>21.43125</v>
      </c>
    </row>
    <row r="57" customFormat="false" ht="15" hidden="false" customHeight="false" outlineLevel="0" collapsed="false">
      <c r="A57" s="34" t="n">
        <f aca="false">B57</f>
        <v>1.71875</v>
      </c>
      <c r="B57" s="15" t="n">
        <f aca="false">55/32</f>
        <v>1.71875</v>
      </c>
      <c r="C57" s="14" t="n">
        <f aca="false">B57*25.4</f>
        <v>43.65625</v>
      </c>
      <c r="D57" s="35" t="n">
        <f aca="false">B57/2</f>
        <v>0.859375</v>
      </c>
      <c r="E57" s="14" t="n">
        <f aca="false">C57/2</f>
        <v>21.828125</v>
      </c>
    </row>
    <row r="58" customFormat="false" ht="15" hidden="false" customHeight="false" outlineLevel="0" collapsed="false">
      <c r="A58" s="36" t="n">
        <f aca="false">B58</f>
        <v>1.75</v>
      </c>
      <c r="B58" s="37" t="n">
        <f aca="false">56/32</f>
        <v>1.75</v>
      </c>
      <c r="C58" s="38" t="n">
        <f aca="false">B58*25.4</f>
        <v>44.45</v>
      </c>
      <c r="D58" s="39" t="n">
        <f aca="false">B58/2</f>
        <v>0.875</v>
      </c>
      <c r="E58" s="38" t="n">
        <f aca="false">C58/2</f>
        <v>22.225</v>
      </c>
    </row>
    <row r="59" customFormat="false" ht="15" hidden="false" customHeight="false" outlineLevel="0" collapsed="false">
      <c r="A59" s="34" t="n">
        <f aca="false">B59</f>
        <v>1.78125</v>
      </c>
      <c r="B59" s="15" t="n">
        <f aca="false">57/32</f>
        <v>1.78125</v>
      </c>
      <c r="C59" s="14" t="n">
        <f aca="false">B59*25.4</f>
        <v>45.24375</v>
      </c>
      <c r="D59" s="35" t="n">
        <f aca="false">B59/2</f>
        <v>0.890625</v>
      </c>
      <c r="E59" s="14" t="n">
        <f aca="false">C59/2</f>
        <v>22.621875</v>
      </c>
    </row>
    <row r="60" customFormat="false" ht="15" hidden="false" customHeight="false" outlineLevel="0" collapsed="false">
      <c r="A60" s="36" t="n">
        <f aca="false">B60</f>
        <v>1.8125</v>
      </c>
      <c r="B60" s="37" t="n">
        <f aca="false">58/32</f>
        <v>1.8125</v>
      </c>
      <c r="C60" s="38" t="n">
        <f aca="false">B60*25.4</f>
        <v>46.0375</v>
      </c>
      <c r="D60" s="39" t="n">
        <f aca="false">B60/2</f>
        <v>0.90625</v>
      </c>
      <c r="E60" s="38" t="n">
        <f aca="false">C60/2</f>
        <v>23.01875</v>
      </c>
    </row>
    <row r="61" customFormat="false" ht="15" hidden="false" customHeight="false" outlineLevel="0" collapsed="false">
      <c r="A61" s="34" t="n">
        <f aca="false">B61</f>
        <v>1.84375</v>
      </c>
      <c r="B61" s="15" t="n">
        <f aca="false">59/32</f>
        <v>1.84375</v>
      </c>
      <c r="C61" s="14" t="n">
        <f aca="false">B61*25.4</f>
        <v>46.83125</v>
      </c>
      <c r="D61" s="35" t="n">
        <f aca="false">B61/2</f>
        <v>0.921875</v>
      </c>
      <c r="E61" s="14" t="n">
        <f aca="false">C61/2</f>
        <v>23.415625</v>
      </c>
    </row>
    <row r="62" customFormat="false" ht="15" hidden="false" customHeight="false" outlineLevel="0" collapsed="false">
      <c r="A62" s="36" t="n">
        <f aca="false">B62</f>
        <v>1.875</v>
      </c>
      <c r="B62" s="37" t="n">
        <f aca="false">60/32</f>
        <v>1.875</v>
      </c>
      <c r="C62" s="38" t="n">
        <f aca="false">B62*25.4</f>
        <v>47.625</v>
      </c>
      <c r="D62" s="39" t="n">
        <f aca="false">B62/2</f>
        <v>0.9375</v>
      </c>
      <c r="E62" s="38" t="n">
        <f aca="false">C62/2</f>
        <v>23.8125</v>
      </c>
    </row>
    <row r="63" customFormat="false" ht="15" hidden="false" customHeight="false" outlineLevel="0" collapsed="false">
      <c r="A63" s="34" t="n">
        <f aca="false">B63</f>
        <v>1.90625</v>
      </c>
      <c r="B63" s="15" t="n">
        <f aca="false">61/32</f>
        <v>1.90625</v>
      </c>
      <c r="C63" s="14" t="n">
        <f aca="false">B63*25.4</f>
        <v>48.41875</v>
      </c>
      <c r="D63" s="35" t="n">
        <f aca="false">B63/2</f>
        <v>0.953125</v>
      </c>
      <c r="E63" s="14" t="n">
        <f aca="false">C63/2</f>
        <v>24.209375</v>
      </c>
    </row>
    <row r="64" customFormat="false" ht="15" hidden="false" customHeight="false" outlineLevel="0" collapsed="false">
      <c r="A64" s="36" t="n">
        <f aca="false">B64</f>
        <v>1.9375</v>
      </c>
      <c r="B64" s="37" t="n">
        <f aca="false">62/32</f>
        <v>1.9375</v>
      </c>
      <c r="C64" s="38" t="n">
        <f aca="false">B64*25.4</f>
        <v>49.2125</v>
      </c>
      <c r="D64" s="39" t="n">
        <f aca="false">B64/2</f>
        <v>0.96875</v>
      </c>
      <c r="E64" s="38" t="n">
        <f aca="false">C64/2</f>
        <v>24.60625</v>
      </c>
    </row>
    <row r="65" customFormat="false" ht="15" hidden="false" customHeight="false" outlineLevel="0" collapsed="false">
      <c r="A65" s="34" t="n">
        <f aca="false">B65</f>
        <v>1.96875</v>
      </c>
      <c r="B65" s="15" t="n">
        <f aca="false">63/32</f>
        <v>1.96875</v>
      </c>
      <c r="C65" s="14" t="n">
        <f aca="false">B65*25.4</f>
        <v>50.00625</v>
      </c>
      <c r="D65" s="35" t="n">
        <f aca="false">B65/2</f>
        <v>0.984375</v>
      </c>
      <c r="E65" s="14" t="n">
        <f aca="false">C65/2</f>
        <v>25.003125</v>
      </c>
    </row>
    <row r="66" customFormat="false" ht="15" hidden="false" customHeight="false" outlineLevel="0" collapsed="false">
      <c r="A66" s="36" t="n">
        <f aca="false">B66</f>
        <v>2</v>
      </c>
      <c r="B66" s="37" t="n">
        <f aca="false">64/32</f>
        <v>2</v>
      </c>
      <c r="C66" s="38" t="n">
        <f aca="false">B66*25.4</f>
        <v>50.8</v>
      </c>
      <c r="D66" s="39" t="n">
        <f aca="false">B66/2</f>
        <v>1</v>
      </c>
      <c r="E66" s="38" t="n">
        <f aca="false">C66/2</f>
        <v>25.4</v>
      </c>
    </row>
    <row r="67" customFormat="false" ht="15" hidden="false" customHeight="false" outlineLevel="0" collapsed="false">
      <c r="A67" s="34" t="n">
        <f aca="false">B67</f>
        <v>2.03125</v>
      </c>
      <c r="B67" s="15" t="n">
        <f aca="false">65/32</f>
        <v>2.03125</v>
      </c>
      <c r="C67" s="14" t="n">
        <f aca="false">B67*25.4</f>
        <v>51.59375</v>
      </c>
      <c r="D67" s="35" t="n">
        <f aca="false">B67/2</f>
        <v>1.015625</v>
      </c>
      <c r="E67" s="14" t="n">
        <f aca="false">C67/2</f>
        <v>25.796875</v>
      </c>
    </row>
    <row r="68" customFormat="false" ht="15" hidden="false" customHeight="false" outlineLevel="0" collapsed="false">
      <c r="A68" s="36" t="n">
        <f aca="false">B68</f>
        <v>2.0625</v>
      </c>
      <c r="B68" s="37" t="n">
        <f aca="false">66/32</f>
        <v>2.0625</v>
      </c>
      <c r="C68" s="38" t="n">
        <f aca="false">B68*25.4</f>
        <v>52.3875</v>
      </c>
      <c r="D68" s="39" t="n">
        <f aca="false">B68/2</f>
        <v>1.03125</v>
      </c>
      <c r="E68" s="38" t="n">
        <f aca="false">C68/2</f>
        <v>26.19375</v>
      </c>
    </row>
    <row r="69" customFormat="false" ht="15" hidden="false" customHeight="false" outlineLevel="0" collapsed="false">
      <c r="A69" s="34" t="n">
        <f aca="false">B69</f>
        <v>2.09375</v>
      </c>
      <c r="B69" s="15" t="n">
        <f aca="false">67/32</f>
        <v>2.09375</v>
      </c>
      <c r="C69" s="14" t="n">
        <f aca="false">B69*25.4</f>
        <v>53.18125</v>
      </c>
      <c r="D69" s="35" t="n">
        <f aca="false">B69/2</f>
        <v>1.046875</v>
      </c>
      <c r="E69" s="14" t="n">
        <f aca="false">C69/2</f>
        <v>26.590625</v>
      </c>
    </row>
    <row r="70" customFormat="false" ht="15" hidden="false" customHeight="false" outlineLevel="0" collapsed="false">
      <c r="A70" s="36" t="n">
        <f aca="false">B70</f>
        <v>2.125</v>
      </c>
      <c r="B70" s="37" t="n">
        <f aca="false">68/32</f>
        <v>2.125</v>
      </c>
      <c r="C70" s="38" t="n">
        <f aca="false">B70*25.4</f>
        <v>53.975</v>
      </c>
      <c r="D70" s="39" t="n">
        <f aca="false">B70/2</f>
        <v>1.0625</v>
      </c>
      <c r="E70" s="38" t="n">
        <f aca="false">C70/2</f>
        <v>26.9875</v>
      </c>
    </row>
    <row r="71" customFormat="false" ht="15" hidden="false" customHeight="false" outlineLevel="0" collapsed="false">
      <c r="A71" s="34" t="n">
        <f aca="false">B71</f>
        <v>2.15625</v>
      </c>
      <c r="B71" s="15" t="n">
        <f aca="false">69/32</f>
        <v>2.15625</v>
      </c>
      <c r="C71" s="14" t="n">
        <f aca="false">B71*25.4</f>
        <v>54.76875</v>
      </c>
      <c r="D71" s="35" t="n">
        <f aca="false">B71/2</f>
        <v>1.078125</v>
      </c>
      <c r="E71" s="14" t="n">
        <f aca="false">C71/2</f>
        <v>27.384375</v>
      </c>
    </row>
    <row r="72" customFormat="false" ht="15" hidden="false" customHeight="false" outlineLevel="0" collapsed="false">
      <c r="A72" s="36" t="n">
        <f aca="false">B72</f>
        <v>2.1875</v>
      </c>
      <c r="B72" s="37" t="n">
        <f aca="false">70/32</f>
        <v>2.1875</v>
      </c>
      <c r="C72" s="38" t="n">
        <f aca="false">B72*25.4</f>
        <v>55.5625</v>
      </c>
      <c r="D72" s="39" t="n">
        <f aca="false">B72/2</f>
        <v>1.09375</v>
      </c>
      <c r="E72" s="38" t="n">
        <f aca="false">C72/2</f>
        <v>27.78125</v>
      </c>
    </row>
    <row r="73" customFormat="false" ht="15" hidden="false" customHeight="false" outlineLevel="0" collapsed="false">
      <c r="A73" s="34" t="n">
        <f aca="false">B73</f>
        <v>2.21875</v>
      </c>
      <c r="B73" s="15" t="n">
        <f aca="false">71/32</f>
        <v>2.21875</v>
      </c>
      <c r="C73" s="14" t="n">
        <f aca="false">B73*25.4</f>
        <v>56.35625</v>
      </c>
      <c r="D73" s="35" t="n">
        <f aca="false">B73/2</f>
        <v>1.109375</v>
      </c>
      <c r="E73" s="14" t="n">
        <f aca="false">C73/2</f>
        <v>28.178125</v>
      </c>
    </row>
    <row r="74" customFormat="false" ht="15" hidden="false" customHeight="false" outlineLevel="0" collapsed="false">
      <c r="A74" s="36" t="n">
        <f aca="false">B74</f>
        <v>2.25</v>
      </c>
      <c r="B74" s="37" t="n">
        <f aca="false">72/32</f>
        <v>2.25</v>
      </c>
      <c r="C74" s="38" t="n">
        <f aca="false">B74*25.4</f>
        <v>57.15</v>
      </c>
      <c r="D74" s="39" t="n">
        <f aca="false">B74/2</f>
        <v>1.125</v>
      </c>
      <c r="E74" s="38" t="n">
        <f aca="false">C74/2</f>
        <v>28.575</v>
      </c>
    </row>
    <row r="75" customFormat="false" ht="15" hidden="false" customHeight="false" outlineLevel="0" collapsed="false">
      <c r="A75" s="34" t="n">
        <f aca="false">B75</f>
        <v>2.28125</v>
      </c>
      <c r="B75" s="15" t="n">
        <f aca="false">73/32</f>
        <v>2.28125</v>
      </c>
      <c r="C75" s="14" t="n">
        <f aca="false">B75*25.4</f>
        <v>57.94375</v>
      </c>
      <c r="D75" s="35" t="n">
        <f aca="false">B75/2</f>
        <v>1.140625</v>
      </c>
      <c r="E75" s="14" t="n">
        <f aca="false">C75/2</f>
        <v>28.971875</v>
      </c>
    </row>
    <row r="76" customFormat="false" ht="15" hidden="false" customHeight="false" outlineLevel="0" collapsed="false">
      <c r="A76" s="36" t="n">
        <f aca="false">B76</f>
        <v>2.3125</v>
      </c>
      <c r="B76" s="37" t="n">
        <f aca="false">74/32</f>
        <v>2.3125</v>
      </c>
      <c r="C76" s="38" t="n">
        <f aca="false">B76*25.4</f>
        <v>58.7375</v>
      </c>
      <c r="D76" s="39" t="n">
        <f aca="false">B76/2</f>
        <v>1.15625</v>
      </c>
      <c r="E76" s="38" t="n">
        <f aca="false">C76/2</f>
        <v>29.36875</v>
      </c>
    </row>
    <row r="77" customFormat="false" ht="15" hidden="false" customHeight="false" outlineLevel="0" collapsed="false">
      <c r="A77" s="34" t="n">
        <f aca="false">B77</f>
        <v>2.34375</v>
      </c>
      <c r="B77" s="15" t="n">
        <f aca="false">75/32</f>
        <v>2.34375</v>
      </c>
      <c r="C77" s="14" t="n">
        <f aca="false">B77*25.4</f>
        <v>59.53125</v>
      </c>
      <c r="D77" s="35" t="n">
        <f aca="false">B77/2</f>
        <v>1.171875</v>
      </c>
      <c r="E77" s="14" t="n">
        <f aca="false">C77/2</f>
        <v>29.765625</v>
      </c>
    </row>
    <row r="78" customFormat="false" ht="15" hidden="false" customHeight="false" outlineLevel="0" collapsed="false">
      <c r="A78" s="36" t="n">
        <f aca="false">B78</f>
        <v>2.375</v>
      </c>
      <c r="B78" s="37" t="n">
        <f aca="false">76/32</f>
        <v>2.375</v>
      </c>
      <c r="C78" s="38" t="n">
        <f aca="false">B78*25.4</f>
        <v>60.325</v>
      </c>
      <c r="D78" s="39" t="n">
        <f aca="false">B78/2</f>
        <v>1.1875</v>
      </c>
      <c r="E78" s="38" t="n">
        <f aca="false">C78/2</f>
        <v>30.1625</v>
      </c>
    </row>
    <row r="79" customFormat="false" ht="15" hidden="false" customHeight="false" outlineLevel="0" collapsed="false">
      <c r="A79" s="34" t="n">
        <f aca="false">B79</f>
        <v>2.40625</v>
      </c>
      <c r="B79" s="15" t="n">
        <f aca="false">77/32</f>
        <v>2.40625</v>
      </c>
      <c r="C79" s="14" t="n">
        <f aca="false">B79*25.4</f>
        <v>61.11875</v>
      </c>
      <c r="D79" s="35" t="n">
        <f aca="false">B79/2</f>
        <v>1.203125</v>
      </c>
      <c r="E79" s="14" t="n">
        <f aca="false">C79/2</f>
        <v>30.559375</v>
      </c>
    </row>
    <row r="80" customFormat="false" ht="15" hidden="false" customHeight="false" outlineLevel="0" collapsed="false">
      <c r="A80" s="36" t="n">
        <f aca="false">B80</f>
        <v>2.4375</v>
      </c>
      <c r="B80" s="37" t="n">
        <f aca="false">78/32</f>
        <v>2.4375</v>
      </c>
      <c r="C80" s="38" t="n">
        <f aca="false">B80*25.4</f>
        <v>61.9125</v>
      </c>
      <c r="D80" s="39" t="n">
        <f aca="false">B80/2</f>
        <v>1.21875</v>
      </c>
      <c r="E80" s="38" t="n">
        <f aca="false">C80/2</f>
        <v>30.95625</v>
      </c>
    </row>
    <row r="81" customFormat="false" ht="15" hidden="false" customHeight="false" outlineLevel="0" collapsed="false">
      <c r="A81" s="34" t="n">
        <f aca="false">B81</f>
        <v>2.46875</v>
      </c>
      <c r="B81" s="15" t="n">
        <f aca="false">79/32</f>
        <v>2.46875</v>
      </c>
      <c r="C81" s="14" t="n">
        <f aca="false">B81*25.4</f>
        <v>62.70625</v>
      </c>
      <c r="D81" s="35" t="n">
        <f aca="false">B81/2</f>
        <v>1.234375</v>
      </c>
      <c r="E81" s="14" t="n">
        <f aca="false">C81/2</f>
        <v>31.353125</v>
      </c>
    </row>
    <row r="82" customFormat="false" ht="15" hidden="false" customHeight="false" outlineLevel="0" collapsed="false">
      <c r="A82" s="36" t="n">
        <f aca="false">B82</f>
        <v>2.5</v>
      </c>
      <c r="B82" s="37" t="n">
        <f aca="false">80/32</f>
        <v>2.5</v>
      </c>
      <c r="C82" s="38" t="n">
        <f aca="false">B82*25.4</f>
        <v>63.5</v>
      </c>
      <c r="D82" s="39" t="n">
        <f aca="false">B82/2</f>
        <v>1.25</v>
      </c>
      <c r="E82" s="38" t="n">
        <f aca="false">C82/2</f>
        <v>31.75</v>
      </c>
    </row>
    <row r="83" customFormat="false" ht="15" hidden="false" customHeight="false" outlineLevel="0" collapsed="false">
      <c r="A83" s="34" t="n">
        <f aca="false">B83</f>
        <v>2.53125</v>
      </c>
      <c r="B83" s="15" t="n">
        <f aca="false">81/32</f>
        <v>2.53125</v>
      </c>
      <c r="C83" s="14" t="n">
        <f aca="false">B83*25.4</f>
        <v>64.29375</v>
      </c>
      <c r="D83" s="35" t="n">
        <f aca="false">B83/2</f>
        <v>1.265625</v>
      </c>
      <c r="E83" s="14" t="n">
        <f aca="false">C83/2</f>
        <v>32.146875</v>
      </c>
    </row>
    <row r="84" customFormat="false" ht="15" hidden="false" customHeight="false" outlineLevel="0" collapsed="false">
      <c r="A84" s="36" t="n">
        <f aca="false">B84</f>
        <v>2.5625</v>
      </c>
      <c r="B84" s="37" t="n">
        <f aca="false">82/32</f>
        <v>2.5625</v>
      </c>
      <c r="C84" s="38" t="n">
        <f aca="false">B84*25.4</f>
        <v>65.0875</v>
      </c>
      <c r="D84" s="39" t="n">
        <f aca="false">B84/2</f>
        <v>1.28125</v>
      </c>
      <c r="E84" s="38" t="n">
        <f aca="false">C84/2</f>
        <v>32.54375</v>
      </c>
    </row>
    <row r="85" customFormat="false" ht="15" hidden="false" customHeight="false" outlineLevel="0" collapsed="false">
      <c r="A85" s="34" t="n">
        <f aca="false">B85</f>
        <v>2.59375</v>
      </c>
      <c r="B85" s="15" t="n">
        <f aca="false">83/32</f>
        <v>2.59375</v>
      </c>
      <c r="C85" s="14" t="n">
        <f aca="false">B85*25.4</f>
        <v>65.88125</v>
      </c>
      <c r="D85" s="35" t="n">
        <f aca="false">B85/2</f>
        <v>1.296875</v>
      </c>
      <c r="E85" s="14" t="n">
        <f aca="false">C85/2</f>
        <v>32.940625</v>
      </c>
    </row>
    <row r="86" customFormat="false" ht="15" hidden="false" customHeight="false" outlineLevel="0" collapsed="false">
      <c r="A86" s="36" t="n">
        <f aca="false">B86</f>
        <v>2.625</v>
      </c>
      <c r="B86" s="37" t="n">
        <f aca="false">84/32</f>
        <v>2.625</v>
      </c>
      <c r="C86" s="38" t="n">
        <f aca="false">B86*25.4</f>
        <v>66.675</v>
      </c>
      <c r="D86" s="39" t="n">
        <f aca="false">B86/2</f>
        <v>1.3125</v>
      </c>
      <c r="E86" s="38" t="n">
        <f aca="false">C86/2</f>
        <v>33.3375</v>
      </c>
    </row>
    <row r="87" customFormat="false" ht="15" hidden="false" customHeight="false" outlineLevel="0" collapsed="false">
      <c r="A87" s="34" t="n">
        <f aca="false">B87</f>
        <v>2.65625</v>
      </c>
      <c r="B87" s="15" t="n">
        <f aca="false">85/32</f>
        <v>2.65625</v>
      </c>
      <c r="C87" s="14" t="n">
        <f aca="false">B87*25.4</f>
        <v>67.46875</v>
      </c>
      <c r="D87" s="35" t="n">
        <f aca="false">B87/2</f>
        <v>1.328125</v>
      </c>
      <c r="E87" s="14" t="n">
        <f aca="false">C87/2</f>
        <v>33.734375</v>
      </c>
    </row>
    <row r="88" customFormat="false" ht="15" hidden="false" customHeight="false" outlineLevel="0" collapsed="false">
      <c r="A88" s="36" t="n">
        <f aca="false">B88</f>
        <v>2.6875</v>
      </c>
      <c r="B88" s="37" t="n">
        <f aca="false">86/32</f>
        <v>2.6875</v>
      </c>
      <c r="C88" s="38" t="n">
        <f aca="false">B88*25.4</f>
        <v>68.2625</v>
      </c>
      <c r="D88" s="39" t="n">
        <f aca="false">B88/2</f>
        <v>1.34375</v>
      </c>
      <c r="E88" s="38" t="n">
        <f aca="false">C88/2</f>
        <v>34.13125</v>
      </c>
    </row>
    <row r="89" customFormat="false" ht="15" hidden="false" customHeight="false" outlineLevel="0" collapsed="false">
      <c r="A89" s="34" t="n">
        <f aca="false">B89</f>
        <v>2.71875</v>
      </c>
      <c r="B89" s="15" t="n">
        <f aca="false">87/32</f>
        <v>2.71875</v>
      </c>
      <c r="C89" s="14" t="n">
        <f aca="false">B89*25.4</f>
        <v>69.05625</v>
      </c>
      <c r="D89" s="35" t="n">
        <f aca="false">B89/2</f>
        <v>1.359375</v>
      </c>
      <c r="E89" s="14" t="n">
        <f aca="false">C89/2</f>
        <v>34.528125</v>
      </c>
    </row>
    <row r="90" customFormat="false" ht="15" hidden="false" customHeight="false" outlineLevel="0" collapsed="false">
      <c r="A90" s="36" t="n">
        <f aca="false">B90</f>
        <v>2.75</v>
      </c>
      <c r="B90" s="37" t="n">
        <f aca="false">88/32</f>
        <v>2.75</v>
      </c>
      <c r="C90" s="38" t="n">
        <f aca="false">B90*25.4</f>
        <v>69.85</v>
      </c>
      <c r="D90" s="39" t="n">
        <f aca="false">B90/2</f>
        <v>1.375</v>
      </c>
      <c r="E90" s="38" t="n">
        <f aca="false">C90/2</f>
        <v>34.925</v>
      </c>
    </row>
    <row r="91" customFormat="false" ht="15" hidden="false" customHeight="false" outlineLevel="0" collapsed="false">
      <c r="A91" s="34" t="n">
        <f aca="false">B91</f>
        <v>2.78125</v>
      </c>
      <c r="B91" s="15" t="n">
        <f aca="false">89/32</f>
        <v>2.78125</v>
      </c>
      <c r="C91" s="14" t="n">
        <f aca="false">B91*25.4</f>
        <v>70.64375</v>
      </c>
      <c r="D91" s="35" t="n">
        <f aca="false">B91/2</f>
        <v>1.390625</v>
      </c>
      <c r="E91" s="14" t="n">
        <f aca="false">C91/2</f>
        <v>35.321875</v>
      </c>
    </row>
    <row r="92" customFormat="false" ht="15" hidden="false" customHeight="false" outlineLevel="0" collapsed="false">
      <c r="A92" s="36" t="n">
        <f aca="false">B92</f>
        <v>2.8125</v>
      </c>
      <c r="B92" s="37" t="n">
        <f aca="false">90/32</f>
        <v>2.8125</v>
      </c>
      <c r="C92" s="38" t="n">
        <f aca="false">B92*25.4</f>
        <v>71.4375</v>
      </c>
      <c r="D92" s="39" t="n">
        <f aca="false">B92/2</f>
        <v>1.40625</v>
      </c>
      <c r="E92" s="38" t="n">
        <f aca="false">C92/2</f>
        <v>35.71875</v>
      </c>
    </row>
    <row r="93" customFormat="false" ht="15" hidden="false" customHeight="false" outlineLevel="0" collapsed="false">
      <c r="A93" s="34" t="n">
        <f aca="false">B93</f>
        <v>2.84375</v>
      </c>
      <c r="B93" s="15" t="n">
        <f aca="false">91/32</f>
        <v>2.84375</v>
      </c>
      <c r="C93" s="14" t="n">
        <f aca="false">B93*25.4</f>
        <v>72.23125</v>
      </c>
      <c r="D93" s="35" t="n">
        <f aca="false">B93/2</f>
        <v>1.421875</v>
      </c>
      <c r="E93" s="14" t="n">
        <f aca="false">C93/2</f>
        <v>36.115625</v>
      </c>
    </row>
    <row r="94" customFormat="false" ht="15" hidden="false" customHeight="false" outlineLevel="0" collapsed="false">
      <c r="A94" s="36" t="n">
        <f aca="false">B94</f>
        <v>2.875</v>
      </c>
      <c r="B94" s="37" t="n">
        <f aca="false">92/32</f>
        <v>2.875</v>
      </c>
      <c r="C94" s="38" t="n">
        <f aca="false">B94*25.4</f>
        <v>73.025</v>
      </c>
      <c r="D94" s="39" t="n">
        <f aca="false">B94/2</f>
        <v>1.4375</v>
      </c>
      <c r="E94" s="38" t="n">
        <f aca="false">C94/2</f>
        <v>36.5125</v>
      </c>
    </row>
    <row r="95" customFormat="false" ht="15" hidden="false" customHeight="false" outlineLevel="0" collapsed="false">
      <c r="A95" s="34" t="n">
        <f aca="false">B95</f>
        <v>2.90625</v>
      </c>
      <c r="B95" s="15" t="n">
        <f aca="false">93/32</f>
        <v>2.90625</v>
      </c>
      <c r="C95" s="14" t="n">
        <f aca="false">B95*25.4</f>
        <v>73.81875</v>
      </c>
      <c r="D95" s="35" t="n">
        <f aca="false">B95/2</f>
        <v>1.453125</v>
      </c>
      <c r="E95" s="14" t="n">
        <f aca="false">C95/2</f>
        <v>36.909375</v>
      </c>
    </row>
    <row r="96" customFormat="false" ht="15" hidden="false" customHeight="false" outlineLevel="0" collapsed="false">
      <c r="A96" s="36" t="n">
        <f aca="false">B96</f>
        <v>2.9375</v>
      </c>
      <c r="B96" s="37" t="n">
        <f aca="false">94/32</f>
        <v>2.9375</v>
      </c>
      <c r="C96" s="38" t="n">
        <f aca="false">B96*25.4</f>
        <v>74.6125</v>
      </c>
      <c r="D96" s="39" t="n">
        <f aca="false">B96/2</f>
        <v>1.46875</v>
      </c>
      <c r="E96" s="38" t="n">
        <f aca="false">C96/2</f>
        <v>37.30625</v>
      </c>
    </row>
    <row r="97" customFormat="false" ht="15" hidden="false" customHeight="false" outlineLevel="0" collapsed="false">
      <c r="A97" s="34" t="n">
        <f aca="false">B97</f>
        <v>2.96875</v>
      </c>
      <c r="B97" s="15" t="n">
        <f aca="false">95/32</f>
        <v>2.96875</v>
      </c>
      <c r="C97" s="14" t="n">
        <f aca="false">B97*25.4</f>
        <v>75.40625</v>
      </c>
      <c r="D97" s="35" t="n">
        <f aca="false">B97/2</f>
        <v>1.484375</v>
      </c>
      <c r="E97" s="14" t="n">
        <f aca="false">C97/2</f>
        <v>37.703125</v>
      </c>
    </row>
    <row r="98" customFormat="false" ht="15" hidden="false" customHeight="false" outlineLevel="0" collapsed="false">
      <c r="A98" s="36" t="n">
        <f aca="false">B98</f>
        <v>3</v>
      </c>
      <c r="B98" s="37" t="n">
        <f aca="false">96/32</f>
        <v>3</v>
      </c>
      <c r="C98" s="38" t="n">
        <f aca="false">B98*25.4</f>
        <v>76.2</v>
      </c>
      <c r="D98" s="39" t="n">
        <f aca="false">B98/2</f>
        <v>1.5</v>
      </c>
      <c r="E98" s="38" t="n">
        <f aca="false">C98/2</f>
        <v>38.1</v>
      </c>
    </row>
    <row r="99" customFormat="false" ht="15" hidden="false" customHeight="false" outlineLevel="0" collapsed="false">
      <c r="A99" s="34" t="n">
        <f aca="false">B99</f>
        <v>3.03125</v>
      </c>
      <c r="B99" s="15" t="n">
        <f aca="false">97/32</f>
        <v>3.03125</v>
      </c>
      <c r="C99" s="14" t="n">
        <f aca="false">B99*25.4</f>
        <v>76.99375</v>
      </c>
      <c r="D99" s="35" t="n">
        <f aca="false">B99/2</f>
        <v>1.515625</v>
      </c>
      <c r="E99" s="14" t="n">
        <f aca="false">C99/2</f>
        <v>38.496875</v>
      </c>
    </row>
    <row r="100" customFormat="false" ht="15" hidden="false" customHeight="false" outlineLevel="0" collapsed="false">
      <c r="A100" s="36" t="n">
        <f aca="false">B100</f>
        <v>3.0625</v>
      </c>
      <c r="B100" s="37" t="n">
        <f aca="false">98/32</f>
        <v>3.0625</v>
      </c>
      <c r="C100" s="38" t="n">
        <f aca="false">B100*25.4</f>
        <v>77.7875</v>
      </c>
      <c r="D100" s="39" t="n">
        <f aca="false">B100/2</f>
        <v>1.53125</v>
      </c>
      <c r="E100" s="38" t="n">
        <f aca="false">C100/2</f>
        <v>38.89375</v>
      </c>
    </row>
    <row r="101" customFormat="false" ht="15" hidden="false" customHeight="false" outlineLevel="0" collapsed="false">
      <c r="A101" s="34" t="n">
        <f aca="false">B101</f>
        <v>3.09375</v>
      </c>
      <c r="B101" s="15" t="n">
        <f aca="false">99/32</f>
        <v>3.09375</v>
      </c>
      <c r="C101" s="14" t="n">
        <f aca="false">B101*25.4</f>
        <v>78.58125</v>
      </c>
      <c r="D101" s="35" t="n">
        <f aca="false">B101/2</f>
        <v>1.546875</v>
      </c>
      <c r="E101" s="14" t="n">
        <f aca="false">C101/2</f>
        <v>39.290625</v>
      </c>
    </row>
    <row r="102" customFormat="false" ht="15" hidden="false" customHeight="false" outlineLevel="0" collapsed="false">
      <c r="A102" s="36" t="n">
        <f aca="false">B102</f>
        <v>3.125</v>
      </c>
      <c r="B102" s="37" t="n">
        <f aca="false">100/32</f>
        <v>3.125</v>
      </c>
      <c r="C102" s="38" t="n">
        <f aca="false">B102*25.4</f>
        <v>79.375</v>
      </c>
      <c r="D102" s="39" t="n">
        <f aca="false">B102/2</f>
        <v>1.5625</v>
      </c>
      <c r="E102" s="38" t="n">
        <f aca="false">C102/2</f>
        <v>39.6875</v>
      </c>
    </row>
    <row r="103" customFormat="false" ht="15" hidden="false" customHeight="false" outlineLevel="0" collapsed="false">
      <c r="A103" s="34" t="n">
        <f aca="false">B103</f>
        <v>3.15625</v>
      </c>
      <c r="B103" s="15" t="n">
        <f aca="false">101/32</f>
        <v>3.15625</v>
      </c>
      <c r="C103" s="14" t="n">
        <f aca="false">B103*25.4</f>
        <v>80.16875</v>
      </c>
      <c r="D103" s="35" t="n">
        <f aca="false">B103/2</f>
        <v>1.578125</v>
      </c>
      <c r="E103" s="14" t="n">
        <f aca="false">C103/2</f>
        <v>40.084375</v>
      </c>
    </row>
    <row r="104" customFormat="false" ht="15" hidden="false" customHeight="false" outlineLevel="0" collapsed="false">
      <c r="A104" s="36" t="n">
        <f aca="false">B104</f>
        <v>3.1875</v>
      </c>
      <c r="B104" s="37" t="n">
        <f aca="false">102/32</f>
        <v>3.1875</v>
      </c>
      <c r="C104" s="38" t="n">
        <f aca="false">B104*25.4</f>
        <v>80.9625</v>
      </c>
      <c r="D104" s="39" t="n">
        <f aca="false">B104/2</f>
        <v>1.59375</v>
      </c>
      <c r="E104" s="38" t="n">
        <f aca="false">C104/2</f>
        <v>40.48125</v>
      </c>
    </row>
    <row r="105" customFormat="false" ht="15" hidden="false" customHeight="false" outlineLevel="0" collapsed="false">
      <c r="A105" s="34" t="n">
        <f aca="false">B105</f>
        <v>3.21875</v>
      </c>
      <c r="B105" s="15" t="n">
        <f aca="false">103/32</f>
        <v>3.21875</v>
      </c>
      <c r="C105" s="14" t="n">
        <f aca="false">B105*25.4</f>
        <v>81.75625</v>
      </c>
      <c r="D105" s="35" t="n">
        <f aca="false">B105/2</f>
        <v>1.609375</v>
      </c>
      <c r="E105" s="14" t="n">
        <f aca="false">C105/2</f>
        <v>40.878125</v>
      </c>
    </row>
    <row r="106" customFormat="false" ht="15" hidden="false" customHeight="false" outlineLevel="0" collapsed="false">
      <c r="A106" s="36" t="n">
        <f aca="false">B106</f>
        <v>3.25</v>
      </c>
      <c r="B106" s="37" t="n">
        <f aca="false">104/32</f>
        <v>3.25</v>
      </c>
      <c r="C106" s="38" t="n">
        <f aca="false">B106*25.4</f>
        <v>82.55</v>
      </c>
      <c r="D106" s="39" t="n">
        <f aca="false">B106/2</f>
        <v>1.625</v>
      </c>
      <c r="E106" s="38" t="n">
        <f aca="false">C106/2</f>
        <v>41.275</v>
      </c>
    </row>
    <row r="107" customFormat="false" ht="15" hidden="false" customHeight="false" outlineLevel="0" collapsed="false">
      <c r="A107" s="34" t="n">
        <f aca="false">B107</f>
        <v>3.28125</v>
      </c>
      <c r="B107" s="15" t="n">
        <f aca="false">105/32</f>
        <v>3.28125</v>
      </c>
      <c r="C107" s="14" t="n">
        <f aca="false">B107*25.4</f>
        <v>83.34375</v>
      </c>
      <c r="D107" s="35" t="n">
        <f aca="false">B107/2</f>
        <v>1.640625</v>
      </c>
      <c r="E107" s="14" t="n">
        <f aca="false">C107/2</f>
        <v>41.671875</v>
      </c>
    </row>
    <row r="108" customFormat="false" ht="15" hidden="false" customHeight="false" outlineLevel="0" collapsed="false">
      <c r="A108" s="36" t="n">
        <f aca="false">B108</f>
        <v>3.3125</v>
      </c>
      <c r="B108" s="37" t="n">
        <f aca="false">106/32</f>
        <v>3.3125</v>
      </c>
      <c r="C108" s="38" t="n">
        <f aca="false">B108*25.4</f>
        <v>84.1375</v>
      </c>
      <c r="D108" s="39" t="n">
        <f aca="false">B108/2</f>
        <v>1.65625</v>
      </c>
      <c r="E108" s="38" t="n">
        <f aca="false">C108/2</f>
        <v>42.06875</v>
      </c>
    </row>
    <row r="109" customFormat="false" ht="15" hidden="false" customHeight="false" outlineLevel="0" collapsed="false">
      <c r="A109" s="34" t="n">
        <f aca="false">B109</f>
        <v>3.34375</v>
      </c>
      <c r="B109" s="15" t="n">
        <f aca="false">107/32</f>
        <v>3.34375</v>
      </c>
      <c r="C109" s="14" t="n">
        <f aca="false">B109*25.4</f>
        <v>84.93125</v>
      </c>
      <c r="D109" s="35" t="n">
        <f aca="false">B109/2</f>
        <v>1.671875</v>
      </c>
      <c r="E109" s="14" t="n">
        <f aca="false">C109/2</f>
        <v>42.465625</v>
      </c>
    </row>
    <row r="110" customFormat="false" ht="15" hidden="false" customHeight="false" outlineLevel="0" collapsed="false">
      <c r="A110" s="36" t="n">
        <f aca="false">B110</f>
        <v>3.375</v>
      </c>
      <c r="B110" s="37" t="n">
        <f aca="false">108/32</f>
        <v>3.375</v>
      </c>
      <c r="C110" s="38" t="n">
        <f aca="false">B110*25.4</f>
        <v>85.725</v>
      </c>
      <c r="D110" s="39" t="n">
        <f aca="false">B110/2</f>
        <v>1.6875</v>
      </c>
      <c r="E110" s="38" t="n">
        <f aca="false">C110/2</f>
        <v>42.8625</v>
      </c>
    </row>
    <row r="111" customFormat="false" ht="15" hidden="false" customHeight="false" outlineLevel="0" collapsed="false">
      <c r="A111" s="34" t="n">
        <f aca="false">B111</f>
        <v>3.40625</v>
      </c>
      <c r="B111" s="15" t="n">
        <f aca="false">109/32</f>
        <v>3.40625</v>
      </c>
      <c r="C111" s="14" t="n">
        <f aca="false">B111*25.4</f>
        <v>86.51875</v>
      </c>
      <c r="D111" s="35" t="n">
        <f aca="false">B111/2</f>
        <v>1.703125</v>
      </c>
      <c r="E111" s="14" t="n">
        <f aca="false">C111/2</f>
        <v>43.259375</v>
      </c>
    </row>
    <row r="112" customFormat="false" ht="15" hidden="false" customHeight="false" outlineLevel="0" collapsed="false">
      <c r="A112" s="36" t="n">
        <f aca="false">B112</f>
        <v>3.4375</v>
      </c>
      <c r="B112" s="37" t="n">
        <f aca="false">110/32</f>
        <v>3.4375</v>
      </c>
      <c r="C112" s="38" t="n">
        <f aca="false">B112*25.4</f>
        <v>87.3125</v>
      </c>
      <c r="D112" s="39" t="n">
        <f aca="false">B112/2</f>
        <v>1.71875</v>
      </c>
      <c r="E112" s="38" t="n">
        <f aca="false">C112/2</f>
        <v>43.65625</v>
      </c>
    </row>
    <row r="113" customFormat="false" ht="15" hidden="false" customHeight="false" outlineLevel="0" collapsed="false">
      <c r="A113" s="34" t="n">
        <f aca="false">B113</f>
        <v>3.46875</v>
      </c>
      <c r="B113" s="15" t="n">
        <f aca="false">111/32</f>
        <v>3.46875</v>
      </c>
      <c r="C113" s="14" t="n">
        <f aca="false">B113*25.4</f>
        <v>88.10625</v>
      </c>
      <c r="D113" s="35" t="n">
        <f aca="false">B113/2</f>
        <v>1.734375</v>
      </c>
      <c r="E113" s="14" t="n">
        <f aca="false">C113/2</f>
        <v>44.053125</v>
      </c>
    </row>
    <row r="114" customFormat="false" ht="15" hidden="false" customHeight="false" outlineLevel="0" collapsed="false">
      <c r="A114" s="36" t="n">
        <f aca="false">B114</f>
        <v>3.5</v>
      </c>
      <c r="B114" s="37" t="n">
        <f aca="false">112/32</f>
        <v>3.5</v>
      </c>
      <c r="C114" s="38" t="n">
        <f aca="false">B114*25.4</f>
        <v>88.9</v>
      </c>
      <c r="D114" s="39" t="n">
        <f aca="false">B114/2</f>
        <v>1.75</v>
      </c>
      <c r="E114" s="38" t="n">
        <f aca="false">C114/2</f>
        <v>44.45</v>
      </c>
    </row>
    <row r="115" customFormat="false" ht="15" hidden="false" customHeight="false" outlineLevel="0" collapsed="false">
      <c r="A115" s="34" t="n">
        <f aca="false">B115</f>
        <v>3.53125</v>
      </c>
      <c r="B115" s="15" t="n">
        <f aca="false">113/32</f>
        <v>3.53125</v>
      </c>
      <c r="C115" s="14" t="n">
        <f aca="false">B115*25.4</f>
        <v>89.69375</v>
      </c>
      <c r="D115" s="35" t="n">
        <f aca="false">B115/2</f>
        <v>1.765625</v>
      </c>
      <c r="E115" s="14" t="n">
        <f aca="false">C115/2</f>
        <v>44.846875</v>
      </c>
    </row>
    <row r="116" customFormat="false" ht="15" hidden="false" customHeight="false" outlineLevel="0" collapsed="false">
      <c r="A116" s="36" t="n">
        <f aca="false">B116</f>
        <v>3.5625</v>
      </c>
      <c r="B116" s="37" t="n">
        <f aca="false">114/32</f>
        <v>3.5625</v>
      </c>
      <c r="C116" s="38" t="n">
        <f aca="false">B116*25.4</f>
        <v>90.4875</v>
      </c>
      <c r="D116" s="39" t="n">
        <f aca="false">B116/2</f>
        <v>1.78125</v>
      </c>
      <c r="E116" s="38" t="n">
        <f aca="false">C116/2</f>
        <v>45.24375</v>
      </c>
    </row>
    <row r="117" customFormat="false" ht="15" hidden="false" customHeight="false" outlineLevel="0" collapsed="false">
      <c r="A117" s="34" t="n">
        <f aca="false">B117</f>
        <v>3.59375</v>
      </c>
      <c r="B117" s="15" t="n">
        <f aca="false">115/32</f>
        <v>3.59375</v>
      </c>
      <c r="C117" s="14" t="n">
        <f aca="false">B117*25.4</f>
        <v>91.28125</v>
      </c>
      <c r="D117" s="35" t="n">
        <f aca="false">B117/2</f>
        <v>1.796875</v>
      </c>
      <c r="E117" s="14" t="n">
        <f aca="false">C117/2</f>
        <v>45.640625</v>
      </c>
    </row>
    <row r="118" customFormat="false" ht="15" hidden="false" customHeight="false" outlineLevel="0" collapsed="false">
      <c r="A118" s="36" t="n">
        <f aca="false">B118</f>
        <v>3.625</v>
      </c>
      <c r="B118" s="37" t="n">
        <f aca="false">116/32</f>
        <v>3.625</v>
      </c>
      <c r="C118" s="38" t="n">
        <f aca="false">B118*25.4</f>
        <v>92.075</v>
      </c>
      <c r="D118" s="39" t="n">
        <f aca="false">B118/2</f>
        <v>1.8125</v>
      </c>
      <c r="E118" s="38" t="n">
        <f aca="false">C118/2</f>
        <v>46.0375</v>
      </c>
    </row>
    <row r="119" customFormat="false" ht="15" hidden="false" customHeight="false" outlineLevel="0" collapsed="false">
      <c r="A119" s="34" t="n">
        <f aca="false">B119</f>
        <v>3.65625</v>
      </c>
      <c r="B119" s="15" t="n">
        <f aca="false">117/32</f>
        <v>3.65625</v>
      </c>
      <c r="C119" s="14" t="n">
        <f aca="false">B119*25.4</f>
        <v>92.86875</v>
      </c>
      <c r="D119" s="35" t="n">
        <f aca="false">B119/2</f>
        <v>1.828125</v>
      </c>
      <c r="E119" s="14" t="n">
        <f aca="false">C119/2</f>
        <v>46.434375</v>
      </c>
    </row>
    <row r="120" customFormat="false" ht="15" hidden="false" customHeight="false" outlineLevel="0" collapsed="false">
      <c r="A120" s="36" t="n">
        <f aca="false">B120</f>
        <v>3.6875</v>
      </c>
      <c r="B120" s="37" t="n">
        <f aca="false">118/32</f>
        <v>3.6875</v>
      </c>
      <c r="C120" s="38" t="n">
        <f aca="false">B120*25.4</f>
        <v>93.6625</v>
      </c>
      <c r="D120" s="39" t="n">
        <f aca="false">B120/2</f>
        <v>1.84375</v>
      </c>
      <c r="E120" s="38" t="n">
        <f aca="false">C120/2</f>
        <v>46.83125</v>
      </c>
    </row>
    <row r="121" customFormat="false" ht="15" hidden="false" customHeight="false" outlineLevel="0" collapsed="false">
      <c r="A121" s="34" t="n">
        <f aca="false">B121</f>
        <v>3.71875</v>
      </c>
      <c r="B121" s="15" t="n">
        <f aca="false">119/32</f>
        <v>3.71875</v>
      </c>
      <c r="C121" s="14" t="n">
        <f aca="false">B121*25.4</f>
        <v>94.45625</v>
      </c>
      <c r="D121" s="35" t="n">
        <f aca="false">B121/2</f>
        <v>1.859375</v>
      </c>
      <c r="E121" s="14" t="n">
        <f aca="false">C121/2</f>
        <v>47.228125</v>
      </c>
    </row>
    <row r="122" customFormat="false" ht="15" hidden="false" customHeight="false" outlineLevel="0" collapsed="false">
      <c r="A122" s="36" t="n">
        <f aca="false">B122</f>
        <v>3.75</v>
      </c>
      <c r="B122" s="37" t="n">
        <f aca="false">120/32</f>
        <v>3.75</v>
      </c>
      <c r="C122" s="38" t="n">
        <f aca="false">B122*25.4</f>
        <v>95.25</v>
      </c>
      <c r="D122" s="39" t="n">
        <f aca="false">B122/2</f>
        <v>1.875</v>
      </c>
      <c r="E122" s="38" t="n">
        <f aca="false">C122/2</f>
        <v>47.625</v>
      </c>
    </row>
    <row r="123" customFormat="false" ht="15" hidden="false" customHeight="false" outlineLevel="0" collapsed="false">
      <c r="A123" s="34" t="n">
        <f aca="false">B123</f>
        <v>3.78125</v>
      </c>
      <c r="B123" s="15" t="n">
        <f aca="false">121/32</f>
        <v>3.78125</v>
      </c>
      <c r="C123" s="14" t="n">
        <f aca="false">B123*25.4</f>
        <v>96.04375</v>
      </c>
      <c r="D123" s="35" t="n">
        <f aca="false">B123/2</f>
        <v>1.890625</v>
      </c>
      <c r="E123" s="14" t="n">
        <f aca="false">C123/2</f>
        <v>48.021875</v>
      </c>
    </row>
    <row r="124" customFormat="false" ht="15" hidden="false" customHeight="false" outlineLevel="0" collapsed="false">
      <c r="A124" s="36" t="n">
        <f aca="false">B124</f>
        <v>3.8125</v>
      </c>
      <c r="B124" s="37" t="n">
        <f aca="false">122/32</f>
        <v>3.8125</v>
      </c>
      <c r="C124" s="38" t="n">
        <f aca="false">B124*25.4</f>
        <v>96.8375</v>
      </c>
      <c r="D124" s="39" t="n">
        <f aca="false">B124/2</f>
        <v>1.90625</v>
      </c>
      <c r="E124" s="38" t="n">
        <f aca="false">C124/2</f>
        <v>48.41875</v>
      </c>
    </row>
    <row r="125" customFormat="false" ht="15" hidden="false" customHeight="false" outlineLevel="0" collapsed="false">
      <c r="A125" s="34" t="n">
        <f aca="false">B125</f>
        <v>3.84375</v>
      </c>
      <c r="B125" s="15" t="n">
        <f aca="false">123/32</f>
        <v>3.84375</v>
      </c>
      <c r="C125" s="14" t="n">
        <f aca="false">B125*25.4</f>
        <v>97.63125</v>
      </c>
      <c r="D125" s="35" t="n">
        <f aca="false">B125/2</f>
        <v>1.921875</v>
      </c>
      <c r="E125" s="14" t="n">
        <f aca="false">C125/2</f>
        <v>48.815625</v>
      </c>
    </row>
    <row r="126" customFormat="false" ht="15" hidden="false" customHeight="false" outlineLevel="0" collapsed="false">
      <c r="A126" s="36" t="n">
        <f aca="false">B126</f>
        <v>3.875</v>
      </c>
      <c r="B126" s="37" t="n">
        <f aca="false">124/32</f>
        <v>3.875</v>
      </c>
      <c r="C126" s="38" t="n">
        <f aca="false">B126*25.4</f>
        <v>98.425</v>
      </c>
      <c r="D126" s="39" t="n">
        <f aca="false">B126/2</f>
        <v>1.9375</v>
      </c>
      <c r="E126" s="38" t="n">
        <f aca="false">C126/2</f>
        <v>49.2125</v>
      </c>
    </row>
    <row r="127" customFormat="false" ht="15" hidden="false" customHeight="false" outlineLevel="0" collapsed="false">
      <c r="A127" s="34" t="n">
        <f aca="false">B127</f>
        <v>3.90625</v>
      </c>
      <c r="B127" s="15" t="n">
        <f aca="false">125/32</f>
        <v>3.90625</v>
      </c>
      <c r="C127" s="14" t="n">
        <f aca="false">B127*25.4</f>
        <v>99.21875</v>
      </c>
      <c r="D127" s="35" t="n">
        <f aca="false">B127/2</f>
        <v>1.953125</v>
      </c>
      <c r="E127" s="14" t="n">
        <f aca="false">C127/2</f>
        <v>49.609375</v>
      </c>
    </row>
    <row r="128" customFormat="false" ht="15" hidden="false" customHeight="false" outlineLevel="0" collapsed="false">
      <c r="A128" s="36" t="n">
        <f aca="false">B128</f>
        <v>3.9375</v>
      </c>
      <c r="B128" s="37" t="n">
        <f aca="false">126/32</f>
        <v>3.9375</v>
      </c>
      <c r="C128" s="38" t="n">
        <f aca="false">B128*25.4</f>
        <v>100.0125</v>
      </c>
      <c r="D128" s="39" t="n">
        <f aca="false">B128/2</f>
        <v>1.96875</v>
      </c>
      <c r="E128" s="38" t="n">
        <f aca="false">C128/2</f>
        <v>50.00625</v>
      </c>
    </row>
    <row r="129" customFormat="false" ht="15" hidden="false" customHeight="false" outlineLevel="0" collapsed="false">
      <c r="A129" s="34" t="n">
        <f aca="false">B129</f>
        <v>3.96875</v>
      </c>
      <c r="B129" s="15" t="n">
        <f aca="false">127/32</f>
        <v>3.96875</v>
      </c>
      <c r="C129" s="14" t="n">
        <f aca="false">B129*25.4</f>
        <v>100.80625</v>
      </c>
      <c r="D129" s="35" t="n">
        <f aca="false">B129/2</f>
        <v>1.984375</v>
      </c>
      <c r="E129" s="14" t="n">
        <f aca="false">C129/2</f>
        <v>50.403125</v>
      </c>
    </row>
    <row r="130" customFormat="false" ht="15" hidden="false" customHeight="false" outlineLevel="0" collapsed="false">
      <c r="A130" s="36" t="n">
        <f aca="false">B130</f>
        <v>4</v>
      </c>
      <c r="B130" s="37" t="n">
        <f aca="false">128/32</f>
        <v>4</v>
      </c>
      <c r="C130" s="38" t="n">
        <f aca="false">B130*25.4</f>
        <v>101.6</v>
      </c>
      <c r="D130" s="39" t="n">
        <f aca="false">B130/2</f>
        <v>2</v>
      </c>
      <c r="E130" s="38" t="n">
        <f aca="false">C130/2</f>
        <v>50.8</v>
      </c>
    </row>
  </sheetData>
  <conditionalFormatting sqref="A3:E130">
    <cfRule type="expression" priority="2" aboveAverage="0" equalAverage="0" bottom="0" percent="0" rank="0" text="" dxfId="0">
      <formula>AND(Convertisseur!$K$10=32,ABS($B3-Convertisseur!$C$21)&lt;0.000001)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6.15" hidden="false" customHeight="false" outlineLevel="0" collapsed="false">
      <c r="A1" s="32" t="s">
        <v>48</v>
      </c>
    </row>
    <row r="2" customFormat="false" ht="15" hidden="false" customHeight="false" outlineLevel="0" collapsed="false">
      <c r="A2" s="33" t="s">
        <v>34</v>
      </c>
      <c r="B2" s="33" t="s">
        <v>35</v>
      </c>
      <c r="C2" s="33" t="s">
        <v>36</v>
      </c>
      <c r="D2" s="33" t="s">
        <v>30</v>
      </c>
      <c r="E2" s="33" t="s">
        <v>31</v>
      </c>
    </row>
    <row r="3" customFormat="false" ht="15" hidden="false" customHeight="false" outlineLevel="0" collapsed="false">
      <c r="A3" s="34" t="n">
        <f aca="false">B3</f>
        <v>0.015625</v>
      </c>
      <c r="B3" s="15" t="n">
        <f aca="false">1/64</f>
        <v>0.015625</v>
      </c>
      <c r="C3" s="14" t="n">
        <f aca="false">B3*25.4</f>
        <v>0.396875</v>
      </c>
      <c r="D3" s="35" t="n">
        <f aca="false">B3/2</f>
        <v>0.0078125</v>
      </c>
      <c r="E3" s="14" t="n">
        <f aca="false">C3/2</f>
        <v>0.1984375</v>
      </c>
    </row>
    <row r="4" customFormat="false" ht="15" hidden="false" customHeight="false" outlineLevel="0" collapsed="false">
      <c r="A4" s="36" t="n">
        <f aca="false">B4</f>
        <v>0.03125</v>
      </c>
      <c r="B4" s="37" t="n">
        <f aca="false">2/64</f>
        <v>0.03125</v>
      </c>
      <c r="C4" s="38" t="n">
        <f aca="false">B4*25.4</f>
        <v>0.79375</v>
      </c>
      <c r="D4" s="39" t="n">
        <f aca="false">B4/2</f>
        <v>0.015625</v>
      </c>
      <c r="E4" s="38" t="n">
        <f aca="false">C4/2</f>
        <v>0.396875</v>
      </c>
    </row>
    <row r="5" customFormat="false" ht="15" hidden="false" customHeight="false" outlineLevel="0" collapsed="false">
      <c r="A5" s="34" t="n">
        <f aca="false">B5</f>
        <v>0.046875</v>
      </c>
      <c r="B5" s="15" t="n">
        <f aca="false">3/64</f>
        <v>0.046875</v>
      </c>
      <c r="C5" s="14" t="n">
        <f aca="false">B5*25.4</f>
        <v>1.190625</v>
      </c>
      <c r="D5" s="35" t="n">
        <f aca="false">B5/2</f>
        <v>0.0234375</v>
      </c>
      <c r="E5" s="14" t="n">
        <f aca="false">C5/2</f>
        <v>0.5953125</v>
      </c>
    </row>
    <row r="6" customFormat="false" ht="15" hidden="false" customHeight="false" outlineLevel="0" collapsed="false">
      <c r="A6" s="36" t="n">
        <f aca="false">B6</f>
        <v>0.0625</v>
      </c>
      <c r="B6" s="37" t="n">
        <f aca="false">4/64</f>
        <v>0.0625</v>
      </c>
      <c r="C6" s="38" t="n">
        <f aca="false">B6*25.4</f>
        <v>1.5875</v>
      </c>
      <c r="D6" s="39" t="n">
        <f aca="false">B6/2</f>
        <v>0.03125</v>
      </c>
      <c r="E6" s="38" t="n">
        <f aca="false">C6/2</f>
        <v>0.79375</v>
      </c>
    </row>
    <row r="7" customFormat="false" ht="15" hidden="false" customHeight="false" outlineLevel="0" collapsed="false">
      <c r="A7" s="34" t="n">
        <f aca="false">B7</f>
        <v>0.078125</v>
      </c>
      <c r="B7" s="15" t="n">
        <f aca="false">5/64</f>
        <v>0.078125</v>
      </c>
      <c r="C7" s="14" t="n">
        <f aca="false">B7*25.4</f>
        <v>1.984375</v>
      </c>
      <c r="D7" s="35" t="n">
        <f aca="false">B7/2</f>
        <v>0.0390625</v>
      </c>
      <c r="E7" s="14" t="n">
        <f aca="false">C7/2</f>
        <v>0.9921875</v>
      </c>
    </row>
    <row r="8" customFormat="false" ht="15" hidden="false" customHeight="false" outlineLevel="0" collapsed="false">
      <c r="A8" s="36" t="n">
        <f aca="false">B8</f>
        <v>0.09375</v>
      </c>
      <c r="B8" s="37" t="n">
        <f aca="false">6/64</f>
        <v>0.09375</v>
      </c>
      <c r="C8" s="38" t="n">
        <f aca="false">B8*25.4</f>
        <v>2.38125</v>
      </c>
      <c r="D8" s="39" t="n">
        <f aca="false">B8/2</f>
        <v>0.046875</v>
      </c>
      <c r="E8" s="38" t="n">
        <f aca="false">C8/2</f>
        <v>1.190625</v>
      </c>
    </row>
    <row r="9" customFormat="false" ht="15" hidden="false" customHeight="false" outlineLevel="0" collapsed="false">
      <c r="A9" s="34" t="n">
        <f aca="false">B9</f>
        <v>0.109375</v>
      </c>
      <c r="B9" s="15" t="n">
        <f aca="false">7/64</f>
        <v>0.109375</v>
      </c>
      <c r="C9" s="14" t="n">
        <f aca="false">B9*25.4</f>
        <v>2.778125</v>
      </c>
      <c r="D9" s="35" t="n">
        <f aca="false">B9/2</f>
        <v>0.0546875</v>
      </c>
      <c r="E9" s="14" t="n">
        <f aca="false">C9/2</f>
        <v>1.3890625</v>
      </c>
    </row>
    <row r="10" customFormat="false" ht="15" hidden="false" customHeight="false" outlineLevel="0" collapsed="false">
      <c r="A10" s="36" t="n">
        <f aca="false">B10</f>
        <v>0.125</v>
      </c>
      <c r="B10" s="37" t="n">
        <f aca="false">8/64</f>
        <v>0.125</v>
      </c>
      <c r="C10" s="38" t="n">
        <f aca="false">B10*25.4</f>
        <v>3.175</v>
      </c>
      <c r="D10" s="39" t="n">
        <f aca="false">B10/2</f>
        <v>0.0625</v>
      </c>
      <c r="E10" s="38" t="n">
        <f aca="false">C10/2</f>
        <v>1.5875</v>
      </c>
    </row>
    <row r="11" customFormat="false" ht="15" hidden="false" customHeight="false" outlineLevel="0" collapsed="false">
      <c r="A11" s="34" t="n">
        <f aca="false">B11</f>
        <v>0.140625</v>
      </c>
      <c r="B11" s="15" t="n">
        <f aca="false">9/64</f>
        <v>0.140625</v>
      </c>
      <c r="C11" s="14" t="n">
        <f aca="false">B11*25.4</f>
        <v>3.571875</v>
      </c>
      <c r="D11" s="35" t="n">
        <f aca="false">B11/2</f>
        <v>0.0703125</v>
      </c>
      <c r="E11" s="14" t="n">
        <f aca="false">C11/2</f>
        <v>1.7859375</v>
      </c>
    </row>
    <row r="12" customFormat="false" ht="15" hidden="false" customHeight="false" outlineLevel="0" collapsed="false">
      <c r="A12" s="36" t="n">
        <f aca="false">B12</f>
        <v>0.15625</v>
      </c>
      <c r="B12" s="37" t="n">
        <f aca="false">10/64</f>
        <v>0.15625</v>
      </c>
      <c r="C12" s="38" t="n">
        <f aca="false">B12*25.4</f>
        <v>3.96875</v>
      </c>
      <c r="D12" s="39" t="n">
        <f aca="false">B12/2</f>
        <v>0.078125</v>
      </c>
      <c r="E12" s="38" t="n">
        <f aca="false">C12/2</f>
        <v>1.984375</v>
      </c>
    </row>
    <row r="13" customFormat="false" ht="15" hidden="false" customHeight="false" outlineLevel="0" collapsed="false">
      <c r="A13" s="34" t="n">
        <f aca="false">B13</f>
        <v>0.171875</v>
      </c>
      <c r="B13" s="15" t="n">
        <f aca="false">11/64</f>
        <v>0.171875</v>
      </c>
      <c r="C13" s="14" t="n">
        <f aca="false">B13*25.4</f>
        <v>4.365625</v>
      </c>
      <c r="D13" s="35" t="n">
        <f aca="false">B13/2</f>
        <v>0.0859375</v>
      </c>
      <c r="E13" s="14" t="n">
        <f aca="false">C13/2</f>
        <v>2.1828125</v>
      </c>
    </row>
    <row r="14" customFormat="false" ht="15" hidden="false" customHeight="false" outlineLevel="0" collapsed="false">
      <c r="A14" s="36" t="n">
        <f aca="false">B14</f>
        <v>0.1875</v>
      </c>
      <c r="B14" s="37" t="n">
        <f aca="false">12/64</f>
        <v>0.1875</v>
      </c>
      <c r="C14" s="38" t="n">
        <f aca="false">B14*25.4</f>
        <v>4.7625</v>
      </c>
      <c r="D14" s="39" t="n">
        <f aca="false">B14/2</f>
        <v>0.09375</v>
      </c>
      <c r="E14" s="38" t="n">
        <f aca="false">C14/2</f>
        <v>2.38125</v>
      </c>
    </row>
    <row r="15" customFormat="false" ht="15" hidden="false" customHeight="false" outlineLevel="0" collapsed="false">
      <c r="A15" s="34" t="n">
        <f aca="false">B15</f>
        <v>0.203125</v>
      </c>
      <c r="B15" s="15" t="n">
        <f aca="false">13/64</f>
        <v>0.203125</v>
      </c>
      <c r="C15" s="14" t="n">
        <f aca="false">B15*25.4</f>
        <v>5.159375</v>
      </c>
      <c r="D15" s="35" t="n">
        <f aca="false">B15/2</f>
        <v>0.1015625</v>
      </c>
      <c r="E15" s="14" t="n">
        <f aca="false">C15/2</f>
        <v>2.5796875</v>
      </c>
    </row>
    <row r="16" customFormat="false" ht="15" hidden="false" customHeight="false" outlineLevel="0" collapsed="false">
      <c r="A16" s="36" t="n">
        <f aca="false">B16</f>
        <v>0.21875</v>
      </c>
      <c r="B16" s="37" t="n">
        <f aca="false">14/64</f>
        <v>0.21875</v>
      </c>
      <c r="C16" s="38" t="n">
        <f aca="false">B16*25.4</f>
        <v>5.55625</v>
      </c>
      <c r="D16" s="39" t="n">
        <f aca="false">B16/2</f>
        <v>0.109375</v>
      </c>
      <c r="E16" s="38" t="n">
        <f aca="false">C16/2</f>
        <v>2.778125</v>
      </c>
    </row>
    <row r="17" customFormat="false" ht="15" hidden="false" customHeight="false" outlineLevel="0" collapsed="false">
      <c r="A17" s="34" t="n">
        <f aca="false">B17</f>
        <v>0.234375</v>
      </c>
      <c r="B17" s="15" t="n">
        <f aca="false">15/64</f>
        <v>0.234375</v>
      </c>
      <c r="C17" s="14" t="n">
        <f aca="false">B17*25.4</f>
        <v>5.953125</v>
      </c>
      <c r="D17" s="35" t="n">
        <f aca="false">B17/2</f>
        <v>0.1171875</v>
      </c>
      <c r="E17" s="14" t="n">
        <f aca="false">C17/2</f>
        <v>2.9765625</v>
      </c>
    </row>
    <row r="18" customFormat="false" ht="15" hidden="false" customHeight="false" outlineLevel="0" collapsed="false">
      <c r="A18" s="36" t="n">
        <f aca="false">B18</f>
        <v>0.25</v>
      </c>
      <c r="B18" s="37" t="n">
        <f aca="false">16/64</f>
        <v>0.25</v>
      </c>
      <c r="C18" s="38" t="n">
        <f aca="false">B18*25.4</f>
        <v>6.35</v>
      </c>
      <c r="D18" s="39" t="n">
        <f aca="false">B18/2</f>
        <v>0.125</v>
      </c>
      <c r="E18" s="38" t="n">
        <f aca="false">C18/2</f>
        <v>3.175</v>
      </c>
    </row>
    <row r="19" customFormat="false" ht="15" hidden="false" customHeight="false" outlineLevel="0" collapsed="false">
      <c r="A19" s="34" t="n">
        <f aca="false">B19</f>
        <v>0.265625</v>
      </c>
      <c r="B19" s="15" t="n">
        <f aca="false">17/64</f>
        <v>0.265625</v>
      </c>
      <c r="C19" s="14" t="n">
        <f aca="false">B19*25.4</f>
        <v>6.746875</v>
      </c>
      <c r="D19" s="35" t="n">
        <f aca="false">B19/2</f>
        <v>0.1328125</v>
      </c>
      <c r="E19" s="14" t="n">
        <f aca="false">C19/2</f>
        <v>3.3734375</v>
      </c>
    </row>
    <row r="20" customFormat="false" ht="15" hidden="false" customHeight="false" outlineLevel="0" collapsed="false">
      <c r="A20" s="36" t="n">
        <f aca="false">B20</f>
        <v>0.28125</v>
      </c>
      <c r="B20" s="37" t="n">
        <f aca="false">18/64</f>
        <v>0.28125</v>
      </c>
      <c r="C20" s="38" t="n">
        <f aca="false">B20*25.4</f>
        <v>7.14375</v>
      </c>
      <c r="D20" s="39" t="n">
        <f aca="false">B20/2</f>
        <v>0.140625</v>
      </c>
      <c r="E20" s="38" t="n">
        <f aca="false">C20/2</f>
        <v>3.571875</v>
      </c>
    </row>
    <row r="21" customFormat="false" ht="15" hidden="false" customHeight="false" outlineLevel="0" collapsed="false">
      <c r="A21" s="34" t="n">
        <f aca="false">B21</f>
        <v>0.296875</v>
      </c>
      <c r="B21" s="15" t="n">
        <f aca="false">19/64</f>
        <v>0.296875</v>
      </c>
      <c r="C21" s="14" t="n">
        <f aca="false">B21*25.4</f>
        <v>7.540625</v>
      </c>
      <c r="D21" s="35" t="n">
        <f aca="false">B21/2</f>
        <v>0.1484375</v>
      </c>
      <c r="E21" s="14" t="n">
        <f aca="false">C21/2</f>
        <v>3.7703125</v>
      </c>
    </row>
    <row r="22" customFormat="false" ht="15" hidden="false" customHeight="false" outlineLevel="0" collapsed="false">
      <c r="A22" s="36" t="n">
        <f aca="false">B22</f>
        <v>0.3125</v>
      </c>
      <c r="B22" s="37" t="n">
        <f aca="false">20/64</f>
        <v>0.3125</v>
      </c>
      <c r="C22" s="38" t="n">
        <f aca="false">B22*25.4</f>
        <v>7.9375</v>
      </c>
      <c r="D22" s="39" t="n">
        <f aca="false">B22/2</f>
        <v>0.15625</v>
      </c>
      <c r="E22" s="38" t="n">
        <f aca="false">C22/2</f>
        <v>3.96875</v>
      </c>
    </row>
    <row r="23" customFormat="false" ht="15" hidden="false" customHeight="false" outlineLevel="0" collapsed="false">
      <c r="A23" s="34" t="n">
        <f aca="false">B23</f>
        <v>0.328125</v>
      </c>
      <c r="B23" s="15" t="n">
        <f aca="false">21/64</f>
        <v>0.328125</v>
      </c>
      <c r="C23" s="14" t="n">
        <f aca="false">B23*25.4</f>
        <v>8.334375</v>
      </c>
      <c r="D23" s="35" t="n">
        <f aca="false">B23/2</f>
        <v>0.1640625</v>
      </c>
      <c r="E23" s="14" t="n">
        <f aca="false">C23/2</f>
        <v>4.1671875</v>
      </c>
    </row>
    <row r="24" customFormat="false" ht="15" hidden="false" customHeight="false" outlineLevel="0" collapsed="false">
      <c r="A24" s="36" t="n">
        <f aca="false">B24</f>
        <v>0.34375</v>
      </c>
      <c r="B24" s="37" t="n">
        <f aca="false">22/64</f>
        <v>0.34375</v>
      </c>
      <c r="C24" s="38" t="n">
        <f aca="false">B24*25.4</f>
        <v>8.73125</v>
      </c>
      <c r="D24" s="39" t="n">
        <f aca="false">B24/2</f>
        <v>0.171875</v>
      </c>
      <c r="E24" s="38" t="n">
        <f aca="false">C24/2</f>
        <v>4.365625</v>
      </c>
    </row>
    <row r="25" customFormat="false" ht="15" hidden="false" customHeight="false" outlineLevel="0" collapsed="false">
      <c r="A25" s="34" t="n">
        <f aca="false">B25</f>
        <v>0.359375</v>
      </c>
      <c r="B25" s="15" t="n">
        <f aca="false">23/64</f>
        <v>0.359375</v>
      </c>
      <c r="C25" s="14" t="n">
        <f aca="false">B25*25.4</f>
        <v>9.128125</v>
      </c>
      <c r="D25" s="35" t="n">
        <f aca="false">B25/2</f>
        <v>0.1796875</v>
      </c>
      <c r="E25" s="14" t="n">
        <f aca="false">C25/2</f>
        <v>4.5640625</v>
      </c>
    </row>
    <row r="26" customFormat="false" ht="15" hidden="false" customHeight="false" outlineLevel="0" collapsed="false">
      <c r="A26" s="36" t="n">
        <f aca="false">B26</f>
        <v>0.375</v>
      </c>
      <c r="B26" s="37" t="n">
        <f aca="false">24/64</f>
        <v>0.375</v>
      </c>
      <c r="C26" s="38" t="n">
        <f aca="false">B26*25.4</f>
        <v>9.525</v>
      </c>
      <c r="D26" s="39" t="n">
        <f aca="false">B26/2</f>
        <v>0.1875</v>
      </c>
      <c r="E26" s="38" t="n">
        <f aca="false">C26/2</f>
        <v>4.7625</v>
      </c>
    </row>
    <row r="27" customFormat="false" ht="15" hidden="false" customHeight="false" outlineLevel="0" collapsed="false">
      <c r="A27" s="34" t="n">
        <f aca="false">B27</f>
        <v>0.390625</v>
      </c>
      <c r="B27" s="15" t="n">
        <f aca="false">25/64</f>
        <v>0.390625</v>
      </c>
      <c r="C27" s="14" t="n">
        <f aca="false">B27*25.4</f>
        <v>9.921875</v>
      </c>
      <c r="D27" s="35" t="n">
        <f aca="false">B27/2</f>
        <v>0.1953125</v>
      </c>
      <c r="E27" s="14" t="n">
        <f aca="false">C27/2</f>
        <v>4.9609375</v>
      </c>
    </row>
    <row r="28" customFormat="false" ht="15" hidden="false" customHeight="false" outlineLevel="0" collapsed="false">
      <c r="A28" s="36" t="n">
        <f aca="false">B28</f>
        <v>0.40625</v>
      </c>
      <c r="B28" s="37" t="n">
        <f aca="false">26/64</f>
        <v>0.40625</v>
      </c>
      <c r="C28" s="38" t="n">
        <f aca="false">B28*25.4</f>
        <v>10.31875</v>
      </c>
      <c r="D28" s="39" t="n">
        <f aca="false">B28/2</f>
        <v>0.203125</v>
      </c>
      <c r="E28" s="38" t="n">
        <f aca="false">C28/2</f>
        <v>5.159375</v>
      </c>
    </row>
    <row r="29" customFormat="false" ht="15" hidden="false" customHeight="false" outlineLevel="0" collapsed="false">
      <c r="A29" s="34" t="n">
        <f aca="false">B29</f>
        <v>0.421875</v>
      </c>
      <c r="B29" s="15" t="n">
        <f aca="false">27/64</f>
        <v>0.421875</v>
      </c>
      <c r="C29" s="14" t="n">
        <f aca="false">B29*25.4</f>
        <v>10.715625</v>
      </c>
      <c r="D29" s="35" t="n">
        <f aca="false">B29/2</f>
        <v>0.2109375</v>
      </c>
      <c r="E29" s="14" t="n">
        <f aca="false">C29/2</f>
        <v>5.3578125</v>
      </c>
    </row>
    <row r="30" customFormat="false" ht="15" hidden="false" customHeight="false" outlineLevel="0" collapsed="false">
      <c r="A30" s="36" t="n">
        <f aca="false">B30</f>
        <v>0.4375</v>
      </c>
      <c r="B30" s="37" t="n">
        <f aca="false">28/64</f>
        <v>0.4375</v>
      </c>
      <c r="C30" s="38" t="n">
        <f aca="false">B30*25.4</f>
        <v>11.1125</v>
      </c>
      <c r="D30" s="39" t="n">
        <f aca="false">B30/2</f>
        <v>0.21875</v>
      </c>
      <c r="E30" s="38" t="n">
        <f aca="false">C30/2</f>
        <v>5.55625</v>
      </c>
    </row>
    <row r="31" customFormat="false" ht="15" hidden="false" customHeight="false" outlineLevel="0" collapsed="false">
      <c r="A31" s="34" t="n">
        <f aca="false">B31</f>
        <v>0.453125</v>
      </c>
      <c r="B31" s="15" t="n">
        <f aca="false">29/64</f>
        <v>0.453125</v>
      </c>
      <c r="C31" s="14" t="n">
        <f aca="false">B31*25.4</f>
        <v>11.509375</v>
      </c>
      <c r="D31" s="35" t="n">
        <f aca="false">B31/2</f>
        <v>0.2265625</v>
      </c>
      <c r="E31" s="14" t="n">
        <f aca="false">C31/2</f>
        <v>5.7546875</v>
      </c>
    </row>
    <row r="32" customFormat="false" ht="15" hidden="false" customHeight="false" outlineLevel="0" collapsed="false">
      <c r="A32" s="36" t="n">
        <f aca="false">B32</f>
        <v>0.46875</v>
      </c>
      <c r="B32" s="37" t="n">
        <f aca="false">30/64</f>
        <v>0.46875</v>
      </c>
      <c r="C32" s="38" t="n">
        <f aca="false">B32*25.4</f>
        <v>11.90625</v>
      </c>
      <c r="D32" s="39" t="n">
        <f aca="false">B32/2</f>
        <v>0.234375</v>
      </c>
      <c r="E32" s="38" t="n">
        <f aca="false">C32/2</f>
        <v>5.953125</v>
      </c>
    </row>
    <row r="33" customFormat="false" ht="15" hidden="false" customHeight="false" outlineLevel="0" collapsed="false">
      <c r="A33" s="34" t="n">
        <f aca="false">B33</f>
        <v>0.484375</v>
      </c>
      <c r="B33" s="15" t="n">
        <f aca="false">31/64</f>
        <v>0.484375</v>
      </c>
      <c r="C33" s="14" t="n">
        <f aca="false">B33*25.4</f>
        <v>12.303125</v>
      </c>
      <c r="D33" s="35" t="n">
        <f aca="false">B33/2</f>
        <v>0.2421875</v>
      </c>
      <c r="E33" s="14" t="n">
        <f aca="false">C33/2</f>
        <v>6.1515625</v>
      </c>
    </row>
    <row r="34" customFormat="false" ht="15" hidden="false" customHeight="false" outlineLevel="0" collapsed="false">
      <c r="A34" s="36" t="n">
        <f aca="false">B34</f>
        <v>0.5</v>
      </c>
      <c r="B34" s="37" t="n">
        <f aca="false">32/64</f>
        <v>0.5</v>
      </c>
      <c r="C34" s="38" t="n">
        <f aca="false">B34*25.4</f>
        <v>12.7</v>
      </c>
      <c r="D34" s="39" t="n">
        <f aca="false">B34/2</f>
        <v>0.25</v>
      </c>
      <c r="E34" s="38" t="n">
        <f aca="false">C34/2</f>
        <v>6.35</v>
      </c>
    </row>
    <row r="35" customFormat="false" ht="15" hidden="false" customHeight="false" outlineLevel="0" collapsed="false">
      <c r="A35" s="34" t="n">
        <f aca="false">B35</f>
        <v>0.515625</v>
      </c>
      <c r="B35" s="15" t="n">
        <f aca="false">33/64</f>
        <v>0.515625</v>
      </c>
      <c r="C35" s="14" t="n">
        <f aca="false">B35*25.4</f>
        <v>13.096875</v>
      </c>
      <c r="D35" s="35" t="n">
        <f aca="false">B35/2</f>
        <v>0.2578125</v>
      </c>
      <c r="E35" s="14" t="n">
        <f aca="false">C35/2</f>
        <v>6.5484375</v>
      </c>
    </row>
    <row r="36" customFormat="false" ht="15" hidden="false" customHeight="false" outlineLevel="0" collapsed="false">
      <c r="A36" s="36" t="n">
        <f aca="false">B36</f>
        <v>0.53125</v>
      </c>
      <c r="B36" s="37" t="n">
        <f aca="false">34/64</f>
        <v>0.53125</v>
      </c>
      <c r="C36" s="38" t="n">
        <f aca="false">B36*25.4</f>
        <v>13.49375</v>
      </c>
      <c r="D36" s="39" t="n">
        <f aca="false">B36/2</f>
        <v>0.265625</v>
      </c>
      <c r="E36" s="38" t="n">
        <f aca="false">C36/2</f>
        <v>6.746875</v>
      </c>
    </row>
    <row r="37" customFormat="false" ht="15" hidden="false" customHeight="false" outlineLevel="0" collapsed="false">
      <c r="A37" s="34" t="n">
        <f aca="false">B37</f>
        <v>0.546875</v>
      </c>
      <c r="B37" s="15" t="n">
        <f aca="false">35/64</f>
        <v>0.546875</v>
      </c>
      <c r="C37" s="14" t="n">
        <f aca="false">B37*25.4</f>
        <v>13.890625</v>
      </c>
      <c r="D37" s="35" t="n">
        <f aca="false">B37/2</f>
        <v>0.2734375</v>
      </c>
      <c r="E37" s="14" t="n">
        <f aca="false">C37/2</f>
        <v>6.9453125</v>
      </c>
    </row>
    <row r="38" customFormat="false" ht="15" hidden="false" customHeight="false" outlineLevel="0" collapsed="false">
      <c r="A38" s="36" t="n">
        <f aca="false">B38</f>
        <v>0.5625</v>
      </c>
      <c r="B38" s="37" t="n">
        <f aca="false">36/64</f>
        <v>0.5625</v>
      </c>
      <c r="C38" s="38" t="n">
        <f aca="false">B38*25.4</f>
        <v>14.2875</v>
      </c>
      <c r="D38" s="39" t="n">
        <f aca="false">B38/2</f>
        <v>0.28125</v>
      </c>
      <c r="E38" s="38" t="n">
        <f aca="false">C38/2</f>
        <v>7.14375</v>
      </c>
    </row>
    <row r="39" customFormat="false" ht="15" hidden="false" customHeight="false" outlineLevel="0" collapsed="false">
      <c r="A39" s="34" t="n">
        <f aca="false">B39</f>
        <v>0.578125</v>
      </c>
      <c r="B39" s="15" t="n">
        <f aca="false">37/64</f>
        <v>0.578125</v>
      </c>
      <c r="C39" s="14" t="n">
        <f aca="false">B39*25.4</f>
        <v>14.684375</v>
      </c>
      <c r="D39" s="35" t="n">
        <f aca="false">B39/2</f>
        <v>0.2890625</v>
      </c>
      <c r="E39" s="14" t="n">
        <f aca="false">C39/2</f>
        <v>7.3421875</v>
      </c>
    </row>
    <row r="40" customFormat="false" ht="15" hidden="false" customHeight="false" outlineLevel="0" collapsed="false">
      <c r="A40" s="36" t="n">
        <f aca="false">B40</f>
        <v>0.59375</v>
      </c>
      <c r="B40" s="37" t="n">
        <f aca="false">38/64</f>
        <v>0.59375</v>
      </c>
      <c r="C40" s="38" t="n">
        <f aca="false">B40*25.4</f>
        <v>15.08125</v>
      </c>
      <c r="D40" s="39" t="n">
        <f aca="false">B40/2</f>
        <v>0.296875</v>
      </c>
      <c r="E40" s="38" t="n">
        <f aca="false">C40/2</f>
        <v>7.540625</v>
      </c>
    </row>
    <row r="41" customFormat="false" ht="15" hidden="false" customHeight="false" outlineLevel="0" collapsed="false">
      <c r="A41" s="34" t="n">
        <f aca="false">B41</f>
        <v>0.609375</v>
      </c>
      <c r="B41" s="15" t="n">
        <f aca="false">39/64</f>
        <v>0.609375</v>
      </c>
      <c r="C41" s="14" t="n">
        <f aca="false">B41*25.4</f>
        <v>15.478125</v>
      </c>
      <c r="D41" s="35" t="n">
        <f aca="false">B41/2</f>
        <v>0.3046875</v>
      </c>
      <c r="E41" s="14" t="n">
        <f aca="false">C41/2</f>
        <v>7.7390625</v>
      </c>
    </row>
    <row r="42" customFormat="false" ht="15" hidden="false" customHeight="false" outlineLevel="0" collapsed="false">
      <c r="A42" s="36" t="n">
        <f aca="false">B42</f>
        <v>0.625</v>
      </c>
      <c r="B42" s="37" t="n">
        <f aca="false">40/64</f>
        <v>0.625</v>
      </c>
      <c r="C42" s="38" t="n">
        <f aca="false">B42*25.4</f>
        <v>15.875</v>
      </c>
      <c r="D42" s="39" t="n">
        <f aca="false">B42/2</f>
        <v>0.3125</v>
      </c>
      <c r="E42" s="38" t="n">
        <f aca="false">C42/2</f>
        <v>7.9375</v>
      </c>
    </row>
    <row r="43" customFormat="false" ht="15" hidden="false" customHeight="false" outlineLevel="0" collapsed="false">
      <c r="A43" s="34" t="n">
        <f aca="false">B43</f>
        <v>0.640625</v>
      </c>
      <c r="B43" s="15" t="n">
        <f aca="false">41/64</f>
        <v>0.640625</v>
      </c>
      <c r="C43" s="14" t="n">
        <f aca="false">B43*25.4</f>
        <v>16.271875</v>
      </c>
      <c r="D43" s="35" t="n">
        <f aca="false">B43/2</f>
        <v>0.3203125</v>
      </c>
      <c r="E43" s="14" t="n">
        <f aca="false">C43/2</f>
        <v>8.1359375</v>
      </c>
    </row>
    <row r="44" customFormat="false" ht="15" hidden="false" customHeight="false" outlineLevel="0" collapsed="false">
      <c r="A44" s="36" t="n">
        <f aca="false">B44</f>
        <v>0.65625</v>
      </c>
      <c r="B44" s="37" t="n">
        <f aca="false">42/64</f>
        <v>0.65625</v>
      </c>
      <c r="C44" s="38" t="n">
        <f aca="false">B44*25.4</f>
        <v>16.66875</v>
      </c>
      <c r="D44" s="39" t="n">
        <f aca="false">B44/2</f>
        <v>0.328125</v>
      </c>
      <c r="E44" s="38" t="n">
        <f aca="false">C44/2</f>
        <v>8.334375</v>
      </c>
    </row>
    <row r="45" customFormat="false" ht="15" hidden="false" customHeight="false" outlineLevel="0" collapsed="false">
      <c r="A45" s="34" t="n">
        <f aca="false">B45</f>
        <v>0.671875</v>
      </c>
      <c r="B45" s="15" t="n">
        <f aca="false">43/64</f>
        <v>0.671875</v>
      </c>
      <c r="C45" s="14" t="n">
        <f aca="false">B45*25.4</f>
        <v>17.065625</v>
      </c>
      <c r="D45" s="35" t="n">
        <f aca="false">B45/2</f>
        <v>0.3359375</v>
      </c>
      <c r="E45" s="14" t="n">
        <f aca="false">C45/2</f>
        <v>8.5328125</v>
      </c>
    </row>
    <row r="46" customFormat="false" ht="15" hidden="false" customHeight="false" outlineLevel="0" collapsed="false">
      <c r="A46" s="36" t="n">
        <f aca="false">B46</f>
        <v>0.6875</v>
      </c>
      <c r="B46" s="37" t="n">
        <f aca="false">44/64</f>
        <v>0.6875</v>
      </c>
      <c r="C46" s="38" t="n">
        <f aca="false">B46*25.4</f>
        <v>17.4625</v>
      </c>
      <c r="D46" s="39" t="n">
        <f aca="false">B46/2</f>
        <v>0.34375</v>
      </c>
      <c r="E46" s="38" t="n">
        <f aca="false">C46/2</f>
        <v>8.73125</v>
      </c>
    </row>
    <row r="47" customFormat="false" ht="15" hidden="false" customHeight="false" outlineLevel="0" collapsed="false">
      <c r="A47" s="34" t="n">
        <f aca="false">B47</f>
        <v>0.703125</v>
      </c>
      <c r="B47" s="15" t="n">
        <f aca="false">45/64</f>
        <v>0.703125</v>
      </c>
      <c r="C47" s="14" t="n">
        <f aca="false">B47*25.4</f>
        <v>17.859375</v>
      </c>
      <c r="D47" s="35" t="n">
        <f aca="false">B47/2</f>
        <v>0.3515625</v>
      </c>
      <c r="E47" s="14" t="n">
        <f aca="false">C47/2</f>
        <v>8.9296875</v>
      </c>
    </row>
    <row r="48" customFormat="false" ht="15" hidden="false" customHeight="false" outlineLevel="0" collapsed="false">
      <c r="A48" s="36" t="n">
        <f aca="false">B48</f>
        <v>0.71875</v>
      </c>
      <c r="B48" s="37" t="n">
        <f aca="false">46/64</f>
        <v>0.71875</v>
      </c>
      <c r="C48" s="38" t="n">
        <f aca="false">B48*25.4</f>
        <v>18.25625</v>
      </c>
      <c r="D48" s="39" t="n">
        <f aca="false">B48/2</f>
        <v>0.359375</v>
      </c>
      <c r="E48" s="38" t="n">
        <f aca="false">C48/2</f>
        <v>9.128125</v>
      </c>
    </row>
    <row r="49" customFormat="false" ht="15" hidden="false" customHeight="false" outlineLevel="0" collapsed="false">
      <c r="A49" s="34" t="n">
        <f aca="false">B49</f>
        <v>0.734375</v>
      </c>
      <c r="B49" s="15" t="n">
        <f aca="false">47/64</f>
        <v>0.734375</v>
      </c>
      <c r="C49" s="14" t="n">
        <f aca="false">B49*25.4</f>
        <v>18.653125</v>
      </c>
      <c r="D49" s="35" t="n">
        <f aca="false">B49/2</f>
        <v>0.3671875</v>
      </c>
      <c r="E49" s="14" t="n">
        <f aca="false">C49/2</f>
        <v>9.3265625</v>
      </c>
    </row>
    <row r="50" customFormat="false" ht="15" hidden="false" customHeight="false" outlineLevel="0" collapsed="false">
      <c r="A50" s="36" t="n">
        <f aca="false">B50</f>
        <v>0.75</v>
      </c>
      <c r="B50" s="37" t="n">
        <f aca="false">48/64</f>
        <v>0.75</v>
      </c>
      <c r="C50" s="38" t="n">
        <f aca="false">B50*25.4</f>
        <v>19.05</v>
      </c>
      <c r="D50" s="39" t="n">
        <f aca="false">B50/2</f>
        <v>0.375</v>
      </c>
      <c r="E50" s="38" t="n">
        <f aca="false">C50/2</f>
        <v>9.525</v>
      </c>
    </row>
    <row r="51" customFormat="false" ht="15" hidden="false" customHeight="false" outlineLevel="0" collapsed="false">
      <c r="A51" s="34" t="n">
        <f aca="false">B51</f>
        <v>0.765625</v>
      </c>
      <c r="B51" s="15" t="n">
        <f aca="false">49/64</f>
        <v>0.765625</v>
      </c>
      <c r="C51" s="14" t="n">
        <f aca="false">B51*25.4</f>
        <v>19.446875</v>
      </c>
      <c r="D51" s="35" t="n">
        <f aca="false">B51/2</f>
        <v>0.3828125</v>
      </c>
      <c r="E51" s="14" t="n">
        <f aca="false">C51/2</f>
        <v>9.7234375</v>
      </c>
    </row>
    <row r="52" customFormat="false" ht="15" hidden="false" customHeight="false" outlineLevel="0" collapsed="false">
      <c r="A52" s="36" t="n">
        <f aca="false">B52</f>
        <v>0.78125</v>
      </c>
      <c r="B52" s="37" t="n">
        <f aca="false">50/64</f>
        <v>0.78125</v>
      </c>
      <c r="C52" s="38" t="n">
        <f aca="false">B52*25.4</f>
        <v>19.84375</v>
      </c>
      <c r="D52" s="39" t="n">
        <f aca="false">B52/2</f>
        <v>0.390625</v>
      </c>
      <c r="E52" s="38" t="n">
        <f aca="false">C52/2</f>
        <v>9.921875</v>
      </c>
    </row>
    <row r="53" customFormat="false" ht="15" hidden="false" customHeight="false" outlineLevel="0" collapsed="false">
      <c r="A53" s="34" t="n">
        <f aca="false">B53</f>
        <v>0.796875</v>
      </c>
      <c r="B53" s="15" t="n">
        <f aca="false">51/64</f>
        <v>0.796875</v>
      </c>
      <c r="C53" s="14" t="n">
        <f aca="false">B53*25.4</f>
        <v>20.240625</v>
      </c>
      <c r="D53" s="35" t="n">
        <f aca="false">B53/2</f>
        <v>0.3984375</v>
      </c>
      <c r="E53" s="14" t="n">
        <f aca="false">C53/2</f>
        <v>10.1203125</v>
      </c>
    </row>
    <row r="54" customFormat="false" ht="15" hidden="false" customHeight="false" outlineLevel="0" collapsed="false">
      <c r="A54" s="36" t="n">
        <f aca="false">B54</f>
        <v>0.8125</v>
      </c>
      <c r="B54" s="37" t="n">
        <f aca="false">52/64</f>
        <v>0.8125</v>
      </c>
      <c r="C54" s="38" t="n">
        <f aca="false">B54*25.4</f>
        <v>20.6375</v>
      </c>
      <c r="D54" s="39" t="n">
        <f aca="false">B54/2</f>
        <v>0.40625</v>
      </c>
      <c r="E54" s="38" t="n">
        <f aca="false">C54/2</f>
        <v>10.31875</v>
      </c>
    </row>
    <row r="55" customFormat="false" ht="15" hidden="false" customHeight="false" outlineLevel="0" collapsed="false">
      <c r="A55" s="34" t="n">
        <f aca="false">B55</f>
        <v>0.828125</v>
      </c>
      <c r="B55" s="15" t="n">
        <f aca="false">53/64</f>
        <v>0.828125</v>
      </c>
      <c r="C55" s="14" t="n">
        <f aca="false">B55*25.4</f>
        <v>21.034375</v>
      </c>
      <c r="D55" s="35" t="n">
        <f aca="false">B55/2</f>
        <v>0.4140625</v>
      </c>
      <c r="E55" s="14" t="n">
        <f aca="false">C55/2</f>
        <v>10.5171875</v>
      </c>
    </row>
    <row r="56" customFormat="false" ht="15" hidden="false" customHeight="false" outlineLevel="0" collapsed="false">
      <c r="A56" s="36" t="n">
        <f aca="false">B56</f>
        <v>0.84375</v>
      </c>
      <c r="B56" s="37" t="n">
        <f aca="false">54/64</f>
        <v>0.84375</v>
      </c>
      <c r="C56" s="38" t="n">
        <f aca="false">B56*25.4</f>
        <v>21.43125</v>
      </c>
      <c r="D56" s="39" t="n">
        <f aca="false">B56/2</f>
        <v>0.421875</v>
      </c>
      <c r="E56" s="38" t="n">
        <f aca="false">C56/2</f>
        <v>10.715625</v>
      </c>
    </row>
    <row r="57" customFormat="false" ht="15" hidden="false" customHeight="false" outlineLevel="0" collapsed="false">
      <c r="A57" s="34" t="n">
        <f aca="false">B57</f>
        <v>0.859375</v>
      </c>
      <c r="B57" s="15" t="n">
        <f aca="false">55/64</f>
        <v>0.859375</v>
      </c>
      <c r="C57" s="14" t="n">
        <f aca="false">B57*25.4</f>
        <v>21.828125</v>
      </c>
      <c r="D57" s="35" t="n">
        <f aca="false">B57/2</f>
        <v>0.4296875</v>
      </c>
      <c r="E57" s="14" t="n">
        <f aca="false">C57/2</f>
        <v>10.9140625</v>
      </c>
    </row>
    <row r="58" customFormat="false" ht="15" hidden="false" customHeight="false" outlineLevel="0" collapsed="false">
      <c r="A58" s="36" t="n">
        <f aca="false">B58</f>
        <v>0.875</v>
      </c>
      <c r="B58" s="37" t="n">
        <f aca="false">56/64</f>
        <v>0.875</v>
      </c>
      <c r="C58" s="38" t="n">
        <f aca="false">B58*25.4</f>
        <v>22.225</v>
      </c>
      <c r="D58" s="39" t="n">
        <f aca="false">B58/2</f>
        <v>0.4375</v>
      </c>
      <c r="E58" s="38" t="n">
        <f aca="false">C58/2</f>
        <v>11.1125</v>
      </c>
    </row>
    <row r="59" customFormat="false" ht="15" hidden="false" customHeight="false" outlineLevel="0" collapsed="false">
      <c r="A59" s="34" t="n">
        <f aca="false">B59</f>
        <v>0.890625</v>
      </c>
      <c r="B59" s="15" t="n">
        <f aca="false">57/64</f>
        <v>0.890625</v>
      </c>
      <c r="C59" s="14" t="n">
        <f aca="false">B59*25.4</f>
        <v>22.621875</v>
      </c>
      <c r="D59" s="35" t="n">
        <f aca="false">B59/2</f>
        <v>0.4453125</v>
      </c>
      <c r="E59" s="14" t="n">
        <f aca="false">C59/2</f>
        <v>11.3109375</v>
      </c>
    </row>
    <row r="60" customFormat="false" ht="15" hidden="false" customHeight="false" outlineLevel="0" collapsed="false">
      <c r="A60" s="36" t="n">
        <f aca="false">B60</f>
        <v>0.90625</v>
      </c>
      <c r="B60" s="37" t="n">
        <f aca="false">58/64</f>
        <v>0.90625</v>
      </c>
      <c r="C60" s="38" t="n">
        <f aca="false">B60*25.4</f>
        <v>23.01875</v>
      </c>
      <c r="D60" s="39" t="n">
        <f aca="false">B60/2</f>
        <v>0.453125</v>
      </c>
      <c r="E60" s="38" t="n">
        <f aca="false">C60/2</f>
        <v>11.509375</v>
      </c>
    </row>
    <row r="61" customFormat="false" ht="15" hidden="false" customHeight="false" outlineLevel="0" collapsed="false">
      <c r="A61" s="34" t="n">
        <f aca="false">B61</f>
        <v>0.921875</v>
      </c>
      <c r="B61" s="15" t="n">
        <f aca="false">59/64</f>
        <v>0.921875</v>
      </c>
      <c r="C61" s="14" t="n">
        <f aca="false">B61*25.4</f>
        <v>23.415625</v>
      </c>
      <c r="D61" s="35" t="n">
        <f aca="false">B61/2</f>
        <v>0.4609375</v>
      </c>
      <c r="E61" s="14" t="n">
        <f aca="false">C61/2</f>
        <v>11.7078125</v>
      </c>
    </row>
    <row r="62" customFormat="false" ht="15" hidden="false" customHeight="false" outlineLevel="0" collapsed="false">
      <c r="A62" s="36" t="n">
        <f aca="false">B62</f>
        <v>0.9375</v>
      </c>
      <c r="B62" s="37" t="n">
        <f aca="false">60/64</f>
        <v>0.9375</v>
      </c>
      <c r="C62" s="38" t="n">
        <f aca="false">B62*25.4</f>
        <v>23.8125</v>
      </c>
      <c r="D62" s="39" t="n">
        <f aca="false">B62/2</f>
        <v>0.46875</v>
      </c>
      <c r="E62" s="38" t="n">
        <f aca="false">C62/2</f>
        <v>11.90625</v>
      </c>
    </row>
    <row r="63" customFormat="false" ht="15" hidden="false" customHeight="false" outlineLevel="0" collapsed="false">
      <c r="A63" s="34" t="n">
        <f aca="false">B63</f>
        <v>0.953125</v>
      </c>
      <c r="B63" s="15" t="n">
        <f aca="false">61/64</f>
        <v>0.953125</v>
      </c>
      <c r="C63" s="14" t="n">
        <f aca="false">B63*25.4</f>
        <v>24.209375</v>
      </c>
      <c r="D63" s="35" t="n">
        <f aca="false">B63/2</f>
        <v>0.4765625</v>
      </c>
      <c r="E63" s="14" t="n">
        <f aca="false">C63/2</f>
        <v>12.1046875</v>
      </c>
    </row>
    <row r="64" customFormat="false" ht="15" hidden="false" customHeight="false" outlineLevel="0" collapsed="false">
      <c r="A64" s="36" t="n">
        <f aca="false">B64</f>
        <v>0.96875</v>
      </c>
      <c r="B64" s="37" t="n">
        <f aca="false">62/64</f>
        <v>0.96875</v>
      </c>
      <c r="C64" s="38" t="n">
        <f aca="false">B64*25.4</f>
        <v>24.60625</v>
      </c>
      <c r="D64" s="39" t="n">
        <f aca="false">B64/2</f>
        <v>0.484375</v>
      </c>
      <c r="E64" s="38" t="n">
        <f aca="false">C64/2</f>
        <v>12.303125</v>
      </c>
    </row>
    <row r="65" customFormat="false" ht="15" hidden="false" customHeight="false" outlineLevel="0" collapsed="false">
      <c r="A65" s="34" t="n">
        <f aca="false">B65</f>
        <v>0.984375</v>
      </c>
      <c r="B65" s="15" t="n">
        <f aca="false">63/64</f>
        <v>0.984375</v>
      </c>
      <c r="C65" s="14" t="n">
        <f aca="false">B65*25.4</f>
        <v>25.003125</v>
      </c>
      <c r="D65" s="35" t="n">
        <f aca="false">B65/2</f>
        <v>0.4921875</v>
      </c>
      <c r="E65" s="14" t="n">
        <f aca="false">C65/2</f>
        <v>12.5015625</v>
      </c>
    </row>
    <row r="66" customFormat="false" ht="15" hidden="false" customHeight="false" outlineLevel="0" collapsed="false">
      <c r="A66" s="36" t="n">
        <f aca="false">B66</f>
        <v>1</v>
      </c>
      <c r="B66" s="37" t="n">
        <f aca="false">64/64</f>
        <v>1</v>
      </c>
      <c r="C66" s="38" t="n">
        <f aca="false">B66*25.4</f>
        <v>25.4</v>
      </c>
      <c r="D66" s="39" t="n">
        <f aca="false">B66/2</f>
        <v>0.5</v>
      </c>
      <c r="E66" s="38" t="n">
        <f aca="false">C66/2</f>
        <v>12.7</v>
      </c>
    </row>
    <row r="67" customFormat="false" ht="15" hidden="false" customHeight="false" outlineLevel="0" collapsed="false">
      <c r="A67" s="34" t="n">
        <f aca="false">B67</f>
        <v>1.015625</v>
      </c>
      <c r="B67" s="15" t="n">
        <f aca="false">65/64</f>
        <v>1.015625</v>
      </c>
      <c r="C67" s="14" t="n">
        <f aca="false">B67*25.4</f>
        <v>25.796875</v>
      </c>
      <c r="D67" s="35" t="n">
        <f aca="false">B67/2</f>
        <v>0.5078125</v>
      </c>
      <c r="E67" s="14" t="n">
        <f aca="false">C67/2</f>
        <v>12.8984375</v>
      </c>
    </row>
    <row r="68" customFormat="false" ht="15" hidden="false" customHeight="false" outlineLevel="0" collapsed="false">
      <c r="A68" s="36" t="n">
        <f aca="false">B68</f>
        <v>1.03125</v>
      </c>
      <c r="B68" s="37" t="n">
        <f aca="false">66/64</f>
        <v>1.03125</v>
      </c>
      <c r="C68" s="38" t="n">
        <f aca="false">B68*25.4</f>
        <v>26.19375</v>
      </c>
      <c r="D68" s="39" t="n">
        <f aca="false">B68/2</f>
        <v>0.515625</v>
      </c>
      <c r="E68" s="38" t="n">
        <f aca="false">C68/2</f>
        <v>13.096875</v>
      </c>
    </row>
    <row r="69" customFormat="false" ht="15" hidden="false" customHeight="false" outlineLevel="0" collapsed="false">
      <c r="A69" s="34" t="n">
        <f aca="false">B69</f>
        <v>1.046875</v>
      </c>
      <c r="B69" s="15" t="n">
        <f aca="false">67/64</f>
        <v>1.046875</v>
      </c>
      <c r="C69" s="14" t="n">
        <f aca="false">B69*25.4</f>
        <v>26.590625</v>
      </c>
      <c r="D69" s="35" t="n">
        <f aca="false">B69/2</f>
        <v>0.5234375</v>
      </c>
      <c r="E69" s="14" t="n">
        <f aca="false">C69/2</f>
        <v>13.2953125</v>
      </c>
    </row>
    <row r="70" customFormat="false" ht="15" hidden="false" customHeight="false" outlineLevel="0" collapsed="false">
      <c r="A70" s="36" t="n">
        <f aca="false">B70</f>
        <v>1.0625</v>
      </c>
      <c r="B70" s="37" t="n">
        <f aca="false">68/64</f>
        <v>1.0625</v>
      </c>
      <c r="C70" s="38" t="n">
        <f aca="false">B70*25.4</f>
        <v>26.9875</v>
      </c>
      <c r="D70" s="39" t="n">
        <f aca="false">B70/2</f>
        <v>0.53125</v>
      </c>
      <c r="E70" s="38" t="n">
        <f aca="false">C70/2</f>
        <v>13.49375</v>
      </c>
    </row>
    <row r="71" customFormat="false" ht="15" hidden="false" customHeight="false" outlineLevel="0" collapsed="false">
      <c r="A71" s="34" t="n">
        <f aca="false">B71</f>
        <v>1.078125</v>
      </c>
      <c r="B71" s="15" t="n">
        <f aca="false">69/64</f>
        <v>1.078125</v>
      </c>
      <c r="C71" s="14" t="n">
        <f aca="false">B71*25.4</f>
        <v>27.384375</v>
      </c>
      <c r="D71" s="35" t="n">
        <f aca="false">B71/2</f>
        <v>0.5390625</v>
      </c>
      <c r="E71" s="14" t="n">
        <f aca="false">C71/2</f>
        <v>13.6921875</v>
      </c>
    </row>
    <row r="72" customFormat="false" ht="15" hidden="false" customHeight="false" outlineLevel="0" collapsed="false">
      <c r="A72" s="36" t="n">
        <f aca="false">B72</f>
        <v>1.09375</v>
      </c>
      <c r="B72" s="37" t="n">
        <f aca="false">70/64</f>
        <v>1.09375</v>
      </c>
      <c r="C72" s="38" t="n">
        <f aca="false">B72*25.4</f>
        <v>27.78125</v>
      </c>
      <c r="D72" s="39" t="n">
        <f aca="false">B72/2</f>
        <v>0.546875</v>
      </c>
      <c r="E72" s="38" t="n">
        <f aca="false">C72/2</f>
        <v>13.890625</v>
      </c>
    </row>
    <row r="73" customFormat="false" ht="15" hidden="false" customHeight="false" outlineLevel="0" collapsed="false">
      <c r="A73" s="34" t="n">
        <f aca="false">B73</f>
        <v>1.109375</v>
      </c>
      <c r="B73" s="15" t="n">
        <f aca="false">71/64</f>
        <v>1.109375</v>
      </c>
      <c r="C73" s="14" t="n">
        <f aca="false">B73*25.4</f>
        <v>28.178125</v>
      </c>
      <c r="D73" s="35" t="n">
        <f aca="false">B73/2</f>
        <v>0.5546875</v>
      </c>
      <c r="E73" s="14" t="n">
        <f aca="false">C73/2</f>
        <v>14.0890625</v>
      </c>
    </row>
    <row r="74" customFormat="false" ht="15" hidden="false" customHeight="false" outlineLevel="0" collapsed="false">
      <c r="A74" s="36" t="n">
        <f aca="false">B74</f>
        <v>1.125</v>
      </c>
      <c r="B74" s="37" t="n">
        <f aca="false">72/64</f>
        <v>1.125</v>
      </c>
      <c r="C74" s="38" t="n">
        <f aca="false">B74*25.4</f>
        <v>28.575</v>
      </c>
      <c r="D74" s="39" t="n">
        <f aca="false">B74/2</f>
        <v>0.5625</v>
      </c>
      <c r="E74" s="38" t="n">
        <f aca="false">C74/2</f>
        <v>14.2875</v>
      </c>
    </row>
    <row r="75" customFormat="false" ht="15" hidden="false" customHeight="false" outlineLevel="0" collapsed="false">
      <c r="A75" s="34" t="n">
        <f aca="false">B75</f>
        <v>1.140625</v>
      </c>
      <c r="B75" s="15" t="n">
        <f aca="false">73/64</f>
        <v>1.140625</v>
      </c>
      <c r="C75" s="14" t="n">
        <f aca="false">B75*25.4</f>
        <v>28.971875</v>
      </c>
      <c r="D75" s="35" t="n">
        <f aca="false">B75/2</f>
        <v>0.5703125</v>
      </c>
      <c r="E75" s="14" t="n">
        <f aca="false">C75/2</f>
        <v>14.4859375</v>
      </c>
    </row>
    <row r="76" customFormat="false" ht="15" hidden="false" customHeight="false" outlineLevel="0" collapsed="false">
      <c r="A76" s="36" t="n">
        <f aca="false">B76</f>
        <v>1.15625</v>
      </c>
      <c r="B76" s="37" t="n">
        <f aca="false">74/64</f>
        <v>1.15625</v>
      </c>
      <c r="C76" s="38" t="n">
        <f aca="false">B76*25.4</f>
        <v>29.36875</v>
      </c>
      <c r="D76" s="39" t="n">
        <f aca="false">B76/2</f>
        <v>0.578125</v>
      </c>
      <c r="E76" s="38" t="n">
        <f aca="false">C76/2</f>
        <v>14.684375</v>
      </c>
    </row>
    <row r="77" customFormat="false" ht="15" hidden="false" customHeight="false" outlineLevel="0" collapsed="false">
      <c r="A77" s="34" t="n">
        <f aca="false">B77</f>
        <v>1.171875</v>
      </c>
      <c r="B77" s="15" t="n">
        <f aca="false">75/64</f>
        <v>1.171875</v>
      </c>
      <c r="C77" s="14" t="n">
        <f aca="false">B77*25.4</f>
        <v>29.765625</v>
      </c>
      <c r="D77" s="35" t="n">
        <f aca="false">B77/2</f>
        <v>0.5859375</v>
      </c>
      <c r="E77" s="14" t="n">
        <f aca="false">C77/2</f>
        <v>14.8828125</v>
      </c>
    </row>
    <row r="78" customFormat="false" ht="15" hidden="false" customHeight="false" outlineLevel="0" collapsed="false">
      <c r="A78" s="36" t="n">
        <f aca="false">B78</f>
        <v>1.1875</v>
      </c>
      <c r="B78" s="37" t="n">
        <f aca="false">76/64</f>
        <v>1.1875</v>
      </c>
      <c r="C78" s="38" t="n">
        <f aca="false">B78*25.4</f>
        <v>30.1625</v>
      </c>
      <c r="D78" s="39" t="n">
        <f aca="false">B78/2</f>
        <v>0.59375</v>
      </c>
      <c r="E78" s="38" t="n">
        <f aca="false">C78/2</f>
        <v>15.08125</v>
      </c>
    </row>
    <row r="79" customFormat="false" ht="15" hidden="false" customHeight="false" outlineLevel="0" collapsed="false">
      <c r="A79" s="34" t="n">
        <f aca="false">B79</f>
        <v>1.203125</v>
      </c>
      <c r="B79" s="15" t="n">
        <f aca="false">77/64</f>
        <v>1.203125</v>
      </c>
      <c r="C79" s="14" t="n">
        <f aca="false">B79*25.4</f>
        <v>30.559375</v>
      </c>
      <c r="D79" s="35" t="n">
        <f aca="false">B79/2</f>
        <v>0.6015625</v>
      </c>
      <c r="E79" s="14" t="n">
        <f aca="false">C79/2</f>
        <v>15.2796875</v>
      </c>
    </row>
    <row r="80" customFormat="false" ht="15" hidden="false" customHeight="false" outlineLevel="0" collapsed="false">
      <c r="A80" s="36" t="n">
        <f aca="false">B80</f>
        <v>1.21875</v>
      </c>
      <c r="B80" s="37" t="n">
        <f aca="false">78/64</f>
        <v>1.21875</v>
      </c>
      <c r="C80" s="38" t="n">
        <f aca="false">B80*25.4</f>
        <v>30.95625</v>
      </c>
      <c r="D80" s="39" t="n">
        <f aca="false">B80/2</f>
        <v>0.609375</v>
      </c>
      <c r="E80" s="38" t="n">
        <f aca="false">C80/2</f>
        <v>15.478125</v>
      </c>
    </row>
    <row r="81" customFormat="false" ht="15" hidden="false" customHeight="false" outlineLevel="0" collapsed="false">
      <c r="A81" s="34" t="n">
        <f aca="false">B81</f>
        <v>1.234375</v>
      </c>
      <c r="B81" s="15" t="n">
        <f aca="false">79/64</f>
        <v>1.234375</v>
      </c>
      <c r="C81" s="14" t="n">
        <f aca="false">B81*25.4</f>
        <v>31.353125</v>
      </c>
      <c r="D81" s="35" t="n">
        <f aca="false">B81/2</f>
        <v>0.6171875</v>
      </c>
      <c r="E81" s="14" t="n">
        <f aca="false">C81/2</f>
        <v>15.6765625</v>
      </c>
    </row>
    <row r="82" customFormat="false" ht="15" hidden="false" customHeight="false" outlineLevel="0" collapsed="false">
      <c r="A82" s="36" t="n">
        <f aca="false">B82</f>
        <v>1.25</v>
      </c>
      <c r="B82" s="37" t="n">
        <f aca="false">80/64</f>
        <v>1.25</v>
      </c>
      <c r="C82" s="38" t="n">
        <f aca="false">B82*25.4</f>
        <v>31.75</v>
      </c>
      <c r="D82" s="39" t="n">
        <f aca="false">B82/2</f>
        <v>0.625</v>
      </c>
      <c r="E82" s="38" t="n">
        <f aca="false">C82/2</f>
        <v>15.875</v>
      </c>
    </row>
    <row r="83" customFormat="false" ht="15" hidden="false" customHeight="false" outlineLevel="0" collapsed="false">
      <c r="A83" s="34" t="n">
        <f aca="false">B83</f>
        <v>1.265625</v>
      </c>
      <c r="B83" s="15" t="n">
        <f aca="false">81/64</f>
        <v>1.265625</v>
      </c>
      <c r="C83" s="14" t="n">
        <f aca="false">B83*25.4</f>
        <v>32.146875</v>
      </c>
      <c r="D83" s="35" t="n">
        <f aca="false">B83/2</f>
        <v>0.6328125</v>
      </c>
      <c r="E83" s="14" t="n">
        <f aca="false">C83/2</f>
        <v>16.0734375</v>
      </c>
    </row>
    <row r="84" customFormat="false" ht="15" hidden="false" customHeight="false" outlineLevel="0" collapsed="false">
      <c r="A84" s="36" t="n">
        <f aca="false">B84</f>
        <v>1.28125</v>
      </c>
      <c r="B84" s="37" t="n">
        <f aca="false">82/64</f>
        <v>1.28125</v>
      </c>
      <c r="C84" s="38" t="n">
        <f aca="false">B84*25.4</f>
        <v>32.54375</v>
      </c>
      <c r="D84" s="39" t="n">
        <f aca="false">B84/2</f>
        <v>0.640625</v>
      </c>
      <c r="E84" s="38" t="n">
        <f aca="false">C84/2</f>
        <v>16.271875</v>
      </c>
    </row>
    <row r="85" customFormat="false" ht="15" hidden="false" customHeight="false" outlineLevel="0" collapsed="false">
      <c r="A85" s="34" t="n">
        <f aca="false">B85</f>
        <v>1.296875</v>
      </c>
      <c r="B85" s="15" t="n">
        <f aca="false">83/64</f>
        <v>1.296875</v>
      </c>
      <c r="C85" s="14" t="n">
        <f aca="false">B85*25.4</f>
        <v>32.940625</v>
      </c>
      <c r="D85" s="35" t="n">
        <f aca="false">B85/2</f>
        <v>0.6484375</v>
      </c>
      <c r="E85" s="14" t="n">
        <f aca="false">C85/2</f>
        <v>16.4703125</v>
      </c>
    </row>
    <row r="86" customFormat="false" ht="15" hidden="false" customHeight="false" outlineLevel="0" collapsed="false">
      <c r="A86" s="36" t="n">
        <f aca="false">B86</f>
        <v>1.3125</v>
      </c>
      <c r="B86" s="37" t="n">
        <f aca="false">84/64</f>
        <v>1.3125</v>
      </c>
      <c r="C86" s="38" t="n">
        <f aca="false">B86*25.4</f>
        <v>33.3375</v>
      </c>
      <c r="D86" s="39" t="n">
        <f aca="false">B86/2</f>
        <v>0.65625</v>
      </c>
      <c r="E86" s="38" t="n">
        <f aca="false">C86/2</f>
        <v>16.66875</v>
      </c>
    </row>
    <row r="87" customFormat="false" ht="15" hidden="false" customHeight="false" outlineLevel="0" collapsed="false">
      <c r="A87" s="34" t="n">
        <f aca="false">B87</f>
        <v>1.328125</v>
      </c>
      <c r="B87" s="15" t="n">
        <f aca="false">85/64</f>
        <v>1.328125</v>
      </c>
      <c r="C87" s="14" t="n">
        <f aca="false">B87*25.4</f>
        <v>33.734375</v>
      </c>
      <c r="D87" s="35" t="n">
        <f aca="false">B87/2</f>
        <v>0.6640625</v>
      </c>
      <c r="E87" s="14" t="n">
        <f aca="false">C87/2</f>
        <v>16.8671875</v>
      </c>
    </row>
    <row r="88" customFormat="false" ht="15" hidden="false" customHeight="false" outlineLevel="0" collapsed="false">
      <c r="A88" s="36" t="n">
        <f aca="false">B88</f>
        <v>1.34375</v>
      </c>
      <c r="B88" s="37" t="n">
        <f aca="false">86/64</f>
        <v>1.34375</v>
      </c>
      <c r="C88" s="38" t="n">
        <f aca="false">B88*25.4</f>
        <v>34.13125</v>
      </c>
      <c r="D88" s="39" t="n">
        <f aca="false">B88/2</f>
        <v>0.671875</v>
      </c>
      <c r="E88" s="38" t="n">
        <f aca="false">C88/2</f>
        <v>17.065625</v>
      </c>
    </row>
    <row r="89" customFormat="false" ht="15" hidden="false" customHeight="false" outlineLevel="0" collapsed="false">
      <c r="A89" s="34" t="n">
        <f aca="false">B89</f>
        <v>1.359375</v>
      </c>
      <c r="B89" s="15" t="n">
        <f aca="false">87/64</f>
        <v>1.359375</v>
      </c>
      <c r="C89" s="14" t="n">
        <f aca="false">B89*25.4</f>
        <v>34.528125</v>
      </c>
      <c r="D89" s="35" t="n">
        <f aca="false">B89/2</f>
        <v>0.6796875</v>
      </c>
      <c r="E89" s="14" t="n">
        <f aca="false">C89/2</f>
        <v>17.2640625</v>
      </c>
    </row>
    <row r="90" customFormat="false" ht="15" hidden="false" customHeight="false" outlineLevel="0" collapsed="false">
      <c r="A90" s="36" t="n">
        <f aca="false">B90</f>
        <v>1.375</v>
      </c>
      <c r="B90" s="37" t="n">
        <f aca="false">88/64</f>
        <v>1.375</v>
      </c>
      <c r="C90" s="38" t="n">
        <f aca="false">B90*25.4</f>
        <v>34.925</v>
      </c>
      <c r="D90" s="39" t="n">
        <f aca="false">B90/2</f>
        <v>0.6875</v>
      </c>
      <c r="E90" s="38" t="n">
        <f aca="false">C90/2</f>
        <v>17.4625</v>
      </c>
    </row>
    <row r="91" customFormat="false" ht="15" hidden="false" customHeight="false" outlineLevel="0" collapsed="false">
      <c r="A91" s="34" t="n">
        <f aca="false">B91</f>
        <v>1.390625</v>
      </c>
      <c r="B91" s="15" t="n">
        <f aca="false">89/64</f>
        <v>1.390625</v>
      </c>
      <c r="C91" s="14" t="n">
        <f aca="false">B91*25.4</f>
        <v>35.321875</v>
      </c>
      <c r="D91" s="35" t="n">
        <f aca="false">B91/2</f>
        <v>0.6953125</v>
      </c>
      <c r="E91" s="14" t="n">
        <f aca="false">C91/2</f>
        <v>17.6609375</v>
      </c>
    </row>
    <row r="92" customFormat="false" ht="15" hidden="false" customHeight="false" outlineLevel="0" collapsed="false">
      <c r="A92" s="36" t="n">
        <f aca="false">B92</f>
        <v>1.40625</v>
      </c>
      <c r="B92" s="37" t="n">
        <f aca="false">90/64</f>
        <v>1.40625</v>
      </c>
      <c r="C92" s="38" t="n">
        <f aca="false">B92*25.4</f>
        <v>35.71875</v>
      </c>
      <c r="D92" s="39" t="n">
        <f aca="false">B92/2</f>
        <v>0.703125</v>
      </c>
      <c r="E92" s="38" t="n">
        <f aca="false">C92/2</f>
        <v>17.859375</v>
      </c>
    </row>
    <row r="93" customFormat="false" ht="15" hidden="false" customHeight="false" outlineLevel="0" collapsed="false">
      <c r="A93" s="34" t="n">
        <f aca="false">B93</f>
        <v>1.421875</v>
      </c>
      <c r="B93" s="15" t="n">
        <f aca="false">91/64</f>
        <v>1.421875</v>
      </c>
      <c r="C93" s="14" t="n">
        <f aca="false">B93*25.4</f>
        <v>36.115625</v>
      </c>
      <c r="D93" s="35" t="n">
        <f aca="false">B93/2</f>
        <v>0.7109375</v>
      </c>
      <c r="E93" s="14" t="n">
        <f aca="false">C93/2</f>
        <v>18.0578125</v>
      </c>
    </row>
    <row r="94" customFormat="false" ht="15" hidden="false" customHeight="false" outlineLevel="0" collapsed="false">
      <c r="A94" s="36" t="n">
        <f aca="false">B94</f>
        <v>1.4375</v>
      </c>
      <c r="B94" s="37" t="n">
        <f aca="false">92/64</f>
        <v>1.4375</v>
      </c>
      <c r="C94" s="38" t="n">
        <f aca="false">B94*25.4</f>
        <v>36.5125</v>
      </c>
      <c r="D94" s="39" t="n">
        <f aca="false">B94/2</f>
        <v>0.71875</v>
      </c>
      <c r="E94" s="38" t="n">
        <f aca="false">C94/2</f>
        <v>18.25625</v>
      </c>
    </row>
    <row r="95" customFormat="false" ht="15" hidden="false" customHeight="false" outlineLevel="0" collapsed="false">
      <c r="A95" s="34" t="n">
        <f aca="false">B95</f>
        <v>1.453125</v>
      </c>
      <c r="B95" s="15" t="n">
        <f aca="false">93/64</f>
        <v>1.453125</v>
      </c>
      <c r="C95" s="14" t="n">
        <f aca="false">B95*25.4</f>
        <v>36.909375</v>
      </c>
      <c r="D95" s="35" t="n">
        <f aca="false">B95/2</f>
        <v>0.7265625</v>
      </c>
      <c r="E95" s="14" t="n">
        <f aca="false">C95/2</f>
        <v>18.4546875</v>
      </c>
    </row>
    <row r="96" customFormat="false" ht="15" hidden="false" customHeight="false" outlineLevel="0" collapsed="false">
      <c r="A96" s="36" t="n">
        <f aca="false">B96</f>
        <v>1.46875</v>
      </c>
      <c r="B96" s="37" t="n">
        <f aca="false">94/64</f>
        <v>1.46875</v>
      </c>
      <c r="C96" s="38" t="n">
        <f aca="false">B96*25.4</f>
        <v>37.30625</v>
      </c>
      <c r="D96" s="39" t="n">
        <f aca="false">B96/2</f>
        <v>0.734375</v>
      </c>
      <c r="E96" s="38" t="n">
        <f aca="false">C96/2</f>
        <v>18.653125</v>
      </c>
    </row>
    <row r="97" customFormat="false" ht="15" hidden="false" customHeight="false" outlineLevel="0" collapsed="false">
      <c r="A97" s="34" t="n">
        <f aca="false">B97</f>
        <v>1.484375</v>
      </c>
      <c r="B97" s="15" t="n">
        <f aca="false">95/64</f>
        <v>1.484375</v>
      </c>
      <c r="C97" s="14" t="n">
        <f aca="false">B97*25.4</f>
        <v>37.703125</v>
      </c>
      <c r="D97" s="35" t="n">
        <f aca="false">B97/2</f>
        <v>0.7421875</v>
      </c>
      <c r="E97" s="14" t="n">
        <f aca="false">C97/2</f>
        <v>18.8515625</v>
      </c>
    </row>
    <row r="98" customFormat="false" ht="15" hidden="false" customHeight="false" outlineLevel="0" collapsed="false">
      <c r="A98" s="36" t="n">
        <f aca="false">B98</f>
        <v>1.5</v>
      </c>
      <c r="B98" s="37" t="n">
        <f aca="false">96/64</f>
        <v>1.5</v>
      </c>
      <c r="C98" s="38" t="n">
        <f aca="false">B98*25.4</f>
        <v>38.1</v>
      </c>
      <c r="D98" s="39" t="n">
        <f aca="false">B98/2</f>
        <v>0.75</v>
      </c>
      <c r="E98" s="38" t="n">
        <f aca="false">C98/2</f>
        <v>19.05</v>
      </c>
    </row>
    <row r="99" customFormat="false" ht="15" hidden="false" customHeight="false" outlineLevel="0" collapsed="false">
      <c r="A99" s="34" t="n">
        <f aca="false">B99</f>
        <v>1.515625</v>
      </c>
      <c r="B99" s="15" t="n">
        <f aca="false">97/64</f>
        <v>1.515625</v>
      </c>
      <c r="C99" s="14" t="n">
        <f aca="false">B99*25.4</f>
        <v>38.496875</v>
      </c>
      <c r="D99" s="35" t="n">
        <f aca="false">B99/2</f>
        <v>0.7578125</v>
      </c>
      <c r="E99" s="14" t="n">
        <f aca="false">C99/2</f>
        <v>19.2484375</v>
      </c>
    </row>
    <row r="100" customFormat="false" ht="15" hidden="false" customHeight="false" outlineLevel="0" collapsed="false">
      <c r="A100" s="36" t="n">
        <f aca="false">B100</f>
        <v>1.53125</v>
      </c>
      <c r="B100" s="37" t="n">
        <f aca="false">98/64</f>
        <v>1.53125</v>
      </c>
      <c r="C100" s="38" t="n">
        <f aca="false">B100*25.4</f>
        <v>38.89375</v>
      </c>
      <c r="D100" s="39" t="n">
        <f aca="false">B100/2</f>
        <v>0.765625</v>
      </c>
      <c r="E100" s="38" t="n">
        <f aca="false">C100/2</f>
        <v>19.446875</v>
      </c>
    </row>
    <row r="101" customFormat="false" ht="15" hidden="false" customHeight="false" outlineLevel="0" collapsed="false">
      <c r="A101" s="34" t="n">
        <f aca="false">B101</f>
        <v>1.546875</v>
      </c>
      <c r="B101" s="15" t="n">
        <f aca="false">99/64</f>
        <v>1.546875</v>
      </c>
      <c r="C101" s="14" t="n">
        <f aca="false">B101*25.4</f>
        <v>39.290625</v>
      </c>
      <c r="D101" s="35" t="n">
        <f aca="false">B101/2</f>
        <v>0.7734375</v>
      </c>
      <c r="E101" s="14" t="n">
        <f aca="false">C101/2</f>
        <v>19.6453125</v>
      </c>
    </row>
    <row r="102" customFormat="false" ht="15" hidden="false" customHeight="false" outlineLevel="0" collapsed="false">
      <c r="A102" s="36" t="n">
        <f aca="false">B102</f>
        <v>1.5625</v>
      </c>
      <c r="B102" s="37" t="n">
        <f aca="false">100/64</f>
        <v>1.5625</v>
      </c>
      <c r="C102" s="38" t="n">
        <f aca="false">B102*25.4</f>
        <v>39.6875</v>
      </c>
      <c r="D102" s="39" t="n">
        <f aca="false">B102/2</f>
        <v>0.78125</v>
      </c>
      <c r="E102" s="38" t="n">
        <f aca="false">C102/2</f>
        <v>19.84375</v>
      </c>
    </row>
    <row r="103" customFormat="false" ht="15" hidden="false" customHeight="false" outlineLevel="0" collapsed="false">
      <c r="A103" s="34" t="n">
        <f aca="false">B103</f>
        <v>1.578125</v>
      </c>
      <c r="B103" s="15" t="n">
        <f aca="false">101/64</f>
        <v>1.578125</v>
      </c>
      <c r="C103" s="14" t="n">
        <f aca="false">B103*25.4</f>
        <v>40.084375</v>
      </c>
      <c r="D103" s="35" t="n">
        <f aca="false">B103/2</f>
        <v>0.7890625</v>
      </c>
      <c r="E103" s="14" t="n">
        <f aca="false">C103/2</f>
        <v>20.0421875</v>
      </c>
    </row>
    <row r="104" customFormat="false" ht="15" hidden="false" customHeight="false" outlineLevel="0" collapsed="false">
      <c r="A104" s="36" t="n">
        <f aca="false">B104</f>
        <v>1.59375</v>
      </c>
      <c r="B104" s="37" t="n">
        <f aca="false">102/64</f>
        <v>1.59375</v>
      </c>
      <c r="C104" s="38" t="n">
        <f aca="false">B104*25.4</f>
        <v>40.48125</v>
      </c>
      <c r="D104" s="39" t="n">
        <f aca="false">B104/2</f>
        <v>0.796875</v>
      </c>
      <c r="E104" s="38" t="n">
        <f aca="false">C104/2</f>
        <v>20.240625</v>
      </c>
    </row>
    <row r="105" customFormat="false" ht="15" hidden="false" customHeight="false" outlineLevel="0" collapsed="false">
      <c r="A105" s="34" t="n">
        <f aca="false">B105</f>
        <v>1.609375</v>
      </c>
      <c r="B105" s="15" t="n">
        <f aca="false">103/64</f>
        <v>1.609375</v>
      </c>
      <c r="C105" s="14" t="n">
        <f aca="false">B105*25.4</f>
        <v>40.878125</v>
      </c>
      <c r="D105" s="35" t="n">
        <f aca="false">B105/2</f>
        <v>0.8046875</v>
      </c>
      <c r="E105" s="14" t="n">
        <f aca="false">C105/2</f>
        <v>20.4390625</v>
      </c>
    </row>
    <row r="106" customFormat="false" ht="15" hidden="false" customHeight="false" outlineLevel="0" collapsed="false">
      <c r="A106" s="36" t="n">
        <f aca="false">B106</f>
        <v>1.625</v>
      </c>
      <c r="B106" s="37" t="n">
        <f aca="false">104/64</f>
        <v>1.625</v>
      </c>
      <c r="C106" s="38" t="n">
        <f aca="false">B106*25.4</f>
        <v>41.275</v>
      </c>
      <c r="D106" s="39" t="n">
        <f aca="false">B106/2</f>
        <v>0.8125</v>
      </c>
      <c r="E106" s="38" t="n">
        <f aca="false">C106/2</f>
        <v>20.6375</v>
      </c>
    </row>
    <row r="107" customFormat="false" ht="15" hidden="false" customHeight="false" outlineLevel="0" collapsed="false">
      <c r="A107" s="34" t="n">
        <f aca="false">B107</f>
        <v>1.640625</v>
      </c>
      <c r="B107" s="15" t="n">
        <f aca="false">105/64</f>
        <v>1.640625</v>
      </c>
      <c r="C107" s="14" t="n">
        <f aca="false">B107*25.4</f>
        <v>41.671875</v>
      </c>
      <c r="D107" s="35" t="n">
        <f aca="false">B107/2</f>
        <v>0.8203125</v>
      </c>
      <c r="E107" s="14" t="n">
        <f aca="false">C107/2</f>
        <v>20.8359375</v>
      </c>
    </row>
    <row r="108" customFormat="false" ht="15" hidden="false" customHeight="false" outlineLevel="0" collapsed="false">
      <c r="A108" s="36" t="n">
        <f aca="false">B108</f>
        <v>1.65625</v>
      </c>
      <c r="B108" s="37" t="n">
        <f aca="false">106/64</f>
        <v>1.65625</v>
      </c>
      <c r="C108" s="38" t="n">
        <f aca="false">B108*25.4</f>
        <v>42.06875</v>
      </c>
      <c r="D108" s="39" t="n">
        <f aca="false">B108/2</f>
        <v>0.828125</v>
      </c>
      <c r="E108" s="38" t="n">
        <f aca="false">C108/2</f>
        <v>21.034375</v>
      </c>
    </row>
    <row r="109" customFormat="false" ht="15" hidden="false" customHeight="false" outlineLevel="0" collapsed="false">
      <c r="A109" s="34" t="n">
        <f aca="false">B109</f>
        <v>1.671875</v>
      </c>
      <c r="B109" s="15" t="n">
        <f aca="false">107/64</f>
        <v>1.671875</v>
      </c>
      <c r="C109" s="14" t="n">
        <f aca="false">B109*25.4</f>
        <v>42.465625</v>
      </c>
      <c r="D109" s="35" t="n">
        <f aca="false">B109/2</f>
        <v>0.8359375</v>
      </c>
      <c r="E109" s="14" t="n">
        <f aca="false">C109/2</f>
        <v>21.2328125</v>
      </c>
    </row>
    <row r="110" customFormat="false" ht="15" hidden="false" customHeight="false" outlineLevel="0" collapsed="false">
      <c r="A110" s="36" t="n">
        <f aca="false">B110</f>
        <v>1.6875</v>
      </c>
      <c r="B110" s="37" t="n">
        <f aca="false">108/64</f>
        <v>1.6875</v>
      </c>
      <c r="C110" s="38" t="n">
        <f aca="false">B110*25.4</f>
        <v>42.8625</v>
      </c>
      <c r="D110" s="39" t="n">
        <f aca="false">B110/2</f>
        <v>0.84375</v>
      </c>
      <c r="E110" s="38" t="n">
        <f aca="false">C110/2</f>
        <v>21.43125</v>
      </c>
    </row>
    <row r="111" customFormat="false" ht="15" hidden="false" customHeight="false" outlineLevel="0" collapsed="false">
      <c r="A111" s="34" t="n">
        <f aca="false">B111</f>
        <v>1.703125</v>
      </c>
      <c r="B111" s="15" t="n">
        <f aca="false">109/64</f>
        <v>1.703125</v>
      </c>
      <c r="C111" s="14" t="n">
        <f aca="false">B111*25.4</f>
        <v>43.259375</v>
      </c>
      <c r="D111" s="35" t="n">
        <f aca="false">B111/2</f>
        <v>0.8515625</v>
      </c>
      <c r="E111" s="14" t="n">
        <f aca="false">C111/2</f>
        <v>21.6296875</v>
      </c>
    </row>
    <row r="112" customFormat="false" ht="15" hidden="false" customHeight="false" outlineLevel="0" collapsed="false">
      <c r="A112" s="36" t="n">
        <f aca="false">B112</f>
        <v>1.71875</v>
      </c>
      <c r="B112" s="37" t="n">
        <f aca="false">110/64</f>
        <v>1.71875</v>
      </c>
      <c r="C112" s="38" t="n">
        <f aca="false">B112*25.4</f>
        <v>43.65625</v>
      </c>
      <c r="D112" s="39" t="n">
        <f aca="false">B112/2</f>
        <v>0.859375</v>
      </c>
      <c r="E112" s="38" t="n">
        <f aca="false">C112/2</f>
        <v>21.828125</v>
      </c>
    </row>
    <row r="113" customFormat="false" ht="15" hidden="false" customHeight="false" outlineLevel="0" collapsed="false">
      <c r="A113" s="34" t="n">
        <f aca="false">B113</f>
        <v>1.734375</v>
      </c>
      <c r="B113" s="15" t="n">
        <f aca="false">111/64</f>
        <v>1.734375</v>
      </c>
      <c r="C113" s="14" t="n">
        <f aca="false">B113*25.4</f>
        <v>44.053125</v>
      </c>
      <c r="D113" s="35" t="n">
        <f aca="false">B113/2</f>
        <v>0.8671875</v>
      </c>
      <c r="E113" s="14" t="n">
        <f aca="false">C113/2</f>
        <v>22.0265625</v>
      </c>
    </row>
    <row r="114" customFormat="false" ht="15" hidden="false" customHeight="false" outlineLevel="0" collapsed="false">
      <c r="A114" s="36" t="n">
        <f aca="false">B114</f>
        <v>1.75</v>
      </c>
      <c r="B114" s="37" t="n">
        <f aca="false">112/64</f>
        <v>1.75</v>
      </c>
      <c r="C114" s="38" t="n">
        <f aca="false">B114*25.4</f>
        <v>44.45</v>
      </c>
      <c r="D114" s="39" t="n">
        <f aca="false">B114/2</f>
        <v>0.875</v>
      </c>
      <c r="E114" s="38" t="n">
        <f aca="false">C114/2</f>
        <v>22.225</v>
      </c>
    </row>
    <row r="115" customFormat="false" ht="15" hidden="false" customHeight="false" outlineLevel="0" collapsed="false">
      <c r="A115" s="34" t="n">
        <f aca="false">B115</f>
        <v>1.765625</v>
      </c>
      <c r="B115" s="15" t="n">
        <f aca="false">113/64</f>
        <v>1.765625</v>
      </c>
      <c r="C115" s="14" t="n">
        <f aca="false">B115*25.4</f>
        <v>44.846875</v>
      </c>
      <c r="D115" s="35" t="n">
        <f aca="false">B115/2</f>
        <v>0.8828125</v>
      </c>
      <c r="E115" s="14" t="n">
        <f aca="false">C115/2</f>
        <v>22.4234375</v>
      </c>
    </row>
    <row r="116" customFormat="false" ht="15" hidden="false" customHeight="false" outlineLevel="0" collapsed="false">
      <c r="A116" s="36" t="n">
        <f aca="false">B116</f>
        <v>1.78125</v>
      </c>
      <c r="B116" s="37" t="n">
        <f aca="false">114/64</f>
        <v>1.78125</v>
      </c>
      <c r="C116" s="38" t="n">
        <f aca="false">B116*25.4</f>
        <v>45.24375</v>
      </c>
      <c r="D116" s="39" t="n">
        <f aca="false">B116/2</f>
        <v>0.890625</v>
      </c>
      <c r="E116" s="38" t="n">
        <f aca="false">C116/2</f>
        <v>22.621875</v>
      </c>
    </row>
    <row r="117" customFormat="false" ht="15" hidden="false" customHeight="false" outlineLevel="0" collapsed="false">
      <c r="A117" s="34" t="n">
        <f aca="false">B117</f>
        <v>1.796875</v>
      </c>
      <c r="B117" s="15" t="n">
        <f aca="false">115/64</f>
        <v>1.796875</v>
      </c>
      <c r="C117" s="14" t="n">
        <f aca="false">B117*25.4</f>
        <v>45.640625</v>
      </c>
      <c r="D117" s="35" t="n">
        <f aca="false">B117/2</f>
        <v>0.8984375</v>
      </c>
      <c r="E117" s="14" t="n">
        <f aca="false">C117/2</f>
        <v>22.8203125</v>
      </c>
    </row>
    <row r="118" customFormat="false" ht="15" hidden="false" customHeight="false" outlineLevel="0" collapsed="false">
      <c r="A118" s="36" t="n">
        <f aca="false">B118</f>
        <v>1.8125</v>
      </c>
      <c r="B118" s="37" t="n">
        <f aca="false">116/64</f>
        <v>1.8125</v>
      </c>
      <c r="C118" s="38" t="n">
        <f aca="false">B118*25.4</f>
        <v>46.0375</v>
      </c>
      <c r="D118" s="39" t="n">
        <f aca="false">B118/2</f>
        <v>0.90625</v>
      </c>
      <c r="E118" s="38" t="n">
        <f aca="false">C118/2</f>
        <v>23.01875</v>
      </c>
    </row>
    <row r="119" customFormat="false" ht="15" hidden="false" customHeight="false" outlineLevel="0" collapsed="false">
      <c r="A119" s="34" t="n">
        <f aca="false">B119</f>
        <v>1.828125</v>
      </c>
      <c r="B119" s="15" t="n">
        <f aca="false">117/64</f>
        <v>1.828125</v>
      </c>
      <c r="C119" s="14" t="n">
        <f aca="false">B119*25.4</f>
        <v>46.434375</v>
      </c>
      <c r="D119" s="35" t="n">
        <f aca="false">B119/2</f>
        <v>0.9140625</v>
      </c>
      <c r="E119" s="14" t="n">
        <f aca="false">C119/2</f>
        <v>23.2171875</v>
      </c>
    </row>
    <row r="120" customFormat="false" ht="15" hidden="false" customHeight="false" outlineLevel="0" collapsed="false">
      <c r="A120" s="36" t="n">
        <f aca="false">B120</f>
        <v>1.84375</v>
      </c>
      <c r="B120" s="37" t="n">
        <f aca="false">118/64</f>
        <v>1.84375</v>
      </c>
      <c r="C120" s="38" t="n">
        <f aca="false">B120*25.4</f>
        <v>46.83125</v>
      </c>
      <c r="D120" s="39" t="n">
        <f aca="false">B120/2</f>
        <v>0.921875</v>
      </c>
      <c r="E120" s="38" t="n">
        <f aca="false">C120/2</f>
        <v>23.415625</v>
      </c>
    </row>
    <row r="121" customFormat="false" ht="15" hidden="false" customHeight="false" outlineLevel="0" collapsed="false">
      <c r="A121" s="34" t="n">
        <f aca="false">B121</f>
        <v>1.859375</v>
      </c>
      <c r="B121" s="15" t="n">
        <f aca="false">119/64</f>
        <v>1.859375</v>
      </c>
      <c r="C121" s="14" t="n">
        <f aca="false">B121*25.4</f>
        <v>47.228125</v>
      </c>
      <c r="D121" s="35" t="n">
        <f aca="false">B121/2</f>
        <v>0.9296875</v>
      </c>
      <c r="E121" s="14" t="n">
        <f aca="false">C121/2</f>
        <v>23.6140625</v>
      </c>
    </row>
    <row r="122" customFormat="false" ht="15" hidden="false" customHeight="false" outlineLevel="0" collapsed="false">
      <c r="A122" s="36" t="n">
        <f aca="false">B122</f>
        <v>1.875</v>
      </c>
      <c r="B122" s="37" t="n">
        <f aca="false">120/64</f>
        <v>1.875</v>
      </c>
      <c r="C122" s="38" t="n">
        <f aca="false">B122*25.4</f>
        <v>47.625</v>
      </c>
      <c r="D122" s="39" t="n">
        <f aca="false">B122/2</f>
        <v>0.9375</v>
      </c>
      <c r="E122" s="38" t="n">
        <f aca="false">C122/2</f>
        <v>23.8125</v>
      </c>
    </row>
    <row r="123" customFormat="false" ht="15" hidden="false" customHeight="false" outlineLevel="0" collapsed="false">
      <c r="A123" s="34" t="n">
        <f aca="false">B123</f>
        <v>1.890625</v>
      </c>
      <c r="B123" s="15" t="n">
        <f aca="false">121/64</f>
        <v>1.890625</v>
      </c>
      <c r="C123" s="14" t="n">
        <f aca="false">B123*25.4</f>
        <v>48.021875</v>
      </c>
      <c r="D123" s="35" t="n">
        <f aca="false">B123/2</f>
        <v>0.9453125</v>
      </c>
      <c r="E123" s="14" t="n">
        <f aca="false">C123/2</f>
        <v>24.0109375</v>
      </c>
    </row>
    <row r="124" customFormat="false" ht="15" hidden="false" customHeight="false" outlineLevel="0" collapsed="false">
      <c r="A124" s="36" t="n">
        <f aca="false">B124</f>
        <v>1.90625</v>
      </c>
      <c r="B124" s="37" t="n">
        <f aca="false">122/64</f>
        <v>1.90625</v>
      </c>
      <c r="C124" s="38" t="n">
        <f aca="false">B124*25.4</f>
        <v>48.41875</v>
      </c>
      <c r="D124" s="39" t="n">
        <f aca="false">B124/2</f>
        <v>0.953125</v>
      </c>
      <c r="E124" s="38" t="n">
        <f aca="false">C124/2</f>
        <v>24.209375</v>
      </c>
    </row>
    <row r="125" customFormat="false" ht="15" hidden="false" customHeight="false" outlineLevel="0" collapsed="false">
      <c r="A125" s="34" t="n">
        <f aca="false">B125</f>
        <v>1.921875</v>
      </c>
      <c r="B125" s="15" t="n">
        <f aca="false">123/64</f>
        <v>1.921875</v>
      </c>
      <c r="C125" s="14" t="n">
        <f aca="false">B125*25.4</f>
        <v>48.815625</v>
      </c>
      <c r="D125" s="35" t="n">
        <f aca="false">B125/2</f>
        <v>0.9609375</v>
      </c>
      <c r="E125" s="14" t="n">
        <f aca="false">C125/2</f>
        <v>24.4078125</v>
      </c>
    </row>
    <row r="126" customFormat="false" ht="15" hidden="false" customHeight="false" outlineLevel="0" collapsed="false">
      <c r="A126" s="36" t="n">
        <f aca="false">B126</f>
        <v>1.9375</v>
      </c>
      <c r="B126" s="37" t="n">
        <f aca="false">124/64</f>
        <v>1.9375</v>
      </c>
      <c r="C126" s="38" t="n">
        <f aca="false">B126*25.4</f>
        <v>49.2125</v>
      </c>
      <c r="D126" s="39" t="n">
        <f aca="false">B126/2</f>
        <v>0.96875</v>
      </c>
      <c r="E126" s="38" t="n">
        <f aca="false">C126/2</f>
        <v>24.60625</v>
      </c>
    </row>
    <row r="127" customFormat="false" ht="15" hidden="false" customHeight="false" outlineLevel="0" collapsed="false">
      <c r="A127" s="34" t="n">
        <f aca="false">B127</f>
        <v>1.953125</v>
      </c>
      <c r="B127" s="15" t="n">
        <f aca="false">125/64</f>
        <v>1.953125</v>
      </c>
      <c r="C127" s="14" t="n">
        <f aca="false">B127*25.4</f>
        <v>49.609375</v>
      </c>
      <c r="D127" s="35" t="n">
        <f aca="false">B127/2</f>
        <v>0.9765625</v>
      </c>
      <c r="E127" s="14" t="n">
        <f aca="false">C127/2</f>
        <v>24.8046875</v>
      </c>
    </row>
    <row r="128" customFormat="false" ht="15" hidden="false" customHeight="false" outlineLevel="0" collapsed="false">
      <c r="A128" s="36" t="n">
        <f aca="false">B128</f>
        <v>1.96875</v>
      </c>
      <c r="B128" s="37" t="n">
        <f aca="false">126/64</f>
        <v>1.96875</v>
      </c>
      <c r="C128" s="38" t="n">
        <f aca="false">B128*25.4</f>
        <v>50.00625</v>
      </c>
      <c r="D128" s="39" t="n">
        <f aca="false">B128/2</f>
        <v>0.984375</v>
      </c>
      <c r="E128" s="38" t="n">
        <f aca="false">C128/2</f>
        <v>25.003125</v>
      </c>
    </row>
    <row r="129" customFormat="false" ht="15" hidden="false" customHeight="false" outlineLevel="0" collapsed="false">
      <c r="A129" s="34" t="n">
        <f aca="false">B129</f>
        <v>1.984375</v>
      </c>
      <c r="B129" s="15" t="n">
        <f aca="false">127/64</f>
        <v>1.984375</v>
      </c>
      <c r="C129" s="14" t="n">
        <f aca="false">B129*25.4</f>
        <v>50.403125</v>
      </c>
      <c r="D129" s="35" t="n">
        <f aca="false">B129/2</f>
        <v>0.9921875</v>
      </c>
      <c r="E129" s="14" t="n">
        <f aca="false">C129/2</f>
        <v>25.2015625</v>
      </c>
    </row>
    <row r="130" customFormat="false" ht="15" hidden="false" customHeight="false" outlineLevel="0" collapsed="false">
      <c r="A130" s="36" t="n">
        <f aca="false">B130</f>
        <v>2</v>
      </c>
      <c r="B130" s="37" t="n">
        <f aca="false">128/64</f>
        <v>2</v>
      </c>
      <c r="C130" s="38" t="n">
        <f aca="false">B130*25.4</f>
        <v>50.8</v>
      </c>
      <c r="D130" s="39" t="n">
        <f aca="false">B130/2</f>
        <v>1</v>
      </c>
      <c r="E130" s="38" t="n">
        <f aca="false">C130/2</f>
        <v>25.4</v>
      </c>
    </row>
    <row r="131" customFormat="false" ht="15" hidden="false" customHeight="false" outlineLevel="0" collapsed="false">
      <c r="A131" s="34" t="n">
        <f aca="false">B131</f>
        <v>2.015625</v>
      </c>
      <c r="B131" s="15" t="n">
        <f aca="false">129/64</f>
        <v>2.015625</v>
      </c>
      <c r="C131" s="14" t="n">
        <f aca="false">B131*25.4</f>
        <v>51.196875</v>
      </c>
      <c r="D131" s="35" t="n">
        <f aca="false">B131/2</f>
        <v>1.0078125</v>
      </c>
      <c r="E131" s="14" t="n">
        <f aca="false">C131/2</f>
        <v>25.5984375</v>
      </c>
    </row>
    <row r="132" customFormat="false" ht="15" hidden="false" customHeight="false" outlineLevel="0" collapsed="false">
      <c r="A132" s="36" t="n">
        <f aca="false">B132</f>
        <v>2.03125</v>
      </c>
      <c r="B132" s="37" t="n">
        <f aca="false">130/64</f>
        <v>2.03125</v>
      </c>
      <c r="C132" s="38" t="n">
        <f aca="false">B132*25.4</f>
        <v>51.59375</v>
      </c>
      <c r="D132" s="39" t="n">
        <f aca="false">B132/2</f>
        <v>1.015625</v>
      </c>
      <c r="E132" s="38" t="n">
        <f aca="false">C132/2</f>
        <v>25.796875</v>
      </c>
    </row>
    <row r="133" customFormat="false" ht="15" hidden="false" customHeight="false" outlineLevel="0" collapsed="false">
      <c r="A133" s="34" t="n">
        <f aca="false">B133</f>
        <v>2.046875</v>
      </c>
      <c r="B133" s="15" t="n">
        <f aca="false">131/64</f>
        <v>2.046875</v>
      </c>
      <c r="C133" s="14" t="n">
        <f aca="false">B133*25.4</f>
        <v>51.990625</v>
      </c>
      <c r="D133" s="35" t="n">
        <f aca="false">B133/2</f>
        <v>1.0234375</v>
      </c>
      <c r="E133" s="14" t="n">
        <f aca="false">C133/2</f>
        <v>25.9953125</v>
      </c>
    </row>
    <row r="134" customFormat="false" ht="15" hidden="false" customHeight="false" outlineLevel="0" collapsed="false">
      <c r="A134" s="36" t="n">
        <f aca="false">B134</f>
        <v>2.0625</v>
      </c>
      <c r="B134" s="37" t="n">
        <f aca="false">132/64</f>
        <v>2.0625</v>
      </c>
      <c r="C134" s="38" t="n">
        <f aca="false">B134*25.4</f>
        <v>52.3875</v>
      </c>
      <c r="D134" s="39" t="n">
        <f aca="false">B134/2</f>
        <v>1.03125</v>
      </c>
      <c r="E134" s="38" t="n">
        <f aca="false">C134/2</f>
        <v>26.19375</v>
      </c>
    </row>
    <row r="135" customFormat="false" ht="15" hidden="false" customHeight="false" outlineLevel="0" collapsed="false">
      <c r="A135" s="34" t="n">
        <f aca="false">B135</f>
        <v>2.078125</v>
      </c>
      <c r="B135" s="15" t="n">
        <f aca="false">133/64</f>
        <v>2.078125</v>
      </c>
      <c r="C135" s="14" t="n">
        <f aca="false">B135*25.4</f>
        <v>52.784375</v>
      </c>
      <c r="D135" s="35" t="n">
        <f aca="false">B135/2</f>
        <v>1.0390625</v>
      </c>
      <c r="E135" s="14" t="n">
        <f aca="false">C135/2</f>
        <v>26.3921875</v>
      </c>
    </row>
    <row r="136" customFormat="false" ht="15" hidden="false" customHeight="false" outlineLevel="0" collapsed="false">
      <c r="A136" s="36" t="n">
        <f aca="false">B136</f>
        <v>2.09375</v>
      </c>
      <c r="B136" s="37" t="n">
        <f aca="false">134/64</f>
        <v>2.09375</v>
      </c>
      <c r="C136" s="38" t="n">
        <f aca="false">B136*25.4</f>
        <v>53.18125</v>
      </c>
      <c r="D136" s="39" t="n">
        <f aca="false">B136/2</f>
        <v>1.046875</v>
      </c>
      <c r="E136" s="38" t="n">
        <f aca="false">C136/2</f>
        <v>26.590625</v>
      </c>
    </row>
    <row r="137" customFormat="false" ht="15" hidden="false" customHeight="false" outlineLevel="0" collapsed="false">
      <c r="A137" s="34" t="n">
        <f aca="false">B137</f>
        <v>2.109375</v>
      </c>
      <c r="B137" s="15" t="n">
        <f aca="false">135/64</f>
        <v>2.109375</v>
      </c>
      <c r="C137" s="14" t="n">
        <f aca="false">B137*25.4</f>
        <v>53.578125</v>
      </c>
      <c r="D137" s="35" t="n">
        <f aca="false">B137/2</f>
        <v>1.0546875</v>
      </c>
      <c r="E137" s="14" t="n">
        <f aca="false">C137/2</f>
        <v>26.7890625</v>
      </c>
    </row>
    <row r="138" customFormat="false" ht="15" hidden="false" customHeight="false" outlineLevel="0" collapsed="false">
      <c r="A138" s="36" t="n">
        <f aca="false">B138</f>
        <v>2.125</v>
      </c>
      <c r="B138" s="37" t="n">
        <f aca="false">136/64</f>
        <v>2.125</v>
      </c>
      <c r="C138" s="38" t="n">
        <f aca="false">B138*25.4</f>
        <v>53.975</v>
      </c>
      <c r="D138" s="39" t="n">
        <f aca="false">B138/2</f>
        <v>1.0625</v>
      </c>
      <c r="E138" s="38" t="n">
        <f aca="false">C138/2</f>
        <v>26.9875</v>
      </c>
    </row>
    <row r="139" customFormat="false" ht="15" hidden="false" customHeight="false" outlineLevel="0" collapsed="false">
      <c r="A139" s="34" t="n">
        <f aca="false">B139</f>
        <v>2.140625</v>
      </c>
      <c r="B139" s="15" t="n">
        <f aca="false">137/64</f>
        <v>2.140625</v>
      </c>
      <c r="C139" s="14" t="n">
        <f aca="false">B139*25.4</f>
        <v>54.371875</v>
      </c>
      <c r="D139" s="35" t="n">
        <f aca="false">B139/2</f>
        <v>1.0703125</v>
      </c>
      <c r="E139" s="14" t="n">
        <f aca="false">C139/2</f>
        <v>27.1859375</v>
      </c>
    </row>
    <row r="140" customFormat="false" ht="15" hidden="false" customHeight="false" outlineLevel="0" collapsed="false">
      <c r="A140" s="36" t="n">
        <f aca="false">B140</f>
        <v>2.15625</v>
      </c>
      <c r="B140" s="37" t="n">
        <f aca="false">138/64</f>
        <v>2.15625</v>
      </c>
      <c r="C140" s="38" t="n">
        <f aca="false">B140*25.4</f>
        <v>54.76875</v>
      </c>
      <c r="D140" s="39" t="n">
        <f aca="false">B140/2</f>
        <v>1.078125</v>
      </c>
      <c r="E140" s="38" t="n">
        <f aca="false">C140/2</f>
        <v>27.384375</v>
      </c>
    </row>
    <row r="141" customFormat="false" ht="15" hidden="false" customHeight="false" outlineLevel="0" collapsed="false">
      <c r="A141" s="34" t="n">
        <f aca="false">B141</f>
        <v>2.171875</v>
      </c>
      <c r="B141" s="15" t="n">
        <f aca="false">139/64</f>
        <v>2.171875</v>
      </c>
      <c r="C141" s="14" t="n">
        <f aca="false">B141*25.4</f>
        <v>55.165625</v>
      </c>
      <c r="D141" s="35" t="n">
        <f aca="false">B141/2</f>
        <v>1.0859375</v>
      </c>
      <c r="E141" s="14" t="n">
        <f aca="false">C141/2</f>
        <v>27.5828125</v>
      </c>
    </row>
    <row r="142" customFormat="false" ht="15" hidden="false" customHeight="false" outlineLevel="0" collapsed="false">
      <c r="A142" s="36" t="n">
        <f aca="false">B142</f>
        <v>2.1875</v>
      </c>
      <c r="B142" s="37" t="n">
        <f aca="false">140/64</f>
        <v>2.1875</v>
      </c>
      <c r="C142" s="38" t="n">
        <f aca="false">B142*25.4</f>
        <v>55.5625</v>
      </c>
      <c r="D142" s="39" t="n">
        <f aca="false">B142/2</f>
        <v>1.09375</v>
      </c>
      <c r="E142" s="38" t="n">
        <f aca="false">C142/2</f>
        <v>27.78125</v>
      </c>
    </row>
    <row r="143" customFormat="false" ht="15" hidden="false" customHeight="false" outlineLevel="0" collapsed="false">
      <c r="A143" s="34" t="n">
        <f aca="false">B143</f>
        <v>2.203125</v>
      </c>
      <c r="B143" s="15" t="n">
        <f aca="false">141/64</f>
        <v>2.203125</v>
      </c>
      <c r="C143" s="14" t="n">
        <f aca="false">B143*25.4</f>
        <v>55.959375</v>
      </c>
      <c r="D143" s="35" t="n">
        <f aca="false">B143/2</f>
        <v>1.1015625</v>
      </c>
      <c r="E143" s="14" t="n">
        <f aca="false">C143/2</f>
        <v>27.9796875</v>
      </c>
    </row>
    <row r="144" customFormat="false" ht="15" hidden="false" customHeight="false" outlineLevel="0" collapsed="false">
      <c r="A144" s="36" t="n">
        <f aca="false">B144</f>
        <v>2.21875</v>
      </c>
      <c r="B144" s="37" t="n">
        <f aca="false">142/64</f>
        <v>2.21875</v>
      </c>
      <c r="C144" s="38" t="n">
        <f aca="false">B144*25.4</f>
        <v>56.35625</v>
      </c>
      <c r="D144" s="39" t="n">
        <f aca="false">B144/2</f>
        <v>1.109375</v>
      </c>
      <c r="E144" s="38" t="n">
        <f aca="false">C144/2</f>
        <v>28.178125</v>
      </c>
    </row>
    <row r="145" customFormat="false" ht="15" hidden="false" customHeight="false" outlineLevel="0" collapsed="false">
      <c r="A145" s="34" t="n">
        <f aca="false">B145</f>
        <v>2.234375</v>
      </c>
      <c r="B145" s="15" t="n">
        <f aca="false">143/64</f>
        <v>2.234375</v>
      </c>
      <c r="C145" s="14" t="n">
        <f aca="false">B145*25.4</f>
        <v>56.753125</v>
      </c>
      <c r="D145" s="35" t="n">
        <f aca="false">B145/2</f>
        <v>1.1171875</v>
      </c>
      <c r="E145" s="14" t="n">
        <f aca="false">C145/2</f>
        <v>28.3765625</v>
      </c>
    </row>
    <row r="146" customFormat="false" ht="15" hidden="false" customHeight="false" outlineLevel="0" collapsed="false">
      <c r="A146" s="36" t="n">
        <f aca="false">B146</f>
        <v>2.25</v>
      </c>
      <c r="B146" s="37" t="n">
        <f aca="false">144/64</f>
        <v>2.25</v>
      </c>
      <c r="C146" s="38" t="n">
        <f aca="false">B146*25.4</f>
        <v>57.15</v>
      </c>
      <c r="D146" s="39" t="n">
        <f aca="false">B146/2</f>
        <v>1.125</v>
      </c>
      <c r="E146" s="38" t="n">
        <f aca="false">C146/2</f>
        <v>28.575</v>
      </c>
    </row>
    <row r="147" customFormat="false" ht="15" hidden="false" customHeight="false" outlineLevel="0" collapsed="false">
      <c r="A147" s="34" t="n">
        <f aca="false">B147</f>
        <v>2.265625</v>
      </c>
      <c r="B147" s="15" t="n">
        <f aca="false">145/64</f>
        <v>2.265625</v>
      </c>
      <c r="C147" s="14" t="n">
        <f aca="false">B147*25.4</f>
        <v>57.546875</v>
      </c>
      <c r="D147" s="35" t="n">
        <f aca="false">B147/2</f>
        <v>1.1328125</v>
      </c>
      <c r="E147" s="14" t="n">
        <f aca="false">C147/2</f>
        <v>28.7734375</v>
      </c>
    </row>
    <row r="148" customFormat="false" ht="15" hidden="false" customHeight="false" outlineLevel="0" collapsed="false">
      <c r="A148" s="36" t="n">
        <f aca="false">B148</f>
        <v>2.28125</v>
      </c>
      <c r="B148" s="37" t="n">
        <f aca="false">146/64</f>
        <v>2.28125</v>
      </c>
      <c r="C148" s="38" t="n">
        <f aca="false">B148*25.4</f>
        <v>57.94375</v>
      </c>
      <c r="D148" s="39" t="n">
        <f aca="false">B148/2</f>
        <v>1.140625</v>
      </c>
      <c r="E148" s="38" t="n">
        <f aca="false">C148/2</f>
        <v>28.971875</v>
      </c>
    </row>
    <row r="149" customFormat="false" ht="15" hidden="false" customHeight="false" outlineLevel="0" collapsed="false">
      <c r="A149" s="34" t="n">
        <f aca="false">B149</f>
        <v>2.296875</v>
      </c>
      <c r="B149" s="15" t="n">
        <f aca="false">147/64</f>
        <v>2.296875</v>
      </c>
      <c r="C149" s="14" t="n">
        <f aca="false">B149*25.4</f>
        <v>58.340625</v>
      </c>
      <c r="D149" s="35" t="n">
        <f aca="false">B149/2</f>
        <v>1.1484375</v>
      </c>
      <c r="E149" s="14" t="n">
        <f aca="false">C149/2</f>
        <v>29.1703125</v>
      </c>
    </row>
    <row r="150" customFormat="false" ht="15" hidden="false" customHeight="false" outlineLevel="0" collapsed="false">
      <c r="A150" s="36" t="n">
        <f aca="false">B150</f>
        <v>2.3125</v>
      </c>
      <c r="B150" s="37" t="n">
        <f aca="false">148/64</f>
        <v>2.3125</v>
      </c>
      <c r="C150" s="38" t="n">
        <f aca="false">B150*25.4</f>
        <v>58.7375</v>
      </c>
      <c r="D150" s="39" t="n">
        <f aca="false">B150/2</f>
        <v>1.15625</v>
      </c>
      <c r="E150" s="38" t="n">
        <f aca="false">C150/2</f>
        <v>29.36875</v>
      </c>
    </row>
    <row r="151" customFormat="false" ht="15" hidden="false" customHeight="false" outlineLevel="0" collapsed="false">
      <c r="A151" s="34" t="n">
        <f aca="false">B151</f>
        <v>2.328125</v>
      </c>
      <c r="B151" s="15" t="n">
        <f aca="false">149/64</f>
        <v>2.328125</v>
      </c>
      <c r="C151" s="14" t="n">
        <f aca="false">B151*25.4</f>
        <v>59.134375</v>
      </c>
      <c r="D151" s="35" t="n">
        <f aca="false">B151/2</f>
        <v>1.1640625</v>
      </c>
      <c r="E151" s="14" t="n">
        <f aca="false">C151/2</f>
        <v>29.5671875</v>
      </c>
    </row>
    <row r="152" customFormat="false" ht="15" hidden="false" customHeight="false" outlineLevel="0" collapsed="false">
      <c r="A152" s="36" t="n">
        <f aca="false">B152</f>
        <v>2.34375</v>
      </c>
      <c r="B152" s="37" t="n">
        <f aca="false">150/64</f>
        <v>2.34375</v>
      </c>
      <c r="C152" s="38" t="n">
        <f aca="false">B152*25.4</f>
        <v>59.53125</v>
      </c>
      <c r="D152" s="39" t="n">
        <f aca="false">B152/2</f>
        <v>1.171875</v>
      </c>
      <c r="E152" s="38" t="n">
        <f aca="false">C152/2</f>
        <v>29.765625</v>
      </c>
    </row>
    <row r="153" customFormat="false" ht="15" hidden="false" customHeight="false" outlineLevel="0" collapsed="false">
      <c r="A153" s="34" t="n">
        <f aca="false">B153</f>
        <v>2.359375</v>
      </c>
      <c r="B153" s="15" t="n">
        <f aca="false">151/64</f>
        <v>2.359375</v>
      </c>
      <c r="C153" s="14" t="n">
        <f aca="false">B153*25.4</f>
        <v>59.928125</v>
      </c>
      <c r="D153" s="35" t="n">
        <f aca="false">B153/2</f>
        <v>1.1796875</v>
      </c>
      <c r="E153" s="14" t="n">
        <f aca="false">C153/2</f>
        <v>29.9640625</v>
      </c>
    </row>
    <row r="154" customFormat="false" ht="15" hidden="false" customHeight="false" outlineLevel="0" collapsed="false">
      <c r="A154" s="36" t="n">
        <f aca="false">B154</f>
        <v>2.375</v>
      </c>
      <c r="B154" s="37" t="n">
        <f aca="false">152/64</f>
        <v>2.375</v>
      </c>
      <c r="C154" s="38" t="n">
        <f aca="false">B154*25.4</f>
        <v>60.325</v>
      </c>
      <c r="D154" s="39" t="n">
        <f aca="false">B154/2</f>
        <v>1.1875</v>
      </c>
      <c r="E154" s="38" t="n">
        <f aca="false">C154/2</f>
        <v>30.1625</v>
      </c>
    </row>
    <row r="155" customFormat="false" ht="15" hidden="false" customHeight="false" outlineLevel="0" collapsed="false">
      <c r="A155" s="34" t="n">
        <f aca="false">B155</f>
        <v>2.390625</v>
      </c>
      <c r="B155" s="15" t="n">
        <f aca="false">153/64</f>
        <v>2.390625</v>
      </c>
      <c r="C155" s="14" t="n">
        <f aca="false">B155*25.4</f>
        <v>60.721875</v>
      </c>
      <c r="D155" s="35" t="n">
        <f aca="false">B155/2</f>
        <v>1.1953125</v>
      </c>
      <c r="E155" s="14" t="n">
        <f aca="false">C155/2</f>
        <v>30.3609375</v>
      </c>
    </row>
    <row r="156" customFormat="false" ht="15" hidden="false" customHeight="false" outlineLevel="0" collapsed="false">
      <c r="A156" s="36" t="n">
        <f aca="false">B156</f>
        <v>2.40625</v>
      </c>
      <c r="B156" s="37" t="n">
        <f aca="false">154/64</f>
        <v>2.40625</v>
      </c>
      <c r="C156" s="38" t="n">
        <f aca="false">B156*25.4</f>
        <v>61.11875</v>
      </c>
      <c r="D156" s="39" t="n">
        <f aca="false">B156/2</f>
        <v>1.203125</v>
      </c>
      <c r="E156" s="38" t="n">
        <f aca="false">C156/2</f>
        <v>30.559375</v>
      </c>
    </row>
    <row r="157" customFormat="false" ht="15" hidden="false" customHeight="false" outlineLevel="0" collapsed="false">
      <c r="A157" s="34" t="n">
        <f aca="false">B157</f>
        <v>2.421875</v>
      </c>
      <c r="B157" s="15" t="n">
        <f aca="false">155/64</f>
        <v>2.421875</v>
      </c>
      <c r="C157" s="14" t="n">
        <f aca="false">B157*25.4</f>
        <v>61.515625</v>
      </c>
      <c r="D157" s="35" t="n">
        <f aca="false">B157/2</f>
        <v>1.2109375</v>
      </c>
      <c r="E157" s="14" t="n">
        <f aca="false">C157/2</f>
        <v>30.7578125</v>
      </c>
    </row>
    <row r="158" customFormat="false" ht="15" hidden="false" customHeight="false" outlineLevel="0" collapsed="false">
      <c r="A158" s="36" t="n">
        <f aca="false">B158</f>
        <v>2.4375</v>
      </c>
      <c r="B158" s="37" t="n">
        <f aca="false">156/64</f>
        <v>2.4375</v>
      </c>
      <c r="C158" s="38" t="n">
        <f aca="false">B158*25.4</f>
        <v>61.9125</v>
      </c>
      <c r="D158" s="39" t="n">
        <f aca="false">B158/2</f>
        <v>1.21875</v>
      </c>
      <c r="E158" s="38" t="n">
        <f aca="false">C158/2</f>
        <v>30.95625</v>
      </c>
    </row>
    <row r="159" customFormat="false" ht="15" hidden="false" customHeight="false" outlineLevel="0" collapsed="false">
      <c r="A159" s="34" t="n">
        <f aca="false">B159</f>
        <v>2.453125</v>
      </c>
      <c r="B159" s="15" t="n">
        <f aca="false">157/64</f>
        <v>2.453125</v>
      </c>
      <c r="C159" s="14" t="n">
        <f aca="false">B159*25.4</f>
        <v>62.309375</v>
      </c>
      <c r="D159" s="35" t="n">
        <f aca="false">B159/2</f>
        <v>1.2265625</v>
      </c>
      <c r="E159" s="14" t="n">
        <f aca="false">C159/2</f>
        <v>31.1546875</v>
      </c>
    </row>
    <row r="160" customFormat="false" ht="15" hidden="false" customHeight="false" outlineLevel="0" collapsed="false">
      <c r="A160" s="36" t="n">
        <f aca="false">B160</f>
        <v>2.46875</v>
      </c>
      <c r="B160" s="37" t="n">
        <f aca="false">158/64</f>
        <v>2.46875</v>
      </c>
      <c r="C160" s="38" t="n">
        <f aca="false">B160*25.4</f>
        <v>62.70625</v>
      </c>
      <c r="D160" s="39" t="n">
        <f aca="false">B160/2</f>
        <v>1.234375</v>
      </c>
      <c r="E160" s="38" t="n">
        <f aca="false">C160/2</f>
        <v>31.353125</v>
      </c>
    </row>
    <row r="161" customFormat="false" ht="15" hidden="false" customHeight="false" outlineLevel="0" collapsed="false">
      <c r="A161" s="34" t="n">
        <f aca="false">B161</f>
        <v>2.484375</v>
      </c>
      <c r="B161" s="15" t="n">
        <f aca="false">159/64</f>
        <v>2.484375</v>
      </c>
      <c r="C161" s="14" t="n">
        <f aca="false">B161*25.4</f>
        <v>63.103125</v>
      </c>
      <c r="D161" s="35" t="n">
        <f aca="false">B161/2</f>
        <v>1.2421875</v>
      </c>
      <c r="E161" s="14" t="n">
        <f aca="false">C161/2</f>
        <v>31.5515625</v>
      </c>
    </row>
    <row r="162" customFormat="false" ht="15" hidden="false" customHeight="false" outlineLevel="0" collapsed="false">
      <c r="A162" s="36" t="n">
        <f aca="false">B162</f>
        <v>2.5</v>
      </c>
      <c r="B162" s="37" t="n">
        <f aca="false">160/64</f>
        <v>2.5</v>
      </c>
      <c r="C162" s="38" t="n">
        <f aca="false">B162*25.4</f>
        <v>63.5</v>
      </c>
      <c r="D162" s="39" t="n">
        <f aca="false">B162/2</f>
        <v>1.25</v>
      </c>
      <c r="E162" s="38" t="n">
        <f aca="false">C162/2</f>
        <v>31.75</v>
      </c>
    </row>
    <row r="163" customFormat="false" ht="15" hidden="false" customHeight="false" outlineLevel="0" collapsed="false">
      <c r="A163" s="34" t="n">
        <f aca="false">B163</f>
        <v>2.515625</v>
      </c>
      <c r="B163" s="15" t="n">
        <f aca="false">161/64</f>
        <v>2.515625</v>
      </c>
      <c r="C163" s="14" t="n">
        <f aca="false">B163*25.4</f>
        <v>63.896875</v>
      </c>
      <c r="D163" s="35" t="n">
        <f aca="false">B163/2</f>
        <v>1.2578125</v>
      </c>
      <c r="E163" s="14" t="n">
        <f aca="false">C163/2</f>
        <v>31.9484375</v>
      </c>
    </row>
    <row r="164" customFormat="false" ht="15" hidden="false" customHeight="false" outlineLevel="0" collapsed="false">
      <c r="A164" s="36" t="n">
        <f aca="false">B164</f>
        <v>2.53125</v>
      </c>
      <c r="B164" s="37" t="n">
        <f aca="false">162/64</f>
        <v>2.53125</v>
      </c>
      <c r="C164" s="38" t="n">
        <f aca="false">B164*25.4</f>
        <v>64.29375</v>
      </c>
      <c r="D164" s="39" t="n">
        <f aca="false">B164/2</f>
        <v>1.265625</v>
      </c>
      <c r="E164" s="38" t="n">
        <f aca="false">C164/2</f>
        <v>32.146875</v>
      </c>
    </row>
    <row r="165" customFormat="false" ht="15" hidden="false" customHeight="false" outlineLevel="0" collapsed="false">
      <c r="A165" s="34" t="n">
        <f aca="false">B165</f>
        <v>2.546875</v>
      </c>
      <c r="B165" s="15" t="n">
        <f aca="false">163/64</f>
        <v>2.546875</v>
      </c>
      <c r="C165" s="14" t="n">
        <f aca="false">B165*25.4</f>
        <v>64.690625</v>
      </c>
      <c r="D165" s="35" t="n">
        <f aca="false">B165/2</f>
        <v>1.2734375</v>
      </c>
      <c r="E165" s="14" t="n">
        <f aca="false">C165/2</f>
        <v>32.3453125</v>
      </c>
    </row>
    <row r="166" customFormat="false" ht="15" hidden="false" customHeight="false" outlineLevel="0" collapsed="false">
      <c r="A166" s="36" t="n">
        <f aca="false">B166</f>
        <v>2.5625</v>
      </c>
      <c r="B166" s="37" t="n">
        <f aca="false">164/64</f>
        <v>2.5625</v>
      </c>
      <c r="C166" s="38" t="n">
        <f aca="false">B166*25.4</f>
        <v>65.0875</v>
      </c>
      <c r="D166" s="39" t="n">
        <f aca="false">B166/2</f>
        <v>1.28125</v>
      </c>
      <c r="E166" s="38" t="n">
        <f aca="false">C166/2</f>
        <v>32.54375</v>
      </c>
    </row>
    <row r="167" customFormat="false" ht="15" hidden="false" customHeight="false" outlineLevel="0" collapsed="false">
      <c r="A167" s="34" t="n">
        <f aca="false">B167</f>
        <v>2.578125</v>
      </c>
      <c r="B167" s="15" t="n">
        <f aca="false">165/64</f>
        <v>2.578125</v>
      </c>
      <c r="C167" s="14" t="n">
        <f aca="false">B167*25.4</f>
        <v>65.484375</v>
      </c>
      <c r="D167" s="35" t="n">
        <f aca="false">B167/2</f>
        <v>1.2890625</v>
      </c>
      <c r="E167" s="14" t="n">
        <f aca="false">C167/2</f>
        <v>32.7421875</v>
      </c>
    </row>
    <row r="168" customFormat="false" ht="15" hidden="false" customHeight="false" outlineLevel="0" collapsed="false">
      <c r="A168" s="36" t="n">
        <f aca="false">B168</f>
        <v>2.59375</v>
      </c>
      <c r="B168" s="37" t="n">
        <f aca="false">166/64</f>
        <v>2.59375</v>
      </c>
      <c r="C168" s="38" t="n">
        <f aca="false">B168*25.4</f>
        <v>65.88125</v>
      </c>
      <c r="D168" s="39" t="n">
        <f aca="false">B168/2</f>
        <v>1.296875</v>
      </c>
      <c r="E168" s="38" t="n">
        <f aca="false">C168/2</f>
        <v>32.940625</v>
      </c>
    </row>
    <row r="169" customFormat="false" ht="15" hidden="false" customHeight="false" outlineLevel="0" collapsed="false">
      <c r="A169" s="34" t="n">
        <f aca="false">B169</f>
        <v>2.609375</v>
      </c>
      <c r="B169" s="15" t="n">
        <f aca="false">167/64</f>
        <v>2.609375</v>
      </c>
      <c r="C169" s="14" t="n">
        <f aca="false">B169*25.4</f>
        <v>66.278125</v>
      </c>
      <c r="D169" s="35" t="n">
        <f aca="false">B169/2</f>
        <v>1.3046875</v>
      </c>
      <c r="E169" s="14" t="n">
        <f aca="false">C169/2</f>
        <v>33.1390625</v>
      </c>
    </row>
    <row r="170" customFormat="false" ht="15" hidden="false" customHeight="false" outlineLevel="0" collapsed="false">
      <c r="A170" s="36" t="n">
        <f aca="false">B170</f>
        <v>2.625</v>
      </c>
      <c r="B170" s="37" t="n">
        <f aca="false">168/64</f>
        <v>2.625</v>
      </c>
      <c r="C170" s="38" t="n">
        <f aca="false">B170*25.4</f>
        <v>66.675</v>
      </c>
      <c r="D170" s="39" t="n">
        <f aca="false">B170/2</f>
        <v>1.3125</v>
      </c>
      <c r="E170" s="38" t="n">
        <f aca="false">C170/2</f>
        <v>33.3375</v>
      </c>
    </row>
    <row r="171" customFormat="false" ht="15" hidden="false" customHeight="false" outlineLevel="0" collapsed="false">
      <c r="A171" s="34" t="n">
        <f aca="false">B171</f>
        <v>2.640625</v>
      </c>
      <c r="B171" s="15" t="n">
        <f aca="false">169/64</f>
        <v>2.640625</v>
      </c>
      <c r="C171" s="14" t="n">
        <f aca="false">B171*25.4</f>
        <v>67.071875</v>
      </c>
      <c r="D171" s="35" t="n">
        <f aca="false">B171/2</f>
        <v>1.3203125</v>
      </c>
      <c r="E171" s="14" t="n">
        <f aca="false">C171/2</f>
        <v>33.5359375</v>
      </c>
    </row>
    <row r="172" customFormat="false" ht="15" hidden="false" customHeight="false" outlineLevel="0" collapsed="false">
      <c r="A172" s="36" t="n">
        <f aca="false">B172</f>
        <v>2.65625</v>
      </c>
      <c r="B172" s="37" t="n">
        <f aca="false">170/64</f>
        <v>2.65625</v>
      </c>
      <c r="C172" s="38" t="n">
        <f aca="false">B172*25.4</f>
        <v>67.46875</v>
      </c>
      <c r="D172" s="39" t="n">
        <f aca="false">B172/2</f>
        <v>1.328125</v>
      </c>
      <c r="E172" s="38" t="n">
        <f aca="false">C172/2</f>
        <v>33.734375</v>
      </c>
    </row>
    <row r="173" customFormat="false" ht="15" hidden="false" customHeight="false" outlineLevel="0" collapsed="false">
      <c r="A173" s="34" t="n">
        <f aca="false">B173</f>
        <v>2.671875</v>
      </c>
      <c r="B173" s="15" t="n">
        <f aca="false">171/64</f>
        <v>2.671875</v>
      </c>
      <c r="C173" s="14" t="n">
        <f aca="false">B173*25.4</f>
        <v>67.865625</v>
      </c>
      <c r="D173" s="35" t="n">
        <f aca="false">B173/2</f>
        <v>1.3359375</v>
      </c>
      <c r="E173" s="14" t="n">
        <f aca="false">C173/2</f>
        <v>33.9328125</v>
      </c>
    </row>
    <row r="174" customFormat="false" ht="15" hidden="false" customHeight="false" outlineLevel="0" collapsed="false">
      <c r="A174" s="36" t="n">
        <f aca="false">B174</f>
        <v>2.6875</v>
      </c>
      <c r="B174" s="37" t="n">
        <f aca="false">172/64</f>
        <v>2.6875</v>
      </c>
      <c r="C174" s="38" t="n">
        <f aca="false">B174*25.4</f>
        <v>68.2625</v>
      </c>
      <c r="D174" s="39" t="n">
        <f aca="false">B174/2</f>
        <v>1.34375</v>
      </c>
      <c r="E174" s="38" t="n">
        <f aca="false">C174/2</f>
        <v>34.13125</v>
      </c>
    </row>
    <row r="175" customFormat="false" ht="15" hidden="false" customHeight="false" outlineLevel="0" collapsed="false">
      <c r="A175" s="34" t="n">
        <f aca="false">B175</f>
        <v>2.703125</v>
      </c>
      <c r="B175" s="15" t="n">
        <f aca="false">173/64</f>
        <v>2.703125</v>
      </c>
      <c r="C175" s="14" t="n">
        <f aca="false">B175*25.4</f>
        <v>68.659375</v>
      </c>
      <c r="D175" s="35" t="n">
        <f aca="false">B175/2</f>
        <v>1.3515625</v>
      </c>
      <c r="E175" s="14" t="n">
        <f aca="false">C175/2</f>
        <v>34.3296875</v>
      </c>
    </row>
    <row r="176" customFormat="false" ht="15" hidden="false" customHeight="false" outlineLevel="0" collapsed="false">
      <c r="A176" s="36" t="n">
        <f aca="false">B176</f>
        <v>2.71875</v>
      </c>
      <c r="B176" s="37" t="n">
        <f aca="false">174/64</f>
        <v>2.71875</v>
      </c>
      <c r="C176" s="38" t="n">
        <f aca="false">B176*25.4</f>
        <v>69.05625</v>
      </c>
      <c r="D176" s="39" t="n">
        <f aca="false">B176/2</f>
        <v>1.359375</v>
      </c>
      <c r="E176" s="38" t="n">
        <f aca="false">C176/2</f>
        <v>34.528125</v>
      </c>
    </row>
    <row r="177" customFormat="false" ht="15" hidden="false" customHeight="false" outlineLevel="0" collapsed="false">
      <c r="A177" s="34" t="n">
        <f aca="false">B177</f>
        <v>2.734375</v>
      </c>
      <c r="B177" s="15" t="n">
        <f aca="false">175/64</f>
        <v>2.734375</v>
      </c>
      <c r="C177" s="14" t="n">
        <f aca="false">B177*25.4</f>
        <v>69.453125</v>
      </c>
      <c r="D177" s="35" t="n">
        <f aca="false">B177/2</f>
        <v>1.3671875</v>
      </c>
      <c r="E177" s="14" t="n">
        <f aca="false">C177/2</f>
        <v>34.7265625</v>
      </c>
    </row>
    <row r="178" customFormat="false" ht="15" hidden="false" customHeight="false" outlineLevel="0" collapsed="false">
      <c r="A178" s="36" t="n">
        <f aca="false">B178</f>
        <v>2.75</v>
      </c>
      <c r="B178" s="37" t="n">
        <f aca="false">176/64</f>
        <v>2.75</v>
      </c>
      <c r="C178" s="38" t="n">
        <f aca="false">B178*25.4</f>
        <v>69.85</v>
      </c>
      <c r="D178" s="39" t="n">
        <f aca="false">B178/2</f>
        <v>1.375</v>
      </c>
      <c r="E178" s="38" t="n">
        <f aca="false">C178/2</f>
        <v>34.925</v>
      </c>
    </row>
    <row r="179" customFormat="false" ht="15" hidden="false" customHeight="false" outlineLevel="0" collapsed="false">
      <c r="A179" s="34" t="n">
        <f aca="false">B179</f>
        <v>2.765625</v>
      </c>
      <c r="B179" s="15" t="n">
        <f aca="false">177/64</f>
        <v>2.765625</v>
      </c>
      <c r="C179" s="14" t="n">
        <f aca="false">B179*25.4</f>
        <v>70.246875</v>
      </c>
      <c r="D179" s="35" t="n">
        <f aca="false">B179/2</f>
        <v>1.3828125</v>
      </c>
      <c r="E179" s="14" t="n">
        <f aca="false">C179/2</f>
        <v>35.1234375</v>
      </c>
    </row>
    <row r="180" customFormat="false" ht="15" hidden="false" customHeight="false" outlineLevel="0" collapsed="false">
      <c r="A180" s="36" t="n">
        <f aca="false">B180</f>
        <v>2.78125</v>
      </c>
      <c r="B180" s="37" t="n">
        <f aca="false">178/64</f>
        <v>2.78125</v>
      </c>
      <c r="C180" s="38" t="n">
        <f aca="false">B180*25.4</f>
        <v>70.64375</v>
      </c>
      <c r="D180" s="39" t="n">
        <f aca="false">B180/2</f>
        <v>1.390625</v>
      </c>
      <c r="E180" s="38" t="n">
        <f aca="false">C180/2</f>
        <v>35.321875</v>
      </c>
    </row>
    <row r="181" customFormat="false" ht="15" hidden="false" customHeight="false" outlineLevel="0" collapsed="false">
      <c r="A181" s="34" t="n">
        <f aca="false">B181</f>
        <v>2.796875</v>
      </c>
      <c r="B181" s="15" t="n">
        <f aca="false">179/64</f>
        <v>2.796875</v>
      </c>
      <c r="C181" s="14" t="n">
        <f aca="false">B181*25.4</f>
        <v>71.040625</v>
      </c>
      <c r="D181" s="35" t="n">
        <f aca="false">B181/2</f>
        <v>1.3984375</v>
      </c>
      <c r="E181" s="14" t="n">
        <f aca="false">C181/2</f>
        <v>35.5203125</v>
      </c>
    </row>
    <row r="182" customFormat="false" ht="15" hidden="false" customHeight="false" outlineLevel="0" collapsed="false">
      <c r="A182" s="36" t="n">
        <f aca="false">B182</f>
        <v>2.8125</v>
      </c>
      <c r="B182" s="37" t="n">
        <f aca="false">180/64</f>
        <v>2.8125</v>
      </c>
      <c r="C182" s="38" t="n">
        <f aca="false">B182*25.4</f>
        <v>71.4375</v>
      </c>
      <c r="D182" s="39" t="n">
        <f aca="false">B182/2</f>
        <v>1.40625</v>
      </c>
      <c r="E182" s="38" t="n">
        <f aca="false">C182/2</f>
        <v>35.71875</v>
      </c>
    </row>
    <row r="183" customFormat="false" ht="15" hidden="false" customHeight="false" outlineLevel="0" collapsed="false">
      <c r="A183" s="34" t="n">
        <f aca="false">B183</f>
        <v>2.828125</v>
      </c>
      <c r="B183" s="15" t="n">
        <f aca="false">181/64</f>
        <v>2.828125</v>
      </c>
      <c r="C183" s="14" t="n">
        <f aca="false">B183*25.4</f>
        <v>71.834375</v>
      </c>
      <c r="D183" s="35" t="n">
        <f aca="false">B183/2</f>
        <v>1.4140625</v>
      </c>
      <c r="E183" s="14" t="n">
        <f aca="false">C183/2</f>
        <v>35.9171875</v>
      </c>
    </row>
    <row r="184" customFormat="false" ht="15" hidden="false" customHeight="false" outlineLevel="0" collapsed="false">
      <c r="A184" s="36" t="n">
        <f aca="false">B184</f>
        <v>2.84375</v>
      </c>
      <c r="B184" s="37" t="n">
        <f aca="false">182/64</f>
        <v>2.84375</v>
      </c>
      <c r="C184" s="38" t="n">
        <f aca="false">B184*25.4</f>
        <v>72.23125</v>
      </c>
      <c r="D184" s="39" t="n">
        <f aca="false">B184/2</f>
        <v>1.421875</v>
      </c>
      <c r="E184" s="38" t="n">
        <f aca="false">C184/2</f>
        <v>36.115625</v>
      </c>
    </row>
    <row r="185" customFormat="false" ht="15" hidden="false" customHeight="false" outlineLevel="0" collapsed="false">
      <c r="A185" s="34" t="n">
        <f aca="false">B185</f>
        <v>2.859375</v>
      </c>
      <c r="B185" s="15" t="n">
        <f aca="false">183/64</f>
        <v>2.859375</v>
      </c>
      <c r="C185" s="14" t="n">
        <f aca="false">B185*25.4</f>
        <v>72.628125</v>
      </c>
      <c r="D185" s="35" t="n">
        <f aca="false">B185/2</f>
        <v>1.4296875</v>
      </c>
      <c r="E185" s="14" t="n">
        <f aca="false">C185/2</f>
        <v>36.3140625</v>
      </c>
    </row>
    <row r="186" customFormat="false" ht="15" hidden="false" customHeight="false" outlineLevel="0" collapsed="false">
      <c r="A186" s="36" t="n">
        <f aca="false">B186</f>
        <v>2.875</v>
      </c>
      <c r="B186" s="37" t="n">
        <f aca="false">184/64</f>
        <v>2.875</v>
      </c>
      <c r="C186" s="38" t="n">
        <f aca="false">B186*25.4</f>
        <v>73.025</v>
      </c>
      <c r="D186" s="39" t="n">
        <f aca="false">B186/2</f>
        <v>1.4375</v>
      </c>
      <c r="E186" s="38" t="n">
        <f aca="false">C186/2</f>
        <v>36.5125</v>
      </c>
    </row>
    <row r="187" customFormat="false" ht="15" hidden="false" customHeight="false" outlineLevel="0" collapsed="false">
      <c r="A187" s="34" t="n">
        <f aca="false">B187</f>
        <v>2.890625</v>
      </c>
      <c r="B187" s="15" t="n">
        <f aca="false">185/64</f>
        <v>2.890625</v>
      </c>
      <c r="C187" s="14" t="n">
        <f aca="false">B187*25.4</f>
        <v>73.421875</v>
      </c>
      <c r="D187" s="35" t="n">
        <f aca="false">B187/2</f>
        <v>1.4453125</v>
      </c>
      <c r="E187" s="14" t="n">
        <f aca="false">C187/2</f>
        <v>36.7109375</v>
      </c>
    </row>
    <row r="188" customFormat="false" ht="15" hidden="false" customHeight="false" outlineLevel="0" collapsed="false">
      <c r="A188" s="36" t="n">
        <f aca="false">B188</f>
        <v>2.90625</v>
      </c>
      <c r="B188" s="37" t="n">
        <f aca="false">186/64</f>
        <v>2.90625</v>
      </c>
      <c r="C188" s="38" t="n">
        <f aca="false">B188*25.4</f>
        <v>73.81875</v>
      </c>
      <c r="D188" s="39" t="n">
        <f aca="false">B188/2</f>
        <v>1.453125</v>
      </c>
      <c r="E188" s="38" t="n">
        <f aca="false">C188/2</f>
        <v>36.909375</v>
      </c>
    </row>
    <row r="189" customFormat="false" ht="15" hidden="false" customHeight="false" outlineLevel="0" collapsed="false">
      <c r="A189" s="34" t="n">
        <f aca="false">B189</f>
        <v>2.921875</v>
      </c>
      <c r="B189" s="15" t="n">
        <f aca="false">187/64</f>
        <v>2.921875</v>
      </c>
      <c r="C189" s="14" t="n">
        <f aca="false">B189*25.4</f>
        <v>74.215625</v>
      </c>
      <c r="D189" s="35" t="n">
        <f aca="false">B189/2</f>
        <v>1.4609375</v>
      </c>
      <c r="E189" s="14" t="n">
        <f aca="false">C189/2</f>
        <v>37.1078125</v>
      </c>
    </row>
    <row r="190" customFormat="false" ht="15" hidden="false" customHeight="false" outlineLevel="0" collapsed="false">
      <c r="A190" s="36" t="n">
        <f aca="false">B190</f>
        <v>2.9375</v>
      </c>
      <c r="B190" s="37" t="n">
        <f aca="false">188/64</f>
        <v>2.9375</v>
      </c>
      <c r="C190" s="38" t="n">
        <f aca="false">B190*25.4</f>
        <v>74.6125</v>
      </c>
      <c r="D190" s="39" t="n">
        <f aca="false">B190/2</f>
        <v>1.46875</v>
      </c>
      <c r="E190" s="38" t="n">
        <f aca="false">C190/2</f>
        <v>37.30625</v>
      </c>
    </row>
    <row r="191" customFormat="false" ht="15" hidden="false" customHeight="false" outlineLevel="0" collapsed="false">
      <c r="A191" s="34" t="n">
        <f aca="false">B191</f>
        <v>2.953125</v>
      </c>
      <c r="B191" s="15" t="n">
        <f aca="false">189/64</f>
        <v>2.953125</v>
      </c>
      <c r="C191" s="14" t="n">
        <f aca="false">B191*25.4</f>
        <v>75.009375</v>
      </c>
      <c r="D191" s="35" t="n">
        <f aca="false">B191/2</f>
        <v>1.4765625</v>
      </c>
      <c r="E191" s="14" t="n">
        <f aca="false">C191/2</f>
        <v>37.5046875</v>
      </c>
    </row>
    <row r="192" customFormat="false" ht="15" hidden="false" customHeight="false" outlineLevel="0" collapsed="false">
      <c r="A192" s="36" t="n">
        <f aca="false">B192</f>
        <v>2.96875</v>
      </c>
      <c r="B192" s="37" t="n">
        <f aca="false">190/64</f>
        <v>2.96875</v>
      </c>
      <c r="C192" s="38" t="n">
        <f aca="false">B192*25.4</f>
        <v>75.40625</v>
      </c>
      <c r="D192" s="39" t="n">
        <f aca="false">B192/2</f>
        <v>1.484375</v>
      </c>
      <c r="E192" s="38" t="n">
        <f aca="false">C192/2</f>
        <v>37.703125</v>
      </c>
    </row>
    <row r="193" customFormat="false" ht="15" hidden="false" customHeight="false" outlineLevel="0" collapsed="false">
      <c r="A193" s="34" t="n">
        <f aca="false">B193</f>
        <v>2.984375</v>
      </c>
      <c r="B193" s="15" t="n">
        <f aca="false">191/64</f>
        <v>2.984375</v>
      </c>
      <c r="C193" s="14" t="n">
        <f aca="false">B193*25.4</f>
        <v>75.803125</v>
      </c>
      <c r="D193" s="35" t="n">
        <f aca="false">B193/2</f>
        <v>1.4921875</v>
      </c>
      <c r="E193" s="14" t="n">
        <f aca="false">C193/2</f>
        <v>37.9015625</v>
      </c>
    </row>
    <row r="194" customFormat="false" ht="15" hidden="false" customHeight="false" outlineLevel="0" collapsed="false">
      <c r="A194" s="36" t="n">
        <f aca="false">B194</f>
        <v>3</v>
      </c>
      <c r="B194" s="37" t="n">
        <f aca="false">192/64</f>
        <v>3</v>
      </c>
      <c r="C194" s="38" t="n">
        <f aca="false">B194*25.4</f>
        <v>76.2</v>
      </c>
      <c r="D194" s="39" t="n">
        <f aca="false">B194/2</f>
        <v>1.5</v>
      </c>
      <c r="E194" s="38" t="n">
        <f aca="false">C194/2</f>
        <v>38.1</v>
      </c>
    </row>
    <row r="195" customFormat="false" ht="15" hidden="false" customHeight="false" outlineLevel="0" collapsed="false">
      <c r="A195" s="34" t="n">
        <f aca="false">B195</f>
        <v>3.015625</v>
      </c>
      <c r="B195" s="15" t="n">
        <f aca="false">193/64</f>
        <v>3.015625</v>
      </c>
      <c r="C195" s="14" t="n">
        <f aca="false">B195*25.4</f>
        <v>76.596875</v>
      </c>
      <c r="D195" s="35" t="n">
        <f aca="false">B195/2</f>
        <v>1.5078125</v>
      </c>
      <c r="E195" s="14" t="n">
        <f aca="false">C195/2</f>
        <v>38.2984375</v>
      </c>
    </row>
    <row r="196" customFormat="false" ht="15" hidden="false" customHeight="false" outlineLevel="0" collapsed="false">
      <c r="A196" s="36" t="n">
        <f aca="false">B196</f>
        <v>3.03125</v>
      </c>
      <c r="B196" s="37" t="n">
        <f aca="false">194/64</f>
        <v>3.03125</v>
      </c>
      <c r="C196" s="38" t="n">
        <f aca="false">B196*25.4</f>
        <v>76.99375</v>
      </c>
      <c r="D196" s="39" t="n">
        <f aca="false">B196/2</f>
        <v>1.515625</v>
      </c>
      <c r="E196" s="38" t="n">
        <f aca="false">C196/2</f>
        <v>38.496875</v>
      </c>
    </row>
    <row r="197" customFormat="false" ht="15" hidden="false" customHeight="false" outlineLevel="0" collapsed="false">
      <c r="A197" s="34" t="n">
        <f aca="false">B197</f>
        <v>3.046875</v>
      </c>
      <c r="B197" s="15" t="n">
        <f aca="false">195/64</f>
        <v>3.046875</v>
      </c>
      <c r="C197" s="14" t="n">
        <f aca="false">B197*25.4</f>
        <v>77.390625</v>
      </c>
      <c r="D197" s="35" t="n">
        <f aca="false">B197/2</f>
        <v>1.5234375</v>
      </c>
      <c r="E197" s="14" t="n">
        <f aca="false">C197/2</f>
        <v>38.6953125</v>
      </c>
    </row>
    <row r="198" customFormat="false" ht="15" hidden="false" customHeight="false" outlineLevel="0" collapsed="false">
      <c r="A198" s="36" t="n">
        <f aca="false">B198</f>
        <v>3.0625</v>
      </c>
      <c r="B198" s="37" t="n">
        <f aca="false">196/64</f>
        <v>3.0625</v>
      </c>
      <c r="C198" s="38" t="n">
        <f aca="false">B198*25.4</f>
        <v>77.7875</v>
      </c>
      <c r="D198" s="39" t="n">
        <f aca="false">B198/2</f>
        <v>1.53125</v>
      </c>
      <c r="E198" s="38" t="n">
        <f aca="false">C198/2</f>
        <v>38.89375</v>
      </c>
    </row>
    <row r="199" customFormat="false" ht="15" hidden="false" customHeight="false" outlineLevel="0" collapsed="false">
      <c r="A199" s="34" t="n">
        <f aca="false">B199</f>
        <v>3.078125</v>
      </c>
      <c r="B199" s="15" t="n">
        <f aca="false">197/64</f>
        <v>3.078125</v>
      </c>
      <c r="C199" s="14" t="n">
        <f aca="false">B199*25.4</f>
        <v>78.184375</v>
      </c>
      <c r="D199" s="35" t="n">
        <f aca="false">B199/2</f>
        <v>1.5390625</v>
      </c>
      <c r="E199" s="14" t="n">
        <f aca="false">C199/2</f>
        <v>39.0921875</v>
      </c>
    </row>
    <row r="200" customFormat="false" ht="15" hidden="false" customHeight="false" outlineLevel="0" collapsed="false">
      <c r="A200" s="36" t="n">
        <f aca="false">B200</f>
        <v>3.09375</v>
      </c>
      <c r="B200" s="37" t="n">
        <f aca="false">198/64</f>
        <v>3.09375</v>
      </c>
      <c r="C200" s="38" t="n">
        <f aca="false">B200*25.4</f>
        <v>78.58125</v>
      </c>
      <c r="D200" s="39" t="n">
        <f aca="false">B200/2</f>
        <v>1.546875</v>
      </c>
      <c r="E200" s="38" t="n">
        <f aca="false">C200/2</f>
        <v>39.290625</v>
      </c>
    </row>
    <row r="201" customFormat="false" ht="15" hidden="false" customHeight="false" outlineLevel="0" collapsed="false">
      <c r="A201" s="34" t="n">
        <f aca="false">B201</f>
        <v>3.109375</v>
      </c>
      <c r="B201" s="15" t="n">
        <f aca="false">199/64</f>
        <v>3.109375</v>
      </c>
      <c r="C201" s="14" t="n">
        <f aca="false">B201*25.4</f>
        <v>78.978125</v>
      </c>
      <c r="D201" s="35" t="n">
        <f aca="false">B201/2</f>
        <v>1.5546875</v>
      </c>
      <c r="E201" s="14" t="n">
        <f aca="false">C201/2</f>
        <v>39.4890625</v>
      </c>
    </row>
    <row r="202" customFormat="false" ht="15" hidden="false" customHeight="false" outlineLevel="0" collapsed="false">
      <c r="A202" s="36" t="n">
        <f aca="false">B202</f>
        <v>3.125</v>
      </c>
      <c r="B202" s="37" t="n">
        <f aca="false">200/64</f>
        <v>3.125</v>
      </c>
      <c r="C202" s="38" t="n">
        <f aca="false">B202*25.4</f>
        <v>79.375</v>
      </c>
      <c r="D202" s="39" t="n">
        <f aca="false">B202/2</f>
        <v>1.5625</v>
      </c>
      <c r="E202" s="38" t="n">
        <f aca="false">C202/2</f>
        <v>39.6875</v>
      </c>
    </row>
    <row r="203" customFormat="false" ht="15" hidden="false" customHeight="false" outlineLevel="0" collapsed="false">
      <c r="A203" s="34" t="n">
        <f aca="false">B203</f>
        <v>3.140625</v>
      </c>
      <c r="B203" s="15" t="n">
        <f aca="false">201/64</f>
        <v>3.140625</v>
      </c>
      <c r="C203" s="14" t="n">
        <f aca="false">B203*25.4</f>
        <v>79.771875</v>
      </c>
      <c r="D203" s="35" t="n">
        <f aca="false">B203/2</f>
        <v>1.5703125</v>
      </c>
      <c r="E203" s="14" t="n">
        <f aca="false">C203/2</f>
        <v>39.8859375</v>
      </c>
    </row>
    <row r="204" customFormat="false" ht="15" hidden="false" customHeight="false" outlineLevel="0" collapsed="false">
      <c r="A204" s="36" t="n">
        <f aca="false">B204</f>
        <v>3.15625</v>
      </c>
      <c r="B204" s="37" t="n">
        <f aca="false">202/64</f>
        <v>3.15625</v>
      </c>
      <c r="C204" s="38" t="n">
        <f aca="false">B204*25.4</f>
        <v>80.16875</v>
      </c>
      <c r="D204" s="39" t="n">
        <f aca="false">B204/2</f>
        <v>1.578125</v>
      </c>
      <c r="E204" s="38" t="n">
        <f aca="false">C204/2</f>
        <v>40.084375</v>
      </c>
    </row>
    <row r="205" customFormat="false" ht="15" hidden="false" customHeight="false" outlineLevel="0" collapsed="false">
      <c r="A205" s="34" t="n">
        <f aca="false">B205</f>
        <v>3.171875</v>
      </c>
      <c r="B205" s="15" t="n">
        <f aca="false">203/64</f>
        <v>3.171875</v>
      </c>
      <c r="C205" s="14" t="n">
        <f aca="false">B205*25.4</f>
        <v>80.565625</v>
      </c>
      <c r="D205" s="35" t="n">
        <f aca="false">B205/2</f>
        <v>1.5859375</v>
      </c>
      <c r="E205" s="14" t="n">
        <f aca="false">C205/2</f>
        <v>40.2828125</v>
      </c>
    </row>
    <row r="206" customFormat="false" ht="15" hidden="false" customHeight="false" outlineLevel="0" collapsed="false">
      <c r="A206" s="36" t="n">
        <f aca="false">B206</f>
        <v>3.1875</v>
      </c>
      <c r="B206" s="37" t="n">
        <f aca="false">204/64</f>
        <v>3.1875</v>
      </c>
      <c r="C206" s="38" t="n">
        <f aca="false">B206*25.4</f>
        <v>80.9625</v>
      </c>
      <c r="D206" s="39" t="n">
        <f aca="false">B206/2</f>
        <v>1.59375</v>
      </c>
      <c r="E206" s="38" t="n">
        <f aca="false">C206/2</f>
        <v>40.48125</v>
      </c>
    </row>
    <row r="207" customFormat="false" ht="15" hidden="false" customHeight="false" outlineLevel="0" collapsed="false">
      <c r="A207" s="34" t="n">
        <f aca="false">B207</f>
        <v>3.203125</v>
      </c>
      <c r="B207" s="15" t="n">
        <f aca="false">205/64</f>
        <v>3.203125</v>
      </c>
      <c r="C207" s="14" t="n">
        <f aca="false">B207*25.4</f>
        <v>81.359375</v>
      </c>
      <c r="D207" s="35" t="n">
        <f aca="false">B207/2</f>
        <v>1.6015625</v>
      </c>
      <c r="E207" s="14" t="n">
        <f aca="false">C207/2</f>
        <v>40.6796875</v>
      </c>
    </row>
    <row r="208" customFormat="false" ht="15" hidden="false" customHeight="false" outlineLevel="0" collapsed="false">
      <c r="A208" s="36" t="n">
        <f aca="false">B208</f>
        <v>3.21875</v>
      </c>
      <c r="B208" s="37" t="n">
        <f aca="false">206/64</f>
        <v>3.21875</v>
      </c>
      <c r="C208" s="38" t="n">
        <f aca="false">B208*25.4</f>
        <v>81.75625</v>
      </c>
      <c r="D208" s="39" t="n">
        <f aca="false">B208/2</f>
        <v>1.609375</v>
      </c>
      <c r="E208" s="38" t="n">
        <f aca="false">C208/2</f>
        <v>40.878125</v>
      </c>
    </row>
    <row r="209" customFormat="false" ht="15" hidden="false" customHeight="false" outlineLevel="0" collapsed="false">
      <c r="A209" s="34" t="n">
        <f aca="false">B209</f>
        <v>3.234375</v>
      </c>
      <c r="B209" s="15" t="n">
        <f aca="false">207/64</f>
        <v>3.234375</v>
      </c>
      <c r="C209" s="14" t="n">
        <f aca="false">B209*25.4</f>
        <v>82.153125</v>
      </c>
      <c r="D209" s="35" t="n">
        <f aca="false">B209/2</f>
        <v>1.6171875</v>
      </c>
      <c r="E209" s="14" t="n">
        <f aca="false">C209/2</f>
        <v>41.0765625</v>
      </c>
    </row>
    <row r="210" customFormat="false" ht="15" hidden="false" customHeight="false" outlineLevel="0" collapsed="false">
      <c r="A210" s="36" t="n">
        <f aca="false">B210</f>
        <v>3.25</v>
      </c>
      <c r="B210" s="37" t="n">
        <f aca="false">208/64</f>
        <v>3.25</v>
      </c>
      <c r="C210" s="38" t="n">
        <f aca="false">B210*25.4</f>
        <v>82.55</v>
      </c>
      <c r="D210" s="39" t="n">
        <f aca="false">B210/2</f>
        <v>1.625</v>
      </c>
      <c r="E210" s="38" t="n">
        <f aca="false">C210/2</f>
        <v>41.275</v>
      </c>
    </row>
    <row r="211" customFormat="false" ht="15" hidden="false" customHeight="false" outlineLevel="0" collapsed="false">
      <c r="A211" s="34" t="n">
        <f aca="false">B211</f>
        <v>3.265625</v>
      </c>
      <c r="B211" s="15" t="n">
        <f aca="false">209/64</f>
        <v>3.265625</v>
      </c>
      <c r="C211" s="14" t="n">
        <f aca="false">B211*25.4</f>
        <v>82.946875</v>
      </c>
      <c r="D211" s="35" t="n">
        <f aca="false">B211/2</f>
        <v>1.6328125</v>
      </c>
      <c r="E211" s="14" t="n">
        <f aca="false">C211/2</f>
        <v>41.4734375</v>
      </c>
    </row>
    <row r="212" customFormat="false" ht="15" hidden="false" customHeight="false" outlineLevel="0" collapsed="false">
      <c r="A212" s="36" t="n">
        <f aca="false">B212</f>
        <v>3.28125</v>
      </c>
      <c r="B212" s="37" t="n">
        <f aca="false">210/64</f>
        <v>3.28125</v>
      </c>
      <c r="C212" s="38" t="n">
        <f aca="false">B212*25.4</f>
        <v>83.34375</v>
      </c>
      <c r="D212" s="39" t="n">
        <f aca="false">B212/2</f>
        <v>1.640625</v>
      </c>
      <c r="E212" s="38" t="n">
        <f aca="false">C212/2</f>
        <v>41.671875</v>
      </c>
    </row>
    <row r="213" customFormat="false" ht="15" hidden="false" customHeight="false" outlineLevel="0" collapsed="false">
      <c r="A213" s="34" t="n">
        <f aca="false">B213</f>
        <v>3.296875</v>
      </c>
      <c r="B213" s="15" t="n">
        <f aca="false">211/64</f>
        <v>3.296875</v>
      </c>
      <c r="C213" s="14" t="n">
        <f aca="false">B213*25.4</f>
        <v>83.740625</v>
      </c>
      <c r="D213" s="35" t="n">
        <f aca="false">B213/2</f>
        <v>1.6484375</v>
      </c>
      <c r="E213" s="14" t="n">
        <f aca="false">C213/2</f>
        <v>41.8703125</v>
      </c>
    </row>
    <row r="214" customFormat="false" ht="15" hidden="false" customHeight="false" outlineLevel="0" collapsed="false">
      <c r="A214" s="36" t="n">
        <f aca="false">B214</f>
        <v>3.3125</v>
      </c>
      <c r="B214" s="37" t="n">
        <f aca="false">212/64</f>
        <v>3.3125</v>
      </c>
      <c r="C214" s="38" t="n">
        <f aca="false">B214*25.4</f>
        <v>84.1375</v>
      </c>
      <c r="D214" s="39" t="n">
        <f aca="false">B214/2</f>
        <v>1.65625</v>
      </c>
      <c r="E214" s="38" t="n">
        <f aca="false">C214/2</f>
        <v>42.06875</v>
      </c>
    </row>
    <row r="215" customFormat="false" ht="15" hidden="false" customHeight="false" outlineLevel="0" collapsed="false">
      <c r="A215" s="34" t="n">
        <f aca="false">B215</f>
        <v>3.328125</v>
      </c>
      <c r="B215" s="15" t="n">
        <f aca="false">213/64</f>
        <v>3.328125</v>
      </c>
      <c r="C215" s="14" t="n">
        <f aca="false">B215*25.4</f>
        <v>84.534375</v>
      </c>
      <c r="D215" s="35" t="n">
        <f aca="false">B215/2</f>
        <v>1.6640625</v>
      </c>
      <c r="E215" s="14" t="n">
        <f aca="false">C215/2</f>
        <v>42.2671875</v>
      </c>
    </row>
    <row r="216" customFormat="false" ht="15" hidden="false" customHeight="false" outlineLevel="0" collapsed="false">
      <c r="A216" s="36" t="n">
        <f aca="false">B216</f>
        <v>3.34375</v>
      </c>
      <c r="B216" s="37" t="n">
        <f aca="false">214/64</f>
        <v>3.34375</v>
      </c>
      <c r="C216" s="38" t="n">
        <f aca="false">B216*25.4</f>
        <v>84.93125</v>
      </c>
      <c r="D216" s="39" t="n">
        <f aca="false">B216/2</f>
        <v>1.671875</v>
      </c>
      <c r="E216" s="38" t="n">
        <f aca="false">C216/2</f>
        <v>42.465625</v>
      </c>
    </row>
    <row r="217" customFormat="false" ht="15" hidden="false" customHeight="false" outlineLevel="0" collapsed="false">
      <c r="A217" s="34" t="n">
        <f aca="false">B217</f>
        <v>3.359375</v>
      </c>
      <c r="B217" s="15" t="n">
        <f aca="false">215/64</f>
        <v>3.359375</v>
      </c>
      <c r="C217" s="14" t="n">
        <f aca="false">B217*25.4</f>
        <v>85.328125</v>
      </c>
      <c r="D217" s="35" t="n">
        <f aca="false">B217/2</f>
        <v>1.6796875</v>
      </c>
      <c r="E217" s="14" t="n">
        <f aca="false">C217/2</f>
        <v>42.6640625</v>
      </c>
    </row>
    <row r="218" customFormat="false" ht="15" hidden="false" customHeight="false" outlineLevel="0" collapsed="false">
      <c r="A218" s="36" t="n">
        <f aca="false">B218</f>
        <v>3.375</v>
      </c>
      <c r="B218" s="37" t="n">
        <f aca="false">216/64</f>
        <v>3.375</v>
      </c>
      <c r="C218" s="38" t="n">
        <f aca="false">B218*25.4</f>
        <v>85.725</v>
      </c>
      <c r="D218" s="39" t="n">
        <f aca="false">B218/2</f>
        <v>1.6875</v>
      </c>
      <c r="E218" s="38" t="n">
        <f aca="false">C218/2</f>
        <v>42.8625</v>
      </c>
    </row>
    <row r="219" customFormat="false" ht="15" hidden="false" customHeight="false" outlineLevel="0" collapsed="false">
      <c r="A219" s="34" t="n">
        <f aca="false">B219</f>
        <v>3.390625</v>
      </c>
      <c r="B219" s="15" t="n">
        <f aca="false">217/64</f>
        <v>3.390625</v>
      </c>
      <c r="C219" s="14" t="n">
        <f aca="false">B219*25.4</f>
        <v>86.121875</v>
      </c>
      <c r="D219" s="35" t="n">
        <f aca="false">B219/2</f>
        <v>1.6953125</v>
      </c>
      <c r="E219" s="14" t="n">
        <f aca="false">C219/2</f>
        <v>43.0609375</v>
      </c>
    </row>
    <row r="220" customFormat="false" ht="15" hidden="false" customHeight="false" outlineLevel="0" collapsed="false">
      <c r="A220" s="36" t="n">
        <f aca="false">B220</f>
        <v>3.40625</v>
      </c>
      <c r="B220" s="37" t="n">
        <f aca="false">218/64</f>
        <v>3.40625</v>
      </c>
      <c r="C220" s="38" t="n">
        <f aca="false">B220*25.4</f>
        <v>86.51875</v>
      </c>
      <c r="D220" s="39" t="n">
        <f aca="false">B220/2</f>
        <v>1.703125</v>
      </c>
      <c r="E220" s="38" t="n">
        <f aca="false">C220/2</f>
        <v>43.259375</v>
      </c>
    </row>
    <row r="221" customFormat="false" ht="15" hidden="false" customHeight="false" outlineLevel="0" collapsed="false">
      <c r="A221" s="34" t="n">
        <f aca="false">B221</f>
        <v>3.421875</v>
      </c>
      <c r="B221" s="15" t="n">
        <f aca="false">219/64</f>
        <v>3.421875</v>
      </c>
      <c r="C221" s="14" t="n">
        <f aca="false">B221*25.4</f>
        <v>86.915625</v>
      </c>
      <c r="D221" s="35" t="n">
        <f aca="false">B221/2</f>
        <v>1.7109375</v>
      </c>
      <c r="E221" s="14" t="n">
        <f aca="false">C221/2</f>
        <v>43.4578125</v>
      </c>
    </row>
    <row r="222" customFormat="false" ht="15" hidden="false" customHeight="false" outlineLevel="0" collapsed="false">
      <c r="A222" s="36" t="n">
        <f aca="false">B222</f>
        <v>3.4375</v>
      </c>
      <c r="B222" s="37" t="n">
        <f aca="false">220/64</f>
        <v>3.4375</v>
      </c>
      <c r="C222" s="38" t="n">
        <f aca="false">B222*25.4</f>
        <v>87.3125</v>
      </c>
      <c r="D222" s="39" t="n">
        <f aca="false">B222/2</f>
        <v>1.71875</v>
      </c>
      <c r="E222" s="38" t="n">
        <f aca="false">C222/2</f>
        <v>43.65625</v>
      </c>
    </row>
    <row r="223" customFormat="false" ht="15" hidden="false" customHeight="false" outlineLevel="0" collapsed="false">
      <c r="A223" s="34" t="n">
        <f aca="false">B223</f>
        <v>3.453125</v>
      </c>
      <c r="B223" s="15" t="n">
        <f aca="false">221/64</f>
        <v>3.453125</v>
      </c>
      <c r="C223" s="14" t="n">
        <f aca="false">B223*25.4</f>
        <v>87.709375</v>
      </c>
      <c r="D223" s="35" t="n">
        <f aca="false">B223/2</f>
        <v>1.7265625</v>
      </c>
      <c r="E223" s="14" t="n">
        <f aca="false">C223/2</f>
        <v>43.8546875</v>
      </c>
    </row>
    <row r="224" customFormat="false" ht="15" hidden="false" customHeight="false" outlineLevel="0" collapsed="false">
      <c r="A224" s="36" t="n">
        <f aca="false">B224</f>
        <v>3.46875</v>
      </c>
      <c r="B224" s="37" t="n">
        <f aca="false">222/64</f>
        <v>3.46875</v>
      </c>
      <c r="C224" s="38" t="n">
        <f aca="false">B224*25.4</f>
        <v>88.10625</v>
      </c>
      <c r="D224" s="39" t="n">
        <f aca="false">B224/2</f>
        <v>1.734375</v>
      </c>
      <c r="E224" s="38" t="n">
        <f aca="false">C224/2</f>
        <v>44.053125</v>
      </c>
    </row>
    <row r="225" customFormat="false" ht="15" hidden="false" customHeight="false" outlineLevel="0" collapsed="false">
      <c r="A225" s="34" t="n">
        <f aca="false">B225</f>
        <v>3.484375</v>
      </c>
      <c r="B225" s="15" t="n">
        <f aca="false">223/64</f>
        <v>3.484375</v>
      </c>
      <c r="C225" s="14" t="n">
        <f aca="false">B225*25.4</f>
        <v>88.503125</v>
      </c>
      <c r="D225" s="35" t="n">
        <f aca="false">B225/2</f>
        <v>1.7421875</v>
      </c>
      <c r="E225" s="14" t="n">
        <f aca="false">C225/2</f>
        <v>44.2515625</v>
      </c>
    </row>
    <row r="226" customFormat="false" ht="15" hidden="false" customHeight="false" outlineLevel="0" collapsed="false">
      <c r="A226" s="36" t="n">
        <f aca="false">B226</f>
        <v>3.5</v>
      </c>
      <c r="B226" s="37" t="n">
        <f aca="false">224/64</f>
        <v>3.5</v>
      </c>
      <c r="C226" s="38" t="n">
        <f aca="false">B226*25.4</f>
        <v>88.9</v>
      </c>
      <c r="D226" s="39" t="n">
        <f aca="false">B226/2</f>
        <v>1.75</v>
      </c>
      <c r="E226" s="38" t="n">
        <f aca="false">C226/2</f>
        <v>44.45</v>
      </c>
    </row>
    <row r="227" customFormat="false" ht="15" hidden="false" customHeight="false" outlineLevel="0" collapsed="false">
      <c r="A227" s="34" t="n">
        <f aca="false">B227</f>
        <v>3.515625</v>
      </c>
      <c r="B227" s="15" t="n">
        <f aca="false">225/64</f>
        <v>3.515625</v>
      </c>
      <c r="C227" s="14" t="n">
        <f aca="false">B227*25.4</f>
        <v>89.296875</v>
      </c>
      <c r="D227" s="35" t="n">
        <f aca="false">B227/2</f>
        <v>1.7578125</v>
      </c>
      <c r="E227" s="14" t="n">
        <f aca="false">C227/2</f>
        <v>44.6484375</v>
      </c>
    </row>
    <row r="228" customFormat="false" ht="15" hidden="false" customHeight="false" outlineLevel="0" collapsed="false">
      <c r="A228" s="36" t="n">
        <f aca="false">B228</f>
        <v>3.53125</v>
      </c>
      <c r="B228" s="37" t="n">
        <f aca="false">226/64</f>
        <v>3.53125</v>
      </c>
      <c r="C228" s="38" t="n">
        <f aca="false">B228*25.4</f>
        <v>89.69375</v>
      </c>
      <c r="D228" s="39" t="n">
        <f aca="false">B228/2</f>
        <v>1.765625</v>
      </c>
      <c r="E228" s="38" t="n">
        <f aca="false">C228/2</f>
        <v>44.846875</v>
      </c>
    </row>
    <row r="229" customFormat="false" ht="15" hidden="false" customHeight="false" outlineLevel="0" collapsed="false">
      <c r="A229" s="34" t="n">
        <f aca="false">B229</f>
        <v>3.546875</v>
      </c>
      <c r="B229" s="15" t="n">
        <f aca="false">227/64</f>
        <v>3.546875</v>
      </c>
      <c r="C229" s="14" t="n">
        <f aca="false">B229*25.4</f>
        <v>90.090625</v>
      </c>
      <c r="D229" s="35" t="n">
        <f aca="false">B229/2</f>
        <v>1.7734375</v>
      </c>
      <c r="E229" s="14" t="n">
        <f aca="false">C229/2</f>
        <v>45.0453125</v>
      </c>
    </row>
    <row r="230" customFormat="false" ht="15" hidden="false" customHeight="false" outlineLevel="0" collapsed="false">
      <c r="A230" s="36" t="n">
        <f aca="false">B230</f>
        <v>3.5625</v>
      </c>
      <c r="B230" s="37" t="n">
        <f aca="false">228/64</f>
        <v>3.5625</v>
      </c>
      <c r="C230" s="38" t="n">
        <f aca="false">B230*25.4</f>
        <v>90.4875</v>
      </c>
      <c r="D230" s="39" t="n">
        <f aca="false">B230/2</f>
        <v>1.78125</v>
      </c>
      <c r="E230" s="38" t="n">
        <f aca="false">C230/2</f>
        <v>45.24375</v>
      </c>
    </row>
    <row r="231" customFormat="false" ht="15" hidden="false" customHeight="false" outlineLevel="0" collapsed="false">
      <c r="A231" s="34" t="n">
        <f aca="false">B231</f>
        <v>3.578125</v>
      </c>
      <c r="B231" s="15" t="n">
        <f aca="false">229/64</f>
        <v>3.578125</v>
      </c>
      <c r="C231" s="14" t="n">
        <f aca="false">B231*25.4</f>
        <v>90.884375</v>
      </c>
      <c r="D231" s="35" t="n">
        <f aca="false">B231/2</f>
        <v>1.7890625</v>
      </c>
      <c r="E231" s="14" t="n">
        <f aca="false">C231/2</f>
        <v>45.4421875</v>
      </c>
    </row>
    <row r="232" customFormat="false" ht="15" hidden="false" customHeight="false" outlineLevel="0" collapsed="false">
      <c r="A232" s="36" t="n">
        <f aca="false">B232</f>
        <v>3.59375</v>
      </c>
      <c r="B232" s="37" t="n">
        <f aca="false">230/64</f>
        <v>3.59375</v>
      </c>
      <c r="C232" s="38" t="n">
        <f aca="false">B232*25.4</f>
        <v>91.28125</v>
      </c>
      <c r="D232" s="39" t="n">
        <f aca="false">B232/2</f>
        <v>1.796875</v>
      </c>
      <c r="E232" s="38" t="n">
        <f aca="false">C232/2</f>
        <v>45.640625</v>
      </c>
    </row>
    <row r="233" customFormat="false" ht="15" hidden="false" customHeight="false" outlineLevel="0" collapsed="false">
      <c r="A233" s="34" t="n">
        <f aca="false">B233</f>
        <v>3.609375</v>
      </c>
      <c r="B233" s="15" t="n">
        <f aca="false">231/64</f>
        <v>3.609375</v>
      </c>
      <c r="C233" s="14" t="n">
        <f aca="false">B233*25.4</f>
        <v>91.678125</v>
      </c>
      <c r="D233" s="35" t="n">
        <f aca="false">B233/2</f>
        <v>1.8046875</v>
      </c>
      <c r="E233" s="14" t="n">
        <f aca="false">C233/2</f>
        <v>45.8390625</v>
      </c>
    </row>
    <row r="234" customFormat="false" ht="15" hidden="false" customHeight="false" outlineLevel="0" collapsed="false">
      <c r="A234" s="36" t="n">
        <f aca="false">B234</f>
        <v>3.625</v>
      </c>
      <c r="B234" s="37" t="n">
        <f aca="false">232/64</f>
        <v>3.625</v>
      </c>
      <c r="C234" s="38" t="n">
        <f aca="false">B234*25.4</f>
        <v>92.075</v>
      </c>
      <c r="D234" s="39" t="n">
        <f aca="false">B234/2</f>
        <v>1.8125</v>
      </c>
      <c r="E234" s="38" t="n">
        <f aca="false">C234/2</f>
        <v>46.0375</v>
      </c>
    </row>
    <row r="235" customFormat="false" ht="15" hidden="false" customHeight="false" outlineLevel="0" collapsed="false">
      <c r="A235" s="34" t="n">
        <f aca="false">B235</f>
        <v>3.640625</v>
      </c>
      <c r="B235" s="15" t="n">
        <f aca="false">233/64</f>
        <v>3.640625</v>
      </c>
      <c r="C235" s="14" t="n">
        <f aca="false">B235*25.4</f>
        <v>92.471875</v>
      </c>
      <c r="D235" s="35" t="n">
        <f aca="false">B235/2</f>
        <v>1.8203125</v>
      </c>
      <c r="E235" s="14" t="n">
        <f aca="false">C235/2</f>
        <v>46.2359375</v>
      </c>
    </row>
    <row r="236" customFormat="false" ht="15" hidden="false" customHeight="false" outlineLevel="0" collapsed="false">
      <c r="A236" s="36" t="n">
        <f aca="false">B236</f>
        <v>3.65625</v>
      </c>
      <c r="B236" s="37" t="n">
        <f aca="false">234/64</f>
        <v>3.65625</v>
      </c>
      <c r="C236" s="38" t="n">
        <f aca="false">B236*25.4</f>
        <v>92.86875</v>
      </c>
      <c r="D236" s="39" t="n">
        <f aca="false">B236/2</f>
        <v>1.828125</v>
      </c>
      <c r="E236" s="38" t="n">
        <f aca="false">C236/2</f>
        <v>46.434375</v>
      </c>
    </row>
    <row r="237" customFormat="false" ht="15" hidden="false" customHeight="false" outlineLevel="0" collapsed="false">
      <c r="A237" s="34" t="n">
        <f aca="false">B237</f>
        <v>3.671875</v>
      </c>
      <c r="B237" s="15" t="n">
        <f aca="false">235/64</f>
        <v>3.671875</v>
      </c>
      <c r="C237" s="14" t="n">
        <f aca="false">B237*25.4</f>
        <v>93.265625</v>
      </c>
      <c r="D237" s="35" t="n">
        <f aca="false">B237/2</f>
        <v>1.8359375</v>
      </c>
      <c r="E237" s="14" t="n">
        <f aca="false">C237/2</f>
        <v>46.6328125</v>
      </c>
    </row>
    <row r="238" customFormat="false" ht="15" hidden="false" customHeight="false" outlineLevel="0" collapsed="false">
      <c r="A238" s="36" t="n">
        <f aca="false">B238</f>
        <v>3.6875</v>
      </c>
      <c r="B238" s="37" t="n">
        <f aca="false">236/64</f>
        <v>3.6875</v>
      </c>
      <c r="C238" s="38" t="n">
        <f aca="false">B238*25.4</f>
        <v>93.6625</v>
      </c>
      <c r="D238" s="39" t="n">
        <f aca="false">B238/2</f>
        <v>1.84375</v>
      </c>
      <c r="E238" s="38" t="n">
        <f aca="false">C238/2</f>
        <v>46.83125</v>
      </c>
    </row>
    <row r="239" customFormat="false" ht="15" hidden="false" customHeight="false" outlineLevel="0" collapsed="false">
      <c r="A239" s="34" t="n">
        <f aca="false">B239</f>
        <v>3.703125</v>
      </c>
      <c r="B239" s="15" t="n">
        <f aca="false">237/64</f>
        <v>3.703125</v>
      </c>
      <c r="C239" s="14" t="n">
        <f aca="false">B239*25.4</f>
        <v>94.059375</v>
      </c>
      <c r="D239" s="35" t="n">
        <f aca="false">B239/2</f>
        <v>1.8515625</v>
      </c>
      <c r="E239" s="14" t="n">
        <f aca="false">C239/2</f>
        <v>47.0296875</v>
      </c>
    </row>
    <row r="240" customFormat="false" ht="15" hidden="false" customHeight="false" outlineLevel="0" collapsed="false">
      <c r="A240" s="36" t="n">
        <f aca="false">B240</f>
        <v>3.71875</v>
      </c>
      <c r="B240" s="37" t="n">
        <f aca="false">238/64</f>
        <v>3.71875</v>
      </c>
      <c r="C240" s="38" t="n">
        <f aca="false">B240*25.4</f>
        <v>94.45625</v>
      </c>
      <c r="D240" s="39" t="n">
        <f aca="false">B240/2</f>
        <v>1.859375</v>
      </c>
      <c r="E240" s="38" t="n">
        <f aca="false">C240/2</f>
        <v>47.228125</v>
      </c>
    </row>
    <row r="241" customFormat="false" ht="15" hidden="false" customHeight="false" outlineLevel="0" collapsed="false">
      <c r="A241" s="34" t="n">
        <f aca="false">B241</f>
        <v>3.734375</v>
      </c>
      <c r="B241" s="15" t="n">
        <f aca="false">239/64</f>
        <v>3.734375</v>
      </c>
      <c r="C241" s="14" t="n">
        <f aca="false">B241*25.4</f>
        <v>94.853125</v>
      </c>
      <c r="D241" s="35" t="n">
        <f aca="false">B241/2</f>
        <v>1.8671875</v>
      </c>
      <c r="E241" s="14" t="n">
        <f aca="false">C241/2</f>
        <v>47.4265625</v>
      </c>
    </row>
    <row r="242" customFormat="false" ht="15" hidden="false" customHeight="false" outlineLevel="0" collapsed="false">
      <c r="A242" s="36" t="n">
        <f aca="false">B242</f>
        <v>3.75</v>
      </c>
      <c r="B242" s="37" t="n">
        <f aca="false">240/64</f>
        <v>3.75</v>
      </c>
      <c r="C242" s="38" t="n">
        <f aca="false">B242*25.4</f>
        <v>95.25</v>
      </c>
      <c r="D242" s="39" t="n">
        <f aca="false">B242/2</f>
        <v>1.875</v>
      </c>
      <c r="E242" s="38" t="n">
        <f aca="false">C242/2</f>
        <v>47.625</v>
      </c>
    </row>
    <row r="243" customFormat="false" ht="15" hidden="false" customHeight="false" outlineLevel="0" collapsed="false">
      <c r="A243" s="34" t="n">
        <f aca="false">B243</f>
        <v>3.765625</v>
      </c>
      <c r="B243" s="15" t="n">
        <f aca="false">241/64</f>
        <v>3.765625</v>
      </c>
      <c r="C243" s="14" t="n">
        <f aca="false">B243*25.4</f>
        <v>95.646875</v>
      </c>
      <c r="D243" s="35" t="n">
        <f aca="false">B243/2</f>
        <v>1.8828125</v>
      </c>
      <c r="E243" s="14" t="n">
        <f aca="false">C243/2</f>
        <v>47.8234375</v>
      </c>
    </row>
    <row r="244" customFormat="false" ht="15" hidden="false" customHeight="false" outlineLevel="0" collapsed="false">
      <c r="A244" s="36" t="n">
        <f aca="false">B244</f>
        <v>3.78125</v>
      </c>
      <c r="B244" s="37" t="n">
        <f aca="false">242/64</f>
        <v>3.78125</v>
      </c>
      <c r="C244" s="38" t="n">
        <f aca="false">B244*25.4</f>
        <v>96.04375</v>
      </c>
      <c r="D244" s="39" t="n">
        <f aca="false">B244/2</f>
        <v>1.890625</v>
      </c>
      <c r="E244" s="38" t="n">
        <f aca="false">C244/2</f>
        <v>48.021875</v>
      </c>
    </row>
    <row r="245" customFormat="false" ht="15" hidden="false" customHeight="false" outlineLevel="0" collapsed="false">
      <c r="A245" s="34" t="n">
        <f aca="false">B245</f>
        <v>3.796875</v>
      </c>
      <c r="B245" s="15" t="n">
        <f aca="false">243/64</f>
        <v>3.796875</v>
      </c>
      <c r="C245" s="14" t="n">
        <f aca="false">B245*25.4</f>
        <v>96.440625</v>
      </c>
      <c r="D245" s="35" t="n">
        <f aca="false">B245/2</f>
        <v>1.8984375</v>
      </c>
      <c r="E245" s="14" t="n">
        <f aca="false">C245/2</f>
        <v>48.2203125</v>
      </c>
    </row>
    <row r="246" customFormat="false" ht="15" hidden="false" customHeight="false" outlineLevel="0" collapsed="false">
      <c r="A246" s="36" t="n">
        <f aca="false">B246</f>
        <v>3.8125</v>
      </c>
      <c r="B246" s="37" t="n">
        <f aca="false">244/64</f>
        <v>3.8125</v>
      </c>
      <c r="C246" s="38" t="n">
        <f aca="false">B246*25.4</f>
        <v>96.8375</v>
      </c>
      <c r="D246" s="39" t="n">
        <f aca="false">B246/2</f>
        <v>1.90625</v>
      </c>
      <c r="E246" s="38" t="n">
        <f aca="false">C246/2</f>
        <v>48.41875</v>
      </c>
    </row>
    <row r="247" customFormat="false" ht="15" hidden="false" customHeight="false" outlineLevel="0" collapsed="false">
      <c r="A247" s="34" t="n">
        <f aca="false">B247</f>
        <v>3.828125</v>
      </c>
      <c r="B247" s="15" t="n">
        <f aca="false">245/64</f>
        <v>3.828125</v>
      </c>
      <c r="C247" s="14" t="n">
        <f aca="false">B247*25.4</f>
        <v>97.234375</v>
      </c>
      <c r="D247" s="35" t="n">
        <f aca="false">B247/2</f>
        <v>1.9140625</v>
      </c>
      <c r="E247" s="14" t="n">
        <f aca="false">C247/2</f>
        <v>48.6171875</v>
      </c>
    </row>
    <row r="248" customFormat="false" ht="15" hidden="false" customHeight="false" outlineLevel="0" collapsed="false">
      <c r="A248" s="36" t="n">
        <f aca="false">B248</f>
        <v>3.84375</v>
      </c>
      <c r="B248" s="37" t="n">
        <f aca="false">246/64</f>
        <v>3.84375</v>
      </c>
      <c r="C248" s="38" t="n">
        <f aca="false">B248*25.4</f>
        <v>97.63125</v>
      </c>
      <c r="D248" s="39" t="n">
        <f aca="false">B248/2</f>
        <v>1.921875</v>
      </c>
      <c r="E248" s="38" t="n">
        <f aca="false">C248/2</f>
        <v>48.815625</v>
      </c>
    </row>
    <row r="249" customFormat="false" ht="15" hidden="false" customHeight="false" outlineLevel="0" collapsed="false">
      <c r="A249" s="34" t="n">
        <f aca="false">B249</f>
        <v>3.859375</v>
      </c>
      <c r="B249" s="15" t="n">
        <f aca="false">247/64</f>
        <v>3.859375</v>
      </c>
      <c r="C249" s="14" t="n">
        <f aca="false">B249*25.4</f>
        <v>98.028125</v>
      </c>
      <c r="D249" s="35" t="n">
        <f aca="false">B249/2</f>
        <v>1.9296875</v>
      </c>
      <c r="E249" s="14" t="n">
        <f aca="false">C249/2</f>
        <v>49.0140625</v>
      </c>
    </row>
    <row r="250" customFormat="false" ht="15" hidden="false" customHeight="false" outlineLevel="0" collapsed="false">
      <c r="A250" s="36" t="n">
        <f aca="false">B250</f>
        <v>3.875</v>
      </c>
      <c r="B250" s="37" t="n">
        <f aca="false">248/64</f>
        <v>3.875</v>
      </c>
      <c r="C250" s="38" t="n">
        <f aca="false">B250*25.4</f>
        <v>98.425</v>
      </c>
      <c r="D250" s="39" t="n">
        <f aca="false">B250/2</f>
        <v>1.9375</v>
      </c>
      <c r="E250" s="38" t="n">
        <f aca="false">C250/2</f>
        <v>49.2125</v>
      </c>
    </row>
    <row r="251" customFormat="false" ht="15" hidden="false" customHeight="false" outlineLevel="0" collapsed="false">
      <c r="A251" s="34" t="n">
        <f aca="false">B251</f>
        <v>3.890625</v>
      </c>
      <c r="B251" s="15" t="n">
        <f aca="false">249/64</f>
        <v>3.890625</v>
      </c>
      <c r="C251" s="14" t="n">
        <f aca="false">B251*25.4</f>
        <v>98.821875</v>
      </c>
      <c r="D251" s="35" t="n">
        <f aca="false">B251/2</f>
        <v>1.9453125</v>
      </c>
      <c r="E251" s="14" t="n">
        <f aca="false">C251/2</f>
        <v>49.4109375</v>
      </c>
    </row>
    <row r="252" customFormat="false" ht="15" hidden="false" customHeight="false" outlineLevel="0" collapsed="false">
      <c r="A252" s="36" t="n">
        <f aca="false">B252</f>
        <v>3.90625</v>
      </c>
      <c r="B252" s="37" t="n">
        <f aca="false">250/64</f>
        <v>3.90625</v>
      </c>
      <c r="C252" s="38" t="n">
        <f aca="false">B252*25.4</f>
        <v>99.21875</v>
      </c>
      <c r="D252" s="39" t="n">
        <f aca="false">B252/2</f>
        <v>1.953125</v>
      </c>
      <c r="E252" s="38" t="n">
        <f aca="false">C252/2</f>
        <v>49.609375</v>
      </c>
    </row>
    <row r="253" customFormat="false" ht="15" hidden="false" customHeight="false" outlineLevel="0" collapsed="false">
      <c r="A253" s="34" t="n">
        <f aca="false">B253</f>
        <v>3.921875</v>
      </c>
      <c r="B253" s="15" t="n">
        <f aca="false">251/64</f>
        <v>3.921875</v>
      </c>
      <c r="C253" s="14" t="n">
        <f aca="false">B253*25.4</f>
        <v>99.615625</v>
      </c>
      <c r="D253" s="35" t="n">
        <f aca="false">B253/2</f>
        <v>1.9609375</v>
      </c>
      <c r="E253" s="14" t="n">
        <f aca="false">C253/2</f>
        <v>49.8078125</v>
      </c>
    </row>
    <row r="254" customFormat="false" ht="15" hidden="false" customHeight="false" outlineLevel="0" collapsed="false">
      <c r="A254" s="36" t="n">
        <f aca="false">B254</f>
        <v>3.9375</v>
      </c>
      <c r="B254" s="37" t="n">
        <f aca="false">252/64</f>
        <v>3.9375</v>
      </c>
      <c r="C254" s="38" t="n">
        <f aca="false">B254*25.4</f>
        <v>100.0125</v>
      </c>
      <c r="D254" s="39" t="n">
        <f aca="false">B254/2</f>
        <v>1.96875</v>
      </c>
      <c r="E254" s="38" t="n">
        <f aca="false">C254/2</f>
        <v>50.00625</v>
      </c>
    </row>
    <row r="255" customFormat="false" ht="15" hidden="false" customHeight="false" outlineLevel="0" collapsed="false">
      <c r="A255" s="34" t="n">
        <f aca="false">B255</f>
        <v>3.953125</v>
      </c>
      <c r="B255" s="15" t="n">
        <f aca="false">253/64</f>
        <v>3.953125</v>
      </c>
      <c r="C255" s="14" t="n">
        <f aca="false">B255*25.4</f>
        <v>100.409375</v>
      </c>
      <c r="D255" s="35" t="n">
        <f aca="false">B255/2</f>
        <v>1.9765625</v>
      </c>
      <c r="E255" s="14" t="n">
        <f aca="false">C255/2</f>
        <v>50.2046875</v>
      </c>
    </row>
    <row r="256" customFormat="false" ht="15" hidden="false" customHeight="false" outlineLevel="0" collapsed="false">
      <c r="A256" s="36" t="n">
        <f aca="false">B256</f>
        <v>3.96875</v>
      </c>
      <c r="B256" s="37" t="n">
        <f aca="false">254/64</f>
        <v>3.96875</v>
      </c>
      <c r="C256" s="38" t="n">
        <f aca="false">B256*25.4</f>
        <v>100.80625</v>
      </c>
      <c r="D256" s="39" t="n">
        <f aca="false">B256/2</f>
        <v>1.984375</v>
      </c>
      <c r="E256" s="38" t="n">
        <f aca="false">C256/2</f>
        <v>50.403125</v>
      </c>
    </row>
    <row r="257" customFormat="false" ht="15" hidden="false" customHeight="false" outlineLevel="0" collapsed="false">
      <c r="A257" s="34" t="n">
        <f aca="false">B257</f>
        <v>3.984375</v>
      </c>
      <c r="B257" s="15" t="n">
        <f aca="false">255/64</f>
        <v>3.984375</v>
      </c>
      <c r="C257" s="14" t="n">
        <f aca="false">B257*25.4</f>
        <v>101.203125</v>
      </c>
      <c r="D257" s="35" t="n">
        <f aca="false">B257/2</f>
        <v>1.9921875</v>
      </c>
      <c r="E257" s="14" t="n">
        <f aca="false">C257/2</f>
        <v>50.6015625</v>
      </c>
    </row>
    <row r="258" customFormat="false" ht="15" hidden="false" customHeight="false" outlineLevel="0" collapsed="false">
      <c r="A258" s="36" t="n">
        <f aca="false">B258</f>
        <v>4</v>
      </c>
      <c r="B258" s="37" t="n">
        <f aca="false">256/64</f>
        <v>4</v>
      </c>
      <c r="C258" s="38" t="n">
        <f aca="false">B258*25.4</f>
        <v>101.6</v>
      </c>
      <c r="D258" s="39" t="n">
        <f aca="false">B258/2</f>
        <v>2</v>
      </c>
      <c r="E258" s="38" t="n">
        <f aca="false">C258/2</f>
        <v>50.8</v>
      </c>
    </row>
  </sheetData>
  <conditionalFormatting sqref="A3:E258">
    <cfRule type="expression" priority="2" aboveAverage="0" equalAverage="0" bottom="0" percent="0" rank="0" text="" dxfId="0">
      <formula>AND(Convertisseur!$K$10=64,ABS($B3-Convertisseur!$C$21)&lt;0.000001)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2026-10-24T13:23:29Z</dcterms:created>
  <dc:creator>openpyxl</dc:creator>
  <dc:description/>
  <dc:language>en-US</dc:language>
  <cp:lastModifiedBy/>
  <dcterms:modified xsi:type="dcterms:W3CDTF">2026-10-24T13:23:29Z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