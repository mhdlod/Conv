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56.jpeg" ContentType="image/jpeg"/>
  <Override PartName="/xl/media/image55.jpeg" ContentType="image/jpeg"/>
  <Override PartName="/xl/media/image54.jpeg" ContentType="image/jpeg"/>
  <Override PartName="/xl/media/image53.jpeg" ContentType="image/jpeg"/>
  <Override PartName="/xl/media/image52.jpeg" ContentType="image/jpeg"/>
  <Override PartName="/xl/media/image51.jpeg" ContentType="image/jpeg"/>
  <Override PartName="/xl/media/image50.jpeg" ContentType="image/jpeg"/>
  <Override PartName="/xl/media/image46.jpeg" ContentType="image/jpeg"/>
  <Override PartName="/xl/media/image45.jpeg" ContentType="image/jpeg"/>
  <Override PartName="/xl/media/image44.jpeg" ContentType="image/jpeg"/>
  <Override PartName="/xl/media/image43.jpeg" ContentType="image/jpeg"/>
  <Override PartName="/xl/media/image42.jpeg" ContentType="image/jpeg"/>
  <Override PartName="/xl/media/image41.jpeg" ContentType="image/jpeg"/>
  <Override PartName="/xl/media/image40.jpeg" ContentType="image/jpeg"/>
  <Override PartName="/xl/media/image39.jpeg" ContentType="image/jpeg"/>
  <Override PartName="/xl/media/image38.jpeg" ContentType="image/jpeg"/>
  <Override PartName="/xl/media/image37.jpeg" ContentType="image/jpeg"/>
  <Override PartName="/xl/media/image36.jpeg" ContentType="image/jpeg"/>
  <Override PartName="/xl/media/image35.jpeg" ContentType="image/jpeg"/>
  <Override PartName="/xl/media/image34.jpeg" ContentType="image/jpeg"/>
  <Override PartName="/xl/media/image33.jpeg" ContentType="image/jpeg"/>
  <Override PartName="/xl/media/image32.jpeg" ContentType="image/jpeg"/>
  <Override PartName="/xl/media/image31.jpeg" ContentType="image/jpeg"/>
  <Override PartName="/xl/media/image30.jpeg" ContentType="image/jpeg"/>
  <Override PartName="/xl/media/image9.jpeg" ContentType="image/jpeg"/>
  <Override PartName="/xl/media/image49.jpeg" ContentType="image/jpeg"/>
  <Override PartName="/xl/media/image12.jpeg" ContentType="image/jpeg"/>
  <Override PartName="/xl/media/image13.jpeg" ContentType="image/jpeg"/>
  <Override PartName="/xl/media/image8.jpeg" ContentType="image/jpeg"/>
  <Override PartName="/xl/media/image48.jpeg" ContentType="image/jpeg"/>
  <Override PartName="/xl/media/image11.jpeg" ContentType="image/jpeg"/>
  <Override PartName="/xl/media/image47.jpeg" ContentType="image/jpeg"/>
  <Override PartName="/xl/media/image10.jpeg" ContentType="image/jpeg"/>
  <Override PartName="/xl/media/image14.jpeg" ContentType="image/jpeg"/>
  <Override PartName="/xl/media/image7.jpeg" ContentType="image/jpeg"/>
  <Override PartName="/xl/media/image71.jpeg" ContentType="image/jpeg"/>
  <Override PartName="/xl/media/image60.jpeg" ContentType="image/jpeg"/>
  <Override PartName="/xl/media/image61.jpeg" ContentType="image/jpeg"/>
  <Override PartName="/xl/media/image62.jpeg" ContentType="image/jpeg"/>
  <Override PartName="/xl/media/image63.jpeg" ContentType="image/jpeg"/>
  <Override PartName="/xl/media/image64.jpeg" ContentType="image/jpeg"/>
  <Override PartName="/xl/media/image65.jpeg" ContentType="image/jpeg"/>
  <Override PartName="/xl/media/image66.jpeg" ContentType="image/jpeg"/>
  <Override PartName="/xl/media/image67.jpeg" ContentType="image/jpeg"/>
  <Override PartName="/xl/media/image68.jpeg" ContentType="image/jpeg"/>
  <Override PartName="/xl/media/image70.jpeg" ContentType="image/jpeg"/>
  <Override PartName="/xl/media/image6.jpeg" ContentType="image/jpeg"/>
  <Override PartName="/xl/media/image69.jpeg" ContentType="image/jpeg"/>
  <Override PartName="/xl/media/image89.jpeg" ContentType="image/jpeg"/>
  <Override PartName="/xl/media/image77.jpeg" ContentType="image/jpeg"/>
  <Override PartName="/xl/media/image88.jpeg" ContentType="image/jpeg"/>
  <Override PartName="/xl/media/image76.jpeg" ContentType="image/jpeg"/>
  <Override PartName="/xl/media/image87.jpeg" ContentType="image/jpeg"/>
  <Override PartName="/xl/media/image75.jpeg" ContentType="image/jpeg"/>
  <Override PartName="/xl/media/image86.jpeg" ContentType="image/jpeg"/>
  <Override PartName="/xl/media/image74.jpeg" ContentType="image/jpeg"/>
  <Override PartName="/xl/media/image85.jpeg" ContentType="image/jpeg"/>
  <Override PartName="/xl/media/image73.jpeg" ContentType="image/jpeg"/>
  <Override PartName="/xl/media/image79.jpeg" ContentType="image/jpeg"/>
  <Override PartName="/xl/media/image5.jpeg" ContentType="image/jpeg"/>
  <Override PartName="/xl/media/image78.jpeg" ContentType="image/jpeg"/>
  <Override PartName="/xl/media/image72.jpeg" ContentType="image/jpeg"/>
  <Override PartName="/xl/media/image91.jpeg" ContentType="image/jpeg"/>
  <Override PartName="/xl/media/image26.jpeg" ContentType="image/jpeg"/>
  <Override PartName="/xl/media/image4.jpeg" ContentType="image/jpeg"/>
  <Override PartName="/xl/media/image90.jpeg" ContentType="image/jpeg"/>
  <Override PartName="/xl/media/image25.jpeg" ContentType="image/jpeg"/>
  <Override PartName="/xl/media/image29.jpeg" ContentType="image/jpeg"/>
  <Override PartName="/xl/media/image3.jpeg" ContentType="image/jpeg"/>
  <Override PartName="/xl/media/image94.jpeg" ContentType="image/jpeg"/>
  <Override PartName="/xl/media/image24.jpeg" ContentType="image/jpeg"/>
  <Override PartName="/xl/media/image28.jpeg" ContentType="image/jpeg"/>
  <Override PartName="/xl/media/image2.jpeg" ContentType="image/jpeg"/>
  <Override PartName="/xl/media/image93.jpeg" ContentType="image/jpeg"/>
  <Override PartName="/xl/media/image23.jpeg" ContentType="image/jpeg"/>
  <Override PartName="/xl/media/image27.jpeg" ContentType="image/jpeg"/>
  <Override PartName="/xl/media/image1.jpeg" ContentType="image/jpeg"/>
  <Override PartName="/xl/media/image92.jpeg" ContentType="image/jpeg"/>
  <Override PartName="/xl/media/image22.jpeg" ContentType="image/jpeg"/>
  <Override PartName="/xl/media/image59.jpeg" ContentType="image/jpeg"/>
  <Override PartName="/xl/media/image21.jpeg" ContentType="image/jpeg"/>
  <Override PartName="/xl/media/image58.jpeg" ContentType="image/jpeg"/>
  <Override PartName="/xl/media/image19.jpeg" ContentType="image/jpeg"/>
  <Override PartName="/xl/media/image84.jpeg" ContentType="image/jpeg"/>
  <Override PartName="/xl/media/image20.jpeg" ContentType="image/jpeg"/>
  <Override PartName="/xl/media/image57.jpeg" ContentType="image/jpeg"/>
  <Override PartName="/xl/media/image18.jpeg" ContentType="image/jpeg"/>
  <Override PartName="/xl/media/image83.jpeg" ContentType="image/jpeg"/>
  <Override PartName="/xl/media/image82.jpeg" ContentType="image/jpeg"/>
  <Override PartName="/xl/media/image17.jpeg" ContentType="image/jpeg"/>
  <Override PartName="/xl/media/image81.jpeg" ContentType="image/jpeg"/>
  <Override PartName="/xl/media/image16.jpeg" ContentType="image/jpeg"/>
  <Override PartName="/xl/media/image15.jpeg" ContentType="image/jpeg"/>
  <Override PartName="/xl/media/image80.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vertisseur" sheetId="1" state="visible" r:id="rId3"/>
    <sheet name="Avances" sheetId="2" state="visible" r:id="rId4"/>
    <sheet name="Recherche outils" sheetId="3" state="visible" r:id="rId5"/>
    <sheet name="Liste outils" sheetId="4" state="visible" r:id="rId6"/>
    <sheet name="Table 1-8" sheetId="5" state="visible" r:id="rId7"/>
    <sheet name="Table 1-16" sheetId="6" state="visible" r:id="rId8"/>
    <sheet name="Table 1-32" sheetId="7" state="visible" r:id="rId9"/>
    <sheet name="Table 1-64" sheetId="8" state="visible" r:id="rId10"/>
    <sheet name="Calcul" sheetId="9" state="visible" r:id="rId11"/>
  </sheets>
  <definedNames>
    <definedName function="false" hidden="true" localSheetId="3" name="_xlnm._FilterDatabase" vbProcedure="false">'Liste outils'!$A$5:$AD$130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<sst xmlns="http://schemas.openxmlformats.org/spreadsheetml/2006/main" count="1748" uniqueCount="750">
  <si>
    <t xml:space="preserve">Convertisseur de cotes</t>
  </si>
  <si>
    <t xml:space="preserve">Remplis les cellules jaunes. Valeur correcte + 2 crans en dessous, avec le rayon et les outils de ta liste.</t>
  </si>
  <si>
    <t xml:space="preserve">Cote à convertir</t>
  </si>
  <si>
    <t xml:space="preserve">5/16</t>
  </si>
  <si>
    <t xml:space="preserve">← ex. 5/16, 1 3/8, 0.3125, 7.94</t>
  </si>
  <si>
    <t xml:space="preserve">Unité de la cote</t>
  </si>
  <si>
    <t xml:space="preserve">Fraction</t>
  </si>
  <si>
    <t xml:space="preserve">← Fraction, Décimal (pouces) ou mm</t>
  </si>
  <si>
    <t xml:space="preserve">Table (pas des outils)</t>
  </si>
  <si>
    <t xml:space="preserve">1/16</t>
  </si>
  <si>
    <t xml:space="preserve">← 1/16 = table du travail</t>
  </si>
  <si>
    <t xml:space="preserve">Cote</t>
  </si>
  <si>
    <t xml:space="preserve">Cote po</t>
  </si>
  <si>
    <t xml:space="preserve">Cote mm</t>
  </si>
  <si>
    <t xml:space="preserve">Rayon po</t>
  </si>
  <si>
    <t xml:space="preserve">Rayon mm</t>
  </si>
  <si>
    <t xml:space="preserve">Vérification</t>
  </si>
  <si>
    <t xml:space="preserve">Choix</t>
  </si>
  <si>
    <t xml:space="preserve">Décimal (po)</t>
  </si>
  <si>
    <t xml:space="preserve">mm</t>
  </si>
  <si>
    <t xml:space="preserve">Rayon (po)</t>
  </si>
  <si>
    <t xml:space="preserve">Rayon (mm)</t>
  </si>
  <si>
    <t xml:space="preserve">Écart vs cote (po)</t>
  </si>
  <si>
    <t xml:space="preserve">Valeur correcte</t>
  </si>
  <si>
    <t xml:space="preserve">1 cran en dessous</t>
  </si>
  <si>
    <t xml:space="preserve">2 crans en dessous</t>
  </si>
  <si>
    <t xml:space="preserve">N°</t>
  </si>
  <si>
    <t xml:space="preserve">Type</t>
  </si>
  <si>
    <t xml:space="preserve">Direction</t>
  </si>
  <si>
    <t xml:space="preserve">LOC</t>
  </si>
  <si>
    <t xml:space="preserve">Emplacement</t>
  </si>
  <si>
    <t xml:space="preserve">N° fabricant</t>
  </si>
  <si>
    <t xml:space="preserve">Note</t>
  </si>
  <si>
    <t xml:space="preserve">Vitesses et avances</t>
  </si>
  <si>
    <t xml:space="preserve">Choisis dans les cellules jaunes. Les 5 meilleurs outils de ta liste s'affichent en dessous.</t>
  </si>
  <si>
    <t xml:space="preserve">1. Matériau</t>
  </si>
  <si>
    <t xml:space="preserve">Polycarbonate</t>
  </si>
  <si>
    <t xml:space="preserve">2. Type de travail</t>
  </si>
  <si>
    <t xml:space="preserve">Détourage / profil</t>
  </si>
  <si>
    <t xml:space="preserve">Direction préférée</t>
  </si>
  <si>
    <t xml:space="preserve">Upcut</t>
  </si>
  <si>
    <t xml:space="preserve">← pour détourage et trous seulement</t>
  </si>
  <si>
    <t xml:space="preserve">3. Épaisseur à couper</t>
  </si>
  <si>
    <t xml:space="preserve">1/2</t>
  </si>
  <si>
    <t xml:space="preserve">← ex. 1/2, 0.75, 12</t>
  </si>
  <si>
    <t xml:space="preserve">Unité de l'épaisseur</t>
  </si>
  <si>
    <t xml:space="preserve">Les 5 meilleurs outils de ta liste</t>
  </si>
  <si>
    <t xml:space="preserve">Rang</t>
  </si>
  <si>
    <t xml:space="preserve">Statut</t>
  </si>
  <si>
    <t xml:space="preserve">Outil</t>
  </si>
  <si>
    <t xml:space="preserve">Ø</t>
  </si>
  <si>
    <t xml:space="preserve">LOC − épaisseur</t>
  </si>
  <si>
    <t xml:space="preserve">Passes</t>
  </si>
  <si>
    <t xml:space="preserve">Profondeur / passe</t>
  </si>
  <si>
    <t xml:space="preserve">RPM atelier</t>
  </si>
  <si>
    <t xml:space="preserve">Avance atelier (po/min)</t>
  </si>
  <si>
    <t xml:space="preserve">Avance atelier (mm/min)</t>
  </si>
  <si>
    <t xml:space="preserve">Chipload (po)</t>
  </si>
  <si>
    <t xml:space="preserve">Chipload (mm)</t>
  </si>
  <si>
    <t xml:space="preserve">RPM Onsrud</t>
  </si>
  <si>
    <t xml:space="preserve">Avance Onsrud (po/min)</t>
  </si>
  <si>
    <t xml:space="preserve">Avance Onsrud (mm/min)</t>
  </si>
  <si>
    <t xml:space="preserve">Série Onsrud</t>
  </si>
  <si>
    <t xml:space="preserve">Reco Onsrud</t>
  </si>
  <si>
    <t xml:space="preserve">Habitude atelier</t>
  </si>
  <si>
    <t xml:space="preserve">1er choix · idéal</t>
  </si>
  <si>
    <t xml:space="preserve">2e choix</t>
  </si>
  <si>
    <t xml:space="preserve">3e choix</t>
  </si>
  <si>
    <t xml:space="preserve">4e choix</t>
  </si>
  <si>
    <t xml:space="preserve">5e choix</t>
  </si>
  <si>
    <t xml:space="preserve">Conseils pour ce matériau</t>
  </si>
  <si>
    <t xml:space="preserve">23 000 RPM dans le plastique : avec un outil à plus d'une flûte, risque de fonte. Surveille les copeaux ; si ça fond, augmente l'avance ou prends un outil à une flûte.</t>
  </si>
  <si>
    <t xml:space="preserve">Petit outil (moins de 3/8") : laisse 0.015" à 0.030" (0.4 à 0.8 mm) pour une passe de finition sur toute l'épaisseur.</t>
  </si>
  <si>
    <t xml:space="preserve">Règles utilisées</t>
  </si>
  <si>
    <t xml:space="preserve">• Chipload : milieu de la plage LMT Onsrud (tableaux Hard Plastic / Soft Plastic), réduit à 75 % au-delà de 1×D et 50 % au-delà de 2×D.</t>
  </si>
  <si>
    <t xml:space="preserve">• RPM atelier : 23 000 en détourage ; 17 000 pour trous / poches (polycarbonate, HDPE, UHMW) ; fraises 1/2" : 20 000 en détourage, 18 000 pour trous.</t>
  </si>
  <si>
    <t xml:space="preserve">• RPM Onsrud : 18 000 (référence des tableaux) ; séries 37-50 / 37-60 : 12 500. Avance = RPM × flûtes × chipload.</t>
  </si>
  <si>
    <t xml:space="preserve">• Passes : jamais plus profond que le diamètre de l'outil par passe (règle de l'atelier). La LOC doit couvrir toute l'épaisseur.</t>
  </si>
  <si>
    <t xml:space="preserve">• Classement : direction choisie, série Onsrud reconnue, outil prévu pour ce matériau dans ta liste, moins de passes, recommandation Onsrud, avance. Un outil par diamètre (LOC la plus proche de l'épaisseur), puis on complète.</t>
  </si>
  <si>
    <t xml:space="preserve">• « Estimation, à vérifier » : pas de série Onsrud reconnue pour cet outil ; chipload estimé à partir de la valeur moyenne du matériau.</t>
  </si>
  <si>
    <t xml:space="preserve">Recherche d'outils</t>
  </si>
  <si>
    <t xml:space="preserve">Tous les champs sont facultatifs. Résultats triés par diamètre (puis par LOC).</t>
  </si>
  <si>
    <t xml:space="preserve">Mot-clé</t>
  </si>
  <si>
    <t xml:space="preserve">← n° d'outil, n° fabricant, emplacement, note…</t>
  </si>
  <si>
    <t xml:space="preserve">Tous</t>
  </si>
  <si>
    <t xml:space="preserve">Diamètre</t>
  </si>
  <si>
    <t xml:space="preserve">← ex. 1/4, 0.25 ou 6.35</t>
  </si>
  <si>
    <t xml:space="preserve">Unité du diamètre</t>
  </si>
  <si>
    <t xml:space="preserve">Épaisseur à couper</t>
  </si>
  <si>
    <t xml:space="preserve">← garde les outils dont la LOC couvre l'épaisseur</t>
  </si>
  <si>
    <t xml:space="preserve">Flûtes</t>
  </si>
  <si>
    <t xml:space="preserve">Fabricant</t>
  </si>
  <si>
    <t xml:space="preserve">Application</t>
  </si>
  <si>
    <t xml:space="preserve">Liste d'outils CNC — base de données (fichier CNC_TOOLING_LIST)</t>
  </si>
  <si>
    <t xml:space="preserve">Source : onglet Master Data de ton Excel. Les colonnes Ø et LOC en fraction sont calculées. Filtre avec les flèches de l'en-tête.</t>
  </si>
  <si>
    <t xml:space="preserve">Photo</t>
  </si>
  <si>
    <t xml:space="preserve">N° interne</t>
  </si>
  <si>
    <t xml:space="preserve">Ø fraction</t>
  </si>
  <si>
    <t xml:space="preserve">Ø (po)</t>
  </si>
  <si>
    <t xml:space="preserve">Ø (mm)</t>
  </si>
  <si>
    <t xml:space="preserve">LOC fraction</t>
  </si>
  <si>
    <t xml:space="preserve">LOC (po)</t>
  </si>
  <si>
    <t xml:space="preserve">LOC (mm)</t>
  </si>
  <si>
    <t xml:space="preserve">Direction de coupe</t>
  </si>
  <si>
    <t xml:space="preserve">Nb de flûtes</t>
  </si>
  <si>
    <t xml:space="preserve">Queue (po)</t>
  </si>
  <si>
    <t xml:space="preserve">Angle de coupe (°)</t>
  </si>
  <si>
    <t xml:space="preserve">N° pièce fabricant</t>
  </si>
  <si>
    <t xml:space="preserve">Fournisseur</t>
  </si>
  <si>
    <t xml:space="preserve">Nuance</t>
  </si>
  <si>
    <t xml:space="preserve">Brise-copeaux</t>
  </si>
  <si>
    <t xml:space="preserve">Compatibilité plaquette</t>
  </si>
  <si>
    <t xml:space="preserve">Vis #1</t>
  </si>
  <si>
    <t xml:space="preserve">Vis #2</t>
  </si>
  <si>
    <t xml:space="preserve">Cale</t>
  </si>
  <si>
    <t xml:space="preserve">Bride</t>
  </si>
  <si>
    <t xml:space="preserve">Mors doux : dents</t>
  </si>
  <si>
    <t xml:space="preserve">Mors doux : mesure (po)</t>
  </si>
  <si>
    <t xml:space="preserve">Lien fabricant</t>
  </si>
  <si>
    <t xml:space="preserve">Internal Part Number</t>
  </si>
  <si>
    <t xml:space="preserve">Tooling Type</t>
  </si>
  <si>
    <t xml:space="preserve">Diameter (in)</t>
  </si>
  <si>
    <t xml:space="preserve">Length of Cut</t>
  </si>
  <si>
    <t xml:space="preserve">Cut Direction</t>
  </si>
  <si>
    <t xml:space="preserve">Number of Flutes</t>
  </si>
  <si>
    <t xml:space="preserve">Shank</t>
  </si>
  <si>
    <t xml:space="preserve">Radius</t>
  </si>
  <si>
    <t xml:space="preserve">Cut Angle</t>
  </si>
  <si>
    <t xml:space="preserve">Manufacturer Part Number</t>
  </si>
  <si>
    <t xml:space="preserve">Manufacturer</t>
  </si>
  <si>
    <t xml:space="preserve">Supplier</t>
  </si>
  <si>
    <t xml:space="preserve">Grade</t>
  </si>
  <si>
    <t xml:space="preserve">Chip Breaker</t>
  </si>
  <si>
    <t xml:space="preserve">Insert Compatibility</t>
  </si>
  <si>
    <t xml:space="preserve">Screw #1</t>
  </si>
  <si>
    <t xml:space="preserve">Screw #2</t>
  </si>
  <si>
    <t xml:space="preserve">Shim</t>
  </si>
  <si>
    <t xml:space="preserve">Clamp</t>
  </si>
  <si>
    <t xml:space="preserve">SJ Teeth (#)</t>
  </si>
  <si>
    <t xml:space="preserve">SJ Measurement (in)</t>
  </si>
  <si>
    <t xml:space="preserve">Location</t>
  </si>
  <si>
    <t xml:space="preserve">Link</t>
  </si>
  <si>
    <t xml:space="preserve">I0001</t>
  </si>
  <si>
    <t xml:space="preserve">Insert</t>
  </si>
  <si>
    <t xml:space="preserve">229.0300.10 K10</t>
  </si>
  <si>
    <t xml:space="preserve">PH HORN</t>
  </si>
  <si>
    <t xml:space="preserve">Drillmex</t>
  </si>
  <si>
    <t xml:space="preserve">K10</t>
  </si>
  <si>
    <t xml:space="preserve">229/259</t>
  </si>
  <si>
    <t xml:space="preserve">Multi-materials</t>
  </si>
  <si>
    <t xml:space="preserve">A-2-D-3</t>
  </si>
  <si>
    <t xml:space="preserve">Tip width is 0.1181</t>
  </si>
  <si>
    <t xml:space="preserve">Ouvrir ↗</t>
  </si>
  <si>
    <t xml:space="preserve">I0002</t>
  </si>
  <si>
    <t xml:space="preserve">Double Ended</t>
  </si>
  <si>
    <t xml:space="preserve">GIP2.39-0.15</t>
  </si>
  <si>
    <t xml:space="preserve">ISCAR</t>
  </si>
  <si>
    <t xml:space="preserve">Pilot PB</t>
  </si>
  <si>
    <t xml:space="preserve">IC20</t>
  </si>
  <si>
    <t xml:space="preserve">P-type</t>
  </si>
  <si>
    <t xml:space="preserve">GIP</t>
  </si>
  <si>
    <t xml:space="preserve">A-2-C-3</t>
  </si>
  <si>
    <t xml:space="preserve">I0003</t>
  </si>
  <si>
    <t xml:space="preserve">NF-DCMT32.51LD</t>
  </si>
  <si>
    <t xml:space="preserve">SUMITOMO</t>
  </si>
  <si>
    <t xml:space="preserve">OIQ</t>
  </si>
  <si>
    <t xml:space="preserve">DA1000</t>
  </si>
  <si>
    <t xml:space="preserve">I0004</t>
  </si>
  <si>
    <t xml:space="preserve">Left</t>
  </si>
  <si>
    <t xml:space="preserve">TEGX321L HTi10</t>
  </si>
  <si>
    <t xml:space="preserve">MITSUBISHI</t>
  </si>
  <si>
    <t xml:space="preserve">HTi10</t>
  </si>
  <si>
    <t xml:space="preserve">TEGX160304L</t>
  </si>
  <si>
    <t xml:space="preserve">Non-Ferrous Metal, Cast Iron</t>
  </si>
  <si>
    <t xml:space="preserve">A-2-M-2</t>
  </si>
  <si>
    <t xml:space="preserve">I0005</t>
  </si>
  <si>
    <t xml:space="preserve">Neutral</t>
  </si>
  <si>
    <t xml:space="preserve">DCGT32.51NAG-H1</t>
  </si>
  <si>
    <t xml:space="preserve">H1</t>
  </si>
  <si>
    <t xml:space="preserve">NAG</t>
  </si>
  <si>
    <t xml:space="preserve">DCGT32.51</t>
  </si>
  <si>
    <t xml:space="preserve">Non-Ferrous Metal</t>
  </si>
  <si>
    <t xml:space="preserve">A-2-A-1</t>
  </si>
  <si>
    <t xml:space="preserve">Carbide turning insert, 55° diamond (D), DCGT, ISO DCGT11T304, positive rake, non-ferrous aluminum grade</t>
  </si>
  <si>
    <t xml:space="preserve">I0006</t>
  </si>
  <si>
    <t xml:space="preserve">NF-DCMT32.51GD DA1000</t>
  </si>
  <si>
    <t xml:space="preserve">GD</t>
  </si>
  <si>
    <t xml:space="preserve">DCMT11T304</t>
  </si>
  <si>
    <t xml:space="preserve">A-2-D-1</t>
  </si>
  <si>
    <t xml:space="preserve">I0007</t>
  </si>
  <si>
    <t xml:space="preserve">462.1-0400-020A1-XM</t>
  </si>
  <si>
    <t xml:space="preserve">SANDVIK</t>
  </si>
  <si>
    <t xml:space="preserve">GC34</t>
  </si>
  <si>
    <t xml:space="preserve">4mm</t>
  </si>
  <si>
    <t xml:space="preserve">I0008</t>
  </si>
  <si>
    <t xml:space="preserve">DCGX 2(1.5)1-AL H10</t>
  </si>
  <si>
    <t xml:space="preserve">H10</t>
  </si>
  <si>
    <t xml:space="preserve">AL</t>
  </si>
  <si>
    <t xml:space="preserve">A-2-B-1</t>
  </si>
  <si>
    <t xml:space="preserve">I0009</t>
  </si>
  <si>
    <t xml:space="preserve">Right</t>
  </si>
  <si>
    <t xml:space="preserve">DEGX431R HTi10</t>
  </si>
  <si>
    <t xml:space="preserve">Standard</t>
  </si>
  <si>
    <t xml:space="preserve">DEGX150404R</t>
  </si>
  <si>
    <t xml:space="preserve">A-2-I-2</t>
  </si>
  <si>
    <t xml:space="preserve">I0010</t>
  </si>
  <si>
    <t xml:space="preserve">R105.4719.3.4 TI25</t>
  </si>
  <si>
    <t xml:space="preserve">TI25</t>
  </si>
  <si>
    <t xml:space="preserve">Boring Head Ø4 mm R0.15</t>
  </si>
  <si>
    <t xml:space="preserve">A-2-D-4</t>
  </si>
  <si>
    <t xml:space="preserve">I0011</t>
  </si>
  <si>
    <t xml:space="preserve">S224.0200.WA2 K10</t>
  </si>
  <si>
    <t xml:space="preserve">WA2</t>
  </si>
  <si>
    <t xml:space="preserve">S224</t>
  </si>
  <si>
    <t xml:space="preserve">A-2-D-2</t>
  </si>
  <si>
    <t xml:space="preserve">I0012</t>
  </si>
  <si>
    <t xml:space="preserve">CXS-05T098A20-5220R 1025</t>
  </si>
  <si>
    <t xml:space="preserve">A</t>
  </si>
  <si>
    <t xml:space="preserve">CoroTurn XS</t>
  </si>
  <si>
    <t xml:space="preserve">A-2-C-2</t>
  </si>
  <si>
    <t xml:space="preserve">I0013</t>
  </si>
  <si>
    <t xml:space="preserve">TCMT 06 T1 08-KF H13A</t>
  </si>
  <si>
    <t xml:space="preserve">H13A</t>
  </si>
  <si>
    <t xml:space="preserve">KF</t>
  </si>
  <si>
    <t xml:space="preserve">Steel, Stainless Steel, Non-Ferrous Metal</t>
  </si>
  <si>
    <t xml:space="preserve">A-2-B-2</t>
  </si>
  <si>
    <t xml:space="preserve">I0014</t>
  </si>
  <si>
    <t xml:space="preserve">CCMT 2(1.5)1-UM 1115</t>
  </si>
  <si>
    <t xml:space="preserve">I0015</t>
  </si>
  <si>
    <t xml:space="preserve">NFDCMX32.50.5 DA1000</t>
  </si>
  <si>
    <t xml:space="preserve">X</t>
  </si>
  <si>
    <t xml:space="preserve">DCMX11T302</t>
  </si>
  <si>
    <t xml:space="preserve">A-2-C-1</t>
  </si>
  <si>
    <t xml:space="preserve">I0016</t>
  </si>
  <si>
    <t xml:space="preserve">CCMT 2(1.5)1-UM 4425</t>
  </si>
  <si>
    <t xml:space="preserve">UM</t>
  </si>
  <si>
    <t xml:space="preserve">Steel, Stainless Steel</t>
  </si>
  <si>
    <t xml:space="preserve">A-2-A-2</t>
  </si>
  <si>
    <t xml:space="preserve">I0017</t>
  </si>
  <si>
    <t xml:space="preserve">BGHX15L5PCFRGG1W</t>
  </si>
  <si>
    <t xml:space="preserve">KENNAMETAL</t>
  </si>
  <si>
    <t xml:space="preserve">K110M</t>
  </si>
  <si>
    <t xml:space="preserve">GG1W</t>
  </si>
  <si>
    <t xml:space="preserve">BGHX15</t>
  </si>
  <si>
    <t xml:space="preserve">A-2-E-4</t>
  </si>
  <si>
    <t xml:space="preserve">Used in the Face Mill 2.5" Cutter</t>
  </si>
  <si>
    <t xml:space="preserve">I0018</t>
  </si>
  <si>
    <t xml:space="preserve">EDCT180504PDFRLDJ</t>
  </si>
  <si>
    <t xml:space="preserve">KC410M</t>
  </si>
  <si>
    <t xml:space="preserve">LDJ</t>
  </si>
  <si>
    <t xml:space="preserve">EDCT08 Cutter Bodies</t>
  </si>
  <si>
    <t xml:space="preserve">A-2-G-3</t>
  </si>
  <si>
    <t xml:space="preserve">Used in the 4" Deep Cutter for Router</t>
  </si>
  <si>
    <t xml:space="preserve">I0019</t>
  </si>
  <si>
    <t xml:space="preserve">I0020</t>
  </si>
  <si>
    <t xml:space="preserve">(140 DEG)</t>
  </si>
  <si>
    <t xml:space="preserve">KTFST22225GTPM</t>
  </si>
  <si>
    <t xml:space="preserve">KC7325</t>
  </si>
  <si>
    <t xml:space="preserve">A-2-J-2</t>
  </si>
  <si>
    <t xml:space="preserve">Drill tip 0.875 Through Coolant</t>
  </si>
  <si>
    <t xml:space="preserve">I0021</t>
  </si>
  <si>
    <t xml:space="preserve">DFPR050203MSI</t>
  </si>
  <si>
    <t xml:space="preserve">KC7140</t>
  </si>
  <si>
    <t xml:space="preserve">Drill Fix Pro</t>
  </si>
  <si>
    <t xml:space="preserve">A-2-M-4</t>
  </si>
  <si>
    <t xml:space="preserve">INNER INSERT</t>
  </si>
  <si>
    <t xml:space="preserve">I0022</t>
  </si>
  <si>
    <t xml:space="preserve">DFPR050204MSO</t>
  </si>
  <si>
    <t xml:space="preserve">A-2-N-3</t>
  </si>
  <si>
    <t xml:space="preserve">OUTTER INSERT</t>
  </si>
  <si>
    <t xml:space="preserve">I0023</t>
  </si>
  <si>
    <t xml:space="preserve">CPMT060204FP</t>
  </si>
  <si>
    <t xml:space="preserve">Kennametal</t>
  </si>
  <si>
    <t xml:space="preserve">KTP10</t>
  </si>
  <si>
    <t xml:space="preserve">FP</t>
  </si>
  <si>
    <t xml:space="preserve">Steel, Stainless steel</t>
  </si>
  <si>
    <t xml:space="preserve">A-2-C-4</t>
  </si>
  <si>
    <t xml:space="preserve">CPMT2151FP</t>
  </si>
  <si>
    <t xml:space="preserve">I0024</t>
  </si>
  <si>
    <t xml:space="preserve">CCMT060204FP</t>
  </si>
  <si>
    <t xml:space="preserve">KCU25B</t>
  </si>
  <si>
    <t xml:space="preserve">Steel, Stainless Steel, High-Temp Alloys</t>
  </si>
  <si>
    <t xml:space="preserve">A-2-F-4</t>
  </si>
  <si>
    <t xml:space="preserve">Material Number 7167775, ANSI CCMT2151FP</t>
  </si>
  <si>
    <t xml:space="preserve">EM0001</t>
  </si>
  <si>
    <t xml:space="preserve">End Mill</t>
  </si>
  <si>
    <t xml:space="preserve">DMASOL-230926</t>
  </si>
  <si>
    <t xml:space="preserve">CASTELAR</t>
  </si>
  <si>
    <t xml:space="preserve">Castelar</t>
  </si>
  <si>
    <t xml:space="preserve">N/A</t>
  </si>
  <si>
    <t xml:space="preserve">A-2-A-3</t>
  </si>
  <si>
    <t xml:space="preserve">45º Chamfer End</t>
  </si>
  <si>
    <t xml:space="preserve">EM0002</t>
  </si>
  <si>
    <t xml:space="preserve">HARVEY TOOL</t>
  </si>
  <si>
    <t xml:space="preserve">A-1-A-1</t>
  </si>
  <si>
    <t xml:space="preserve">EM0003</t>
  </si>
  <si>
    <t xml:space="preserve">63-763</t>
  </si>
  <si>
    <t xml:space="preserve">LMT Onsrud</t>
  </si>
  <si>
    <t xml:space="preserve">Soft Plastic</t>
  </si>
  <si>
    <t xml:space="preserve">A-1-A-2</t>
  </si>
  <si>
    <t xml:space="preserve">EM0004</t>
  </si>
  <si>
    <t xml:space="preserve">63-774</t>
  </si>
  <si>
    <t xml:space="preserve">A-1-A-3</t>
  </si>
  <si>
    <t xml:space="preserve">ARMTEC</t>
  </si>
  <si>
    <t xml:space="preserve">EM0005</t>
  </si>
  <si>
    <t xml:space="preserve">63-712</t>
  </si>
  <si>
    <t xml:space="preserve">Hard Plastic, Solid Surface</t>
  </si>
  <si>
    <t xml:space="preserve">A-1-A-4</t>
  </si>
  <si>
    <t xml:space="preserve">EM0006</t>
  </si>
  <si>
    <t xml:space="preserve">63-717</t>
  </si>
  <si>
    <t xml:space="preserve">Hard Plastic</t>
  </si>
  <si>
    <t xml:space="preserve">A-1-B-1</t>
  </si>
  <si>
    <t xml:space="preserve">EM0007</t>
  </si>
  <si>
    <t xml:space="preserve">63-767</t>
  </si>
  <si>
    <t xml:space="preserve">A-1-B-2</t>
  </si>
  <si>
    <t xml:space="preserve">EM0008</t>
  </si>
  <si>
    <t xml:space="preserve">63-725</t>
  </si>
  <si>
    <t xml:space="preserve">A-1-B-3</t>
  </si>
  <si>
    <t xml:space="preserve">EM0009</t>
  </si>
  <si>
    <t xml:space="preserve">Downcut</t>
  </si>
  <si>
    <t xml:space="preserve">62-718</t>
  </si>
  <si>
    <t xml:space="preserve">A-1-B-4</t>
  </si>
  <si>
    <t xml:space="preserve">EM0010</t>
  </si>
  <si>
    <t xml:space="preserve">63-781</t>
  </si>
  <si>
    <t xml:space="preserve">A-1-C-1</t>
  </si>
  <si>
    <t xml:space="preserve">EM0011</t>
  </si>
  <si>
    <t xml:space="preserve">66-321</t>
  </si>
  <si>
    <t xml:space="preserve">Soft Plastic, Hard Plastic, Aluminum</t>
  </si>
  <si>
    <t xml:space="preserve">A-1-C-2</t>
  </si>
  <si>
    <t xml:space="preserve">Pocket, Surface</t>
  </si>
  <si>
    <t xml:space="preserve">EM0012</t>
  </si>
  <si>
    <t xml:space="preserve">62-727</t>
  </si>
  <si>
    <t xml:space="preserve">A-1-C-3</t>
  </si>
  <si>
    <t xml:space="preserve">EM0013</t>
  </si>
  <si>
    <t xml:space="preserve">65-109</t>
  </si>
  <si>
    <t xml:space="preserve">Plastic</t>
  </si>
  <si>
    <t xml:space="preserve">A-1-C-4</t>
  </si>
  <si>
    <t xml:space="preserve">Stronger core 8x Diameter</t>
  </si>
  <si>
    <t xml:space="preserve">EM0014</t>
  </si>
  <si>
    <t xml:space="preserve">62-712</t>
  </si>
  <si>
    <t xml:space="preserve">A-1-D-1</t>
  </si>
  <si>
    <t xml:space="preserve">EM0015</t>
  </si>
  <si>
    <t xml:space="preserve">63-775</t>
  </si>
  <si>
    <t xml:space="preserve">A-1-D-2</t>
  </si>
  <si>
    <t xml:space="preserve">EM0016</t>
  </si>
  <si>
    <t xml:space="preserve">63-776</t>
  </si>
  <si>
    <t xml:space="preserve">A-1-D-3</t>
  </si>
  <si>
    <t xml:space="preserve">EM0017</t>
  </si>
  <si>
    <t xml:space="preserve">63-777</t>
  </si>
  <si>
    <t xml:space="preserve">A-1-D-4</t>
  </si>
  <si>
    <t xml:space="preserve">EM0018</t>
  </si>
  <si>
    <t xml:space="preserve">63-707</t>
  </si>
  <si>
    <t xml:space="preserve">A-1-E-1</t>
  </si>
  <si>
    <t xml:space="preserve">EM0019</t>
  </si>
  <si>
    <t xml:space="preserve">63-731</t>
  </si>
  <si>
    <t xml:space="preserve">A-1-G-1</t>
  </si>
  <si>
    <t xml:space="preserve">Black Acrylic</t>
  </si>
  <si>
    <t xml:space="preserve">EM0020</t>
  </si>
  <si>
    <t xml:space="preserve">63-740</t>
  </si>
  <si>
    <t xml:space="preserve">A-1-G-2</t>
  </si>
  <si>
    <t xml:space="preserve">EM0021</t>
  </si>
  <si>
    <t xml:space="preserve">Harvey Tool</t>
  </si>
  <si>
    <t xml:space="preserve">A-1-G-3</t>
  </si>
  <si>
    <t xml:space="preserve">EM0022</t>
  </si>
  <si>
    <t xml:space="preserve">OSG</t>
  </si>
  <si>
    <t xml:space="preserve">DLC</t>
  </si>
  <si>
    <t xml:space="preserve">A-1-H-1</t>
  </si>
  <si>
    <t xml:space="preserve">EM0023</t>
  </si>
  <si>
    <t xml:space="preserve">A-1-H-2</t>
  </si>
  <si>
    <t xml:space="preserve">3/8" Long LOC</t>
  </si>
  <si>
    <t xml:space="preserve">EM0024</t>
  </si>
  <si>
    <t xml:space="preserve">A-1-H-3</t>
  </si>
  <si>
    <t xml:space="preserve">EM0025</t>
  </si>
  <si>
    <t xml:space="preserve">DLC-IGUSS</t>
  </si>
  <si>
    <t xml:space="preserve">A-1-H-4</t>
  </si>
  <si>
    <t xml:space="preserve">Clear Charge</t>
  </si>
  <si>
    <t xml:space="preserve">EM0026</t>
  </si>
  <si>
    <t xml:space="preserve">PCD Diamond</t>
  </si>
  <si>
    <t xml:space="preserve">Non-Ferrous Metal, Aluminum, Plastic, Composites, Graphite</t>
  </si>
  <si>
    <t xml:space="preserve">EM0027</t>
  </si>
  <si>
    <t xml:space="preserve">52-706</t>
  </si>
  <si>
    <t xml:space="preserve">Soft Plastic, Solid Surface, Foam, Soft Wood, Hard Wood</t>
  </si>
  <si>
    <t xml:space="preserve">A-1-I-1</t>
  </si>
  <si>
    <t xml:space="preserve">Long LOC</t>
  </si>
  <si>
    <t xml:space="preserve">EM0028</t>
  </si>
  <si>
    <t xml:space="preserve">37-61</t>
  </si>
  <si>
    <t xml:space="preserve">Hard Wood, Soft Wood, Soft Plastic, Hard Plastic</t>
  </si>
  <si>
    <t xml:space="preserve">A-1-J-1</t>
  </si>
  <si>
    <t xml:space="preserve">V grooving or beveling 90º</t>
  </si>
  <si>
    <t xml:space="preserve">EM0029</t>
  </si>
  <si>
    <t xml:space="preserve">52-280B</t>
  </si>
  <si>
    <t xml:space="preserve">Soft Wood, Hard Wood, Wood Composite, Soft Plastic, Hard Plastic, Aluminum</t>
  </si>
  <si>
    <t xml:space="preserve">A-1-K-1</t>
  </si>
  <si>
    <t xml:space="preserve">Ball Nose</t>
  </si>
  <si>
    <t xml:space="preserve">EM0030</t>
  </si>
  <si>
    <t xml:space="preserve">52-240B</t>
  </si>
  <si>
    <t xml:space="preserve">EM0031</t>
  </si>
  <si>
    <t xml:space="preserve">M.A. FORD</t>
  </si>
  <si>
    <t xml:space="preserve">HSS</t>
  </si>
  <si>
    <t xml:space="preserve">Steel, Stainless Steel, Cast Iron, Aluminum, Non-Ferrous Metal</t>
  </si>
  <si>
    <t xml:space="preserve">Countersink  82º</t>
  </si>
  <si>
    <t xml:space="preserve">EM0032</t>
  </si>
  <si>
    <t xml:space="preserve">425-EB30</t>
  </si>
  <si>
    <t xml:space="preserve">Allstar CNC</t>
  </si>
  <si>
    <t xml:space="preserve">Engraving 30º</t>
  </si>
  <si>
    <t xml:space="preserve">EM0033</t>
  </si>
  <si>
    <t xml:space="preserve">700-1251</t>
  </si>
  <si>
    <t xml:space="preserve">Carbide</t>
  </si>
  <si>
    <t xml:space="preserve">Steel, Cast Iron, Non-Ferrous Metal</t>
  </si>
  <si>
    <t xml:space="preserve">EM0034</t>
  </si>
  <si>
    <t xml:space="preserve">Compression</t>
  </si>
  <si>
    <t xml:space="preserve">60-163PLR</t>
  </si>
  <si>
    <t xml:space="preserve">Double-Sided Laminated and Veneered Wood Composites</t>
  </si>
  <si>
    <t xml:space="preserve">A-1-K-2</t>
  </si>
  <si>
    <t xml:space="preserve">MDF Pockets, discontinued 60-163EC(Replacement)</t>
  </si>
  <si>
    <t xml:space="preserve">EM0035</t>
  </si>
  <si>
    <t xml:space="preserve">KeySeat</t>
  </si>
  <si>
    <t xml:space="preserve">EM0036</t>
  </si>
  <si>
    <t xml:space="preserve">71020-C3</t>
  </si>
  <si>
    <t xml:space="preserve">C3</t>
  </si>
  <si>
    <t xml:space="preserve">Aluminum, Non-Ferrous Metal, Cast Iron, Steel, Stainless Steel, Exotic Metal, Titanium, Plastic, Wood, Composites, Graphite, Hardened Alloys, Green (Unfired)</t>
  </si>
  <si>
    <t xml:space="preserve">A-1-K-3</t>
  </si>
  <si>
    <t xml:space="preserve">Small thread</t>
  </si>
  <si>
    <t xml:space="preserve">EM0037</t>
  </si>
  <si>
    <t xml:space="preserve">UN</t>
  </si>
  <si>
    <t xml:space="preserve">Aluminum,  Cast Iron, Steel, Stainless Steel, Exotic Metal, Titanium, Wood, Composites</t>
  </si>
  <si>
    <t xml:space="preserve">Thread</t>
  </si>
  <si>
    <t xml:space="preserve">EM0038</t>
  </si>
  <si>
    <t xml:space="preserve">Straight V Flute</t>
  </si>
  <si>
    <t xml:space="preserve">66-123</t>
  </si>
  <si>
    <t xml:space="preserve">Soft Plastic, Hard Plastic, Solid Surface</t>
  </si>
  <si>
    <t xml:space="preserve">EM0039</t>
  </si>
  <si>
    <t xml:space="preserve">Aluminum, Steel, Cast Iron, Stainless Steel, Exotic Metal, Titanium, Composites, Wood</t>
  </si>
  <si>
    <t xml:space="preserve">A-1-L-1</t>
  </si>
  <si>
    <t xml:space="preserve">EM0040</t>
  </si>
  <si>
    <t xml:space="preserve">63-783</t>
  </si>
  <si>
    <t xml:space="preserve">Soft Plastic, Solid Surface</t>
  </si>
  <si>
    <t xml:space="preserve">A-1-E-2</t>
  </si>
  <si>
    <t xml:space="preserve">EM0041</t>
  </si>
  <si>
    <t xml:space="preserve">63-735</t>
  </si>
  <si>
    <t xml:space="preserve">A-1-E-3</t>
  </si>
  <si>
    <t xml:space="preserve">EM0042</t>
  </si>
  <si>
    <t xml:space="preserve">63-701</t>
  </si>
  <si>
    <t xml:space="preserve">A-1-F-1</t>
  </si>
  <si>
    <t xml:space="preserve">EM0043</t>
  </si>
  <si>
    <t xml:space="preserve">66-327</t>
  </si>
  <si>
    <t xml:space="preserve">A-1-F-2</t>
  </si>
  <si>
    <t xml:space="preserve">EM0044</t>
  </si>
  <si>
    <t xml:space="preserve">52-704</t>
  </si>
  <si>
    <t xml:space="preserve">A-1-F-3</t>
  </si>
  <si>
    <t xml:space="preserve">EM0045</t>
  </si>
  <si>
    <t xml:space="preserve">700-5002</t>
  </si>
  <si>
    <t xml:space="preserve">Countersink  90º</t>
  </si>
  <si>
    <t xml:space="preserve">EM0046</t>
  </si>
  <si>
    <t xml:space="preserve">700-5001</t>
  </si>
  <si>
    <t xml:space="preserve">EM0047</t>
  </si>
  <si>
    <t xml:space="preserve">63-762</t>
  </si>
  <si>
    <t xml:space="preserve">EM0048</t>
  </si>
  <si>
    <t xml:space="preserve">A-1-J-2</t>
  </si>
  <si>
    <t xml:space="preserve">5mm Radius</t>
  </si>
  <si>
    <t xml:space="preserve">EM0049</t>
  </si>
  <si>
    <t xml:space="preserve">65-020</t>
  </si>
  <si>
    <t xml:space="preserve">Soft Plastic, Hard Plastic, Wood, Aluminum, Solid Surface</t>
  </si>
  <si>
    <t xml:space="preserve">EM0050</t>
  </si>
  <si>
    <t xml:space="preserve">EM0051</t>
  </si>
  <si>
    <t xml:space="preserve">63-700</t>
  </si>
  <si>
    <t xml:space="preserve">D0001</t>
  </si>
  <si>
    <t xml:space="preserve">Drill</t>
  </si>
  <si>
    <t xml:space="preserve">HSS-E TiAIN</t>
  </si>
  <si>
    <t xml:space="preserve">Stainless Steel</t>
  </si>
  <si>
    <t xml:space="preserve">A-1-E-4</t>
  </si>
  <si>
    <t xml:space="preserve">D0002</t>
  </si>
  <si>
    <t xml:space="preserve">0.500 DIA Drill</t>
  </si>
  <si>
    <t xml:space="preserve">MASTERCRAFT</t>
  </si>
  <si>
    <t xml:space="preserve">Canadian Tire</t>
  </si>
  <si>
    <t xml:space="preserve">D0003</t>
  </si>
  <si>
    <t xml:space="preserve">462.1-0400-020A1-XM X2BM</t>
  </si>
  <si>
    <t xml:space="preserve">X2BM</t>
  </si>
  <si>
    <t xml:space="preserve">XM</t>
  </si>
  <si>
    <t xml:space="preserve">A-2-B-3</t>
  </si>
  <si>
    <t xml:space="preserve">C0001</t>
  </si>
  <si>
    <t xml:space="preserve">Cutter</t>
  </si>
  <si>
    <t xml:space="preserve">STFER163</t>
  </si>
  <si>
    <t xml:space="preserve">TEGX, TPGX</t>
  </si>
  <si>
    <t xml:space="preserve">A-2-L-1</t>
  </si>
  <si>
    <t xml:space="preserve">C0002</t>
  </si>
  <si>
    <t xml:space="preserve">RU226.1000.03</t>
  </si>
  <si>
    <t xml:space="preserve">229,S229</t>
  </si>
  <si>
    <t xml:space="preserve">A-2-G-1</t>
  </si>
  <si>
    <t xml:space="preserve">C0003</t>
  </si>
  <si>
    <t xml:space="preserve">SDJCR-163</t>
  </si>
  <si>
    <t xml:space="preserve">A-2-N-1</t>
  </si>
  <si>
    <t xml:space="preserve">C0004</t>
  </si>
  <si>
    <t xml:space="preserve">GHGR 25.4-2</t>
  </si>
  <si>
    <t xml:space="preserve">CUTGRIP</t>
  </si>
  <si>
    <t xml:space="preserve">A-2-E-2</t>
  </si>
  <si>
    <t xml:space="preserve">C0005</t>
  </si>
  <si>
    <t xml:space="preserve">SDJER164</t>
  </si>
  <si>
    <t xml:space="preserve">DCMT 11T304 , DCGT 11T304</t>
  </si>
  <si>
    <t xml:space="preserve">A-2-K-1</t>
  </si>
  <si>
    <t xml:space="preserve">C0006</t>
  </si>
  <si>
    <t xml:space="preserve">C4-SDJCR-27050-11C1</t>
  </si>
  <si>
    <t xml:space="preserve">DCMT 11T308</t>
  </si>
  <si>
    <t xml:space="preserve">A-2-G-2</t>
  </si>
  <si>
    <t xml:space="preserve">C0007</t>
  </si>
  <si>
    <t xml:space="preserve">GHMR 25.4</t>
  </si>
  <si>
    <t xml:space="preserve">Inserts .250 CWX</t>
  </si>
  <si>
    <t xml:space="preserve">A-2-M-1</t>
  </si>
  <si>
    <t xml:space="preserve">C0009</t>
  </si>
  <si>
    <t xml:space="preserve">BU105.0625.01</t>
  </si>
  <si>
    <t xml:space="preserve">A-2-A-4</t>
  </si>
  <si>
    <t xml:space="preserve">C0010</t>
  </si>
  <si>
    <t xml:space="preserve">A06M-SDUCR 2-R</t>
  </si>
  <si>
    <t xml:space="preserve">A-2-B-4</t>
  </si>
  <si>
    <t xml:space="preserve">C0011</t>
  </si>
  <si>
    <t xml:space="preserve">L05MSCLPR2</t>
  </si>
  <si>
    <t xml:space="preserve">I0023, I0024</t>
  </si>
  <si>
    <t xml:space="preserve">Screw Clamp</t>
  </si>
  <si>
    <t xml:space="preserve">I.D. Turning, I.D. Chamfering &amp; Profiling</t>
  </si>
  <si>
    <t xml:space="preserve">A-2-F-1</t>
  </si>
  <si>
    <t xml:space="preserve">Through Coolant, Heavy Metal Boring Bar, Material #3331042, OAL 5.995"</t>
  </si>
  <si>
    <t xml:space="preserve">C0012</t>
  </si>
  <si>
    <t xml:space="preserve">RHU224.1000.02</t>
  </si>
  <si>
    <t xml:space="preserve">A-2-I-1</t>
  </si>
  <si>
    <t xml:space="preserve">C0013</t>
  </si>
  <si>
    <t xml:space="preserve">CXS-A0625-05</t>
  </si>
  <si>
    <t xml:space="preserve">A-2-E-1</t>
  </si>
  <si>
    <t xml:space="preserve">C0014</t>
  </si>
  <si>
    <t xml:space="preserve">A05H-STFCR 1.2-R</t>
  </si>
  <si>
    <t xml:space="preserve">A-2-E-3</t>
  </si>
  <si>
    <t xml:space="preserve">C0015</t>
  </si>
  <si>
    <t xml:space="preserve">A08M-SCLCR 2-R</t>
  </si>
  <si>
    <t xml:space="preserve">CCMT 06 02 04-UM 4425</t>
  </si>
  <si>
    <t xml:space="preserve">A-2-F-3</t>
  </si>
  <si>
    <t xml:space="preserve">C0016</t>
  </si>
  <si>
    <t xml:space="preserve">KTFS0867R08SCF100</t>
  </si>
  <si>
    <t xml:space="preserve">KENNAMTEL</t>
  </si>
  <si>
    <t xml:space="preserve">A-2-J-1</t>
  </si>
  <si>
    <t xml:space="preserve">TIP DRILL COOLANT THROUGH</t>
  </si>
  <si>
    <t xml:space="preserve">C0017</t>
  </si>
  <si>
    <t xml:space="preserve">DFPR0625R3WB075</t>
  </si>
  <si>
    <t xml:space="preserve">2 INSERTS (I0021-I0022)</t>
  </si>
  <si>
    <t xml:space="preserve">A-2-N-2</t>
  </si>
  <si>
    <t xml:space="preserve">DRILL COOLANT THROUGH</t>
  </si>
  <si>
    <t xml:space="preserve">CC0001</t>
  </si>
  <si>
    <t xml:space="preserve">Collet Chuck</t>
  </si>
  <si>
    <t xml:space="preserve">A393.14-26 32 203</t>
  </si>
  <si>
    <t xml:space="preserve">A-2-H-1</t>
  </si>
  <si>
    <t xml:space="preserve">G0001</t>
  </si>
  <si>
    <t xml:space="preserve">Collet</t>
  </si>
  <si>
    <t xml:space="preserve">Collet Kit</t>
  </si>
  <si>
    <t xml:space="preserve">G0002</t>
  </si>
  <si>
    <t xml:space="preserve">Bushing</t>
  </si>
  <si>
    <t xml:space="preserve">RH2180183</t>
  </si>
  <si>
    <t xml:space="preserve">Rapidhold</t>
  </si>
  <si>
    <t xml:space="preserve">A-2-J-3</t>
  </si>
  <si>
    <t xml:space="preserve">S0001</t>
  </si>
  <si>
    <t xml:space="preserve">Sleeve</t>
  </si>
  <si>
    <t xml:space="preserve">EF-A24-A08</t>
  </si>
  <si>
    <t xml:space="preserve">S0002</t>
  </si>
  <si>
    <t xml:space="preserve">EF-A24-A05</t>
  </si>
  <si>
    <t xml:space="preserve">SP0001</t>
  </si>
  <si>
    <t xml:space="preserve">Spare Parts</t>
  </si>
  <si>
    <t xml:space="preserve">SL0001</t>
  </si>
  <si>
    <t xml:space="preserve">Spindle Liners</t>
  </si>
  <si>
    <t xml:space="preserve">QTN 250-II MSY 1PC 2.0''</t>
  </si>
  <si>
    <t xml:space="preserve">TRUSTY COOK</t>
  </si>
  <si>
    <t xml:space="preserve">2.00'' Spindle Liner</t>
  </si>
  <si>
    <t xml:space="preserve">SL0002</t>
  </si>
  <si>
    <t xml:space="preserve">QTN 250-II MSY 1PC 1.0''</t>
  </si>
  <si>
    <t xml:space="preserve">1.00'' Spindle Liner</t>
  </si>
  <si>
    <t xml:space="preserve">SJ0001</t>
  </si>
  <si>
    <t xml:space="preserve">Soft Jaws</t>
  </si>
  <si>
    <t xml:space="preserve">SC-06-P120OMATEI (Set of 3)</t>
  </si>
  <si>
    <t xml:space="preserve">OMATEI</t>
  </si>
  <si>
    <t xml:space="preserve">A-3</t>
  </si>
  <si>
    <t xml:space="preserve">New 6 Inch Soft Jaws</t>
  </si>
  <si>
    <t xml:space="preserve">SJ0002</t>
  </si>
  <si>
    <t xml:space="preserve">SC-08-P120OMATEI (Set of 3)</t>
  </si>
  <si>
    <t xml:space="preserve">New 10 Inch Soft Jaws</t>
  </si>
  <si>
    <t xml:space="preserve">MSJ0001</t>
  </si>
  <si>
    <t xml:space="preserve">Machined Soft Jaws</t>
  </si>
  <si>
    <t xml:space="preserve">Bridgestone BSHN0897</t>
  </si>
  <si>
    <t xml:space="preserve">Coolant</t>
  </si>
  <si>
    <t xml:space="preserve">B-Cool MC610</t>
  </si>
  <si>
    <t xml:space="preserve">Blaser</t>
  </si>
  <si>
    <t xml:space="preserve">Blaser Coolant</t>
  </si>
  <si>
    <t xml:space="preserve">BR0001</t>
  </si>
  <si>
    <t xml:space="preserve">Boring Ring</t>
  </si>
  <si>
    <t xml:space="preserve">DM85DMBR06PTS</t>
  </si>
  <si>
    <t xml:space="preserve">6 Inch Boring Ring</t>
  </si>
  <si>
    <t xml:space="preserve">BR0002</t>
  </si>
  <si>
    <t xml:space="preserve">DM85DMBR08PTS</t>
  </si>
  <si>
    <t xml:space="preserve">8 Inch Boring Ring</t>
  </si>
  <si>
    <t xml:space="preserve">BR0003</t>
  </si>
  <si>
    <t xml:space="preserve">JB08</t>
  </si>
  <si>
    <t xml:space="preserve">TAIKI</t>
  </si>
  <si>
    <t xml:space="preserve">HT0001</t>
  </si>
  <si>
    <t xml:space="preserve">Hand Tools</t>
  </si>
  <si>
    <t xml:space="preserve">Wera</t>
  </si>
  <si>
    <t xml:space="preserve">Belt C 2 Zyklop In-Hex-Plus bit socket set</t>
  </si>
  <si>
    <t xml:space="preserve">HT0002</t>
  </si>
  <si>
    <t xml:space="preserve">Belt B 2 Zyklop Hex-Plus</t>
  </si>
  <si>
    <t xml:space="preserve">HT0003</t>
  </si>
  <si>
    <t xml:space="preserve">Click-Torque B 2 torque wrench</t>
  </si>
  <si>
    <t xml:space="preserve">HT0004</t>
  </si>
  <si>
    <t xml:space="preserve">Amazon</t>
  </si>
  <si>
    <t xml:space="preserve">Wrench 2.00 x 24''</t>
  </si>
  <si>
    <t xml:space="preserve">HT0005</t>
  </si>
  <si>
    <t xml:space="preserve">Wrench 1.50 x 15''</t>
  </si>
  <si>
    <t xml:space="preserve">HT0006</t>
  </si>
  <si>
    <t xml:space="preserve">Allen Key (Hex Plus) Metric</t>
  </si>
  <si>
    <t xml:space="preserve">HT0007</t>
  </si>
  <si>
    <t xml:space="preserve">Allen Key (Hex Plus) Imperial</t>
  </si>
  <si>
    <t xml:space="preserve">HT0008</t>
  </si>
  <si>
    <t xml:space="preserve">5627-050756220001-ND</t>
  </si>
  <si>
    <t xml:space="preserve">Torque Wrench 1/2'' Drive 40-200Nm</t>
  </si>
  <si>
    <t xml:space="preserve">HT0009</t>
  </si>
  <si>
    <t xml:space="preserve">Torque Wrench 3/8'' Drive 20-100Nm</t>
  </si>
  <si>
    <t xml:space="preserve">HT0010</t>
  </si>
  <si>
    <t xml:space="preserve">Torque Wrench Bits</t>
  </si>
  <si>
    <t xml:space="preserve">HT0011</t>
  </si>
  <si>
    <t xml:space="preserve">Torque Screw Driver 0.3-6.0Nm</t>
  </si>
  <si>
    <t xml:space="preserve">HT0012</t>
  </si>
  <si>
    <t xml:space="preserve">NZ6040005PTS</t>
  </si>
  <si>
    <t xml:space="preserve">Refractometer</t>
  </si>
  <si>
    <t xml:space="preserve">QT0001</t>
  </si>
  <si>
    <t xml:space="preserve">Quality Tool</t>
  </si>
  <si>
    <t xml:space="preserve">293-344-32</t>
  </si>
  <si>
    <t xml:space="preserve">Mitutoyo</t>
  </si>
  <si>
    <t xml:space="preserve">MicroMeter 0.0'' - 1.0''</t>
  </si>
  <si>
    <t xml:space="preserve">QT0002</t>
  </si>
  <si>
    <t xml:space="preserve">293-345-32</t>
  </si>
  <si>
    <t xml:space="preserve">MicroMeter 1.0'' - 2.0''</t>
  </si>
  <si>
    <t xml:space="preserve">QT0003</t>
  </si>
  <si>
    <t xml:space="preserve">500-754-20</t>
  </si>
  <si>
    <t xml:space="preserve">Caliper 0.0'' - 12.0''</t>
  </si>
  <si>
    <t xml:space="preserve">QT0004</t>
  </si>
  <si>
    <t xml:space="preserve">SJ-220 Dtandar</t>
  </si>
  <si>
    <t xml:space="preserve">Surftest</t>
  </si>
  <si>
    <t xml:space="preserve">Note : le n° G0002 est utilisé pour deux outils différents dans ton fichier (Bushing et Coolant).</t>
  </si>
  <si>
    <t xml:space="preserve">Table 1/8 po (jusqu'à 4 po)</t>
  </si>
  <si>
    <t xml:space="preserve">Table 1/16 po (jusqu'à 4 po)</t>
  </si>
  <si>
    <t xml:space="preserve">Table 1/32 po (jusqu'à 4 po)</t>
  </si>
  <si>
    <t xml:space="preserve">Table 1/64 po (jusqu'à 4 po)</t>
  </si>
  <si>
    <t xml:space="preserve">Calculs internes — ne pas modifier</t>
  </si>
  <si>
    <t xml:space="preserve">Cote (convertisseur)</t>
  </si>
  <si>
    <t xml:space="preserve">Épaisseur (avances)</t>
  </si>
  <si>
    <t xml:space="preserve">Paramètres avances</t>
  </si>
  <si>
    <t xml:space="preserve">Diamètre (recherche)</t>
  </si>
  <si>
    <t xml:space="preserve">Épaisseur (recherche)</t>
  </si>
  <si>
    <t xml:space="preserve">Texte</t>
  </si>
  <si>
    <t xml:space="preserve">Matière n°</t>
  </si>
  <si>
    <t xml:space="preserve">Pos. espace</t>
  </si>
  <si>
    <t xml:space="preserve">Base (1 dur, 2 mou)</t>
  </si>
  <si>
    <t xml:space="preserve">Entier</t>
  </si>
  <si>
    <t xml:space="preserve">Matière atelier</t>
  </si>
  <si>
    <t xml:space="preserve">Partie</t>
  </si>
  <si>
    <t xml:space="preserve">Type n°</t>
  </si>
  <si>
    <t xml:space="preserve">Pos. /</t>
  </si>
  <si>
    <t xml:space="preserve">Genre voulu</t>
  </si>
  <si>
    <t xml:space="preserve">Pos. .</t>
  </si>
  <si>
    <t xml:space="preserve">Valeur</t>
  </si>
  <si>
    <t xml:space="preserve">Épaisseur po</t>
  </si>
  <si>
    <t xml:space="preserve">En pouces</t>
  </si>
  <si>
    <t xml:space="preserve">Dénominateur</t>
  </si>
  <si>
    <t xml:space="preserve">Crans</t>
  </si>
  <si>
    <t xml:space="preserve">Correspondances convertisseur (index des outils par choix)</t>
  </si>
  <si>
    <t xml:space="preserve">Recherche (clé de tri)</t>
  </si>
  <si>
    <t xml:space="preserve">Table end mills (données statiques Onsrud + calculs)</t>
  </si>
  <si>
    <t xml:space="preserve">Choix 1</t>
  </si>
  <si>
    <t xml:space="preserve">Choix 2</t>
  </si>
  <si>
    <t xml:space="preserve">Choix 3</t>
  </si>
  <si>
    <t xml:space="preserve">id</t>
  </si>
  <si>
    <t xml:space="preserve">dia</t>
  </si>
  <si>
    <t xml:space="preserve">loc</t>
  </si>
  <si>
    <t xml:space="preserve">fl</t>
  </si>
  <si>
    <t xml:space="preserve">kind</t>
  </si>
  <si>
    <t xml:space="preserve">dir</t>
  </si>
  <si>
    <t xml:space="preserve">mpn</t>
  </si>
  <si>
    <t xml:space="preserve">loc_txt</t>
  </si>
  <si>
    <t xml:space="preserve">note</t>
  </si>
  <si>
    <t xml:space="preserve">type</t>
  </si>
  <si>
    <t xml:space="preserve">ser_h</t>
  </si>
  <si>
    <t xml:space="preserve">cmin_h</t>
  </si>
  <si>
    <t xml:space="preserve">cmax_h</t>
  </si>
  <si>
    <t xml:space="preserve">rec_h</t>
  </si>
  <si>
    <t xml:space="preserve">app_h</t>
  </si>
  <si>
    <t xml:space="preserve">gen_h</t>
  </si>
  <si>
    <t xml:space="preserve">ons_h</t>
  </si>
  <si>
    <t xml:space="preserve">ser_s</t>
  </si>
  <si>
    <t xml:space="preserve">cmin_s</t>
  </si>
  <si>
    <t xml:space="preserve">cmax_s</t>
  </si>
  <si>
    <t xml:space="preserve">rec_s</t>
  </si>
  <si>
    <t xml:space="preserve">app_s</t>
  </si>
  <si>
    <t xml:space="preserve">gen_s</t>
  </si>
  <si>
    <t xml:space="preserve">ons_s</t>
  </si>
  <si>
    <t xml:space="preserve">ser</t>
  </si>
  <si>
    <t xml:space="preserve">cmin</t>
  </si>
  <si>
    <t xml:space="preserve">cmax</t>
  </si>
  <si>
    <t xml:space="preserve">rec</t>
  </si>
  <si>
    <t xml:space="preserve">app</t>
  </si>
  <si>
    <t xml:space="preserve">gen</t>
  </si>
  <si>
    <t xml:space="preserve">ons</t>
  </si>
  <si>
    <t xml:space="preserve">passes</t>
  </si>
  <si>
    <t xml:space="preserve">per</t>
  </si>
  <si>
    <t xml:space="preserve">ratio</t>
  </si>
  <si>
    <t xml:space="preserve">mult</t>
  </si>
  <si>
    <t xml:space="preserve">cmid</t>
  </si>
  <si>
    <t xml:space="preserve">locst</t>
  </si>
  <si>
    <t xml:space="preserve">elig</t>
  </si>
  <si>
    <t xml:space="preserve">dirok</t>
  </si>
  <si>
    <t xml:space="preserve">rpmA</t>
  </si>
  <si>
    <t xml:space="preserve">feedA</t>
  </si>
  <si>
    <t xml:space="preserve">prod</t>
  </si>
  <si>
    <t xml:space="preserve">score</t>
  </si>
  <si>
    <t xml:space="preserve">exc</t>
  </si>
  <si>
    <t xml:space="preserve">diakey</t>
  </si>
  <si>
    <t xml:space="preserve">rep</t>
  </si>
  <si>
    <t xml:space="preserve">grp</t>
  </si>
  <si>
    <t xml:space="preserve">final</t>
  </si>
  <si>
    <t xml:space="preserve">loworder</t>
  </si>
  <si>
    <t xml:space="preserve">chamfer</t>
  </si>
  <si>
    <t xml:space="preserve">Top 1</t>
  </si>
  <si>
    <t xml:space="preserve">straight</t>
  </si>
  <si>
    <t xml:space="preserve">49839</t>
  </si>
  <si>
    <t xml:space="preserve">Top 2</t>
  </si>
  <si>
    <t xml:space="preserve">63-750</t>
  </si>
  <si>
    <t xml:space="preserve">Top 3</t>
  </si>
  <si>
    <t xml:space="preserve">Top 4</t>
  </si>
  <si>
    <t xml:space="preserve">Top 5</t>
  </si>
  <si>
    <t xml:space="preserve">62-700</t>
  </si>
  <si>
    <t xml:space="preserve">66-300</t>
  </si>
  <si>
    <t xml:space="preserve">897424</t>
  </si>
  <si>
    <t xml:space="preserve">88300409</t>
  </si>
  <si>
    <t xml:space="preserve">86300909</t>
  </si>
  <si>
    <t xml:space="preserve">86301109</t>
  </si>
  <si>
    <t xml:space="preserve">88300209</t>
  </si>
  <si>
    <t xml:space="preserve">709508</t>
  </si>
  <si>
    <t xml:space="preserve">52-700</t>
  </si>
  <si>
    <t xml:space="preserve">ball</t>
  </si>
  <si>
    <t xml:space="preserve">52-200B/BL</t>
  </si>
  <si>
    <t xml:space="preserve">61025002</t>
  </si>
  <si>
    <t xml:space="preserve">other</t>
  </si>
  <si>
    <t xml:space="preserve">899840</t>
  </si>
  <si>
    <t xml:space="preserve">71050</t>
  </si>
  <si>
    <t xml:space="preserve">887050</t>
  </si>
  <si>
    <t xml:space="preserve">17197</t>
  </si>
  <si>
    <t xml:space="preserve">64-000/65-000</t>
  </si>
  <si>
    <t xml:space="preserve">86300409</t>
  </si>
</sst>
</file>

<file path=xl/styles.xml><?xml version="1.0" encoding="utf-8"?>
<styleSheet xmlns="http://schemas.openxmlformats.org/spreadsheetml/2006/main">
  <numFmts count="10">
    <numFmt numFmtId="164" formatCode="General"/>
    <numFmt numFmtId="165" formatCode="@"/>
    <numFmt numFmtId="166" formatCode="0.0000"/>
    <numFmt numFmtId="167" formatCode="0.000"/>
    <numFmt numFmtId="168" formatCode="0.00000"/>
    <numFmt numFmtId="169" formatCode="\+0.0000;\-0.0000;0"/>
    <numFmt numFmtId="170" formatCode="#,##0"/>
    <numFmt numFmtId="171" formatCode="0"/>
    <numFmt numFmtId="172" formatCode="0.000000"/>
    <numFmt numFmtId="173" formatCode="General"/>
  </numFmts>
  <fonts count="30">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1"/>
      <color rgb="FF666666"/>
      <name val="Arial"/>
      <family val="0"/>
      <charset val="1"/>
    </font>
    <font>
      <b val="true"/>
      <sz val="11"/>
      <name val="Arial"/>
      <family val="0"/>
      <charset val="1"/>
    </font>
    <font>
      <b val="true"/>
      <sz val="12"/>
      <color rgb="FF0000FF"/>
      <name val="Arial"/>
      <family val="0"/>
      <charset val="1"/>
    </font>
    <font>
      <b val="true"/>
      <sz val="12"/>
      <name val="Arial"/>
      <family val="0"/>
      <charset val="1"/>
    </font>
    <font>
      <b val="true"/>
      <sz val="11"/>
      <color rgb="FF6B3FA0"/>
      <name val="Arial"/>
      <family val="0"/>
      <charset val="1"/>
    </font>
    <font>
      <b val="true"/>
      <sz val="12"/>
      <color rgb="FF6B3FA0"/>
      <name val="Arial"/>
      <family val="0"/>
      <charset val="1"/>
    </font>
    <font>
      <b val="true"/>
      <sz val="11"/>
      <color rgb="FFFFFFFF"/>
      <name val="Arial"/>
      <family val="0"/>
      <charset val="1"/>
    </font>
    <font>
      <b val="true"/>
      <sz val="13"/>
      <name val="Arial"/>
      <family val="0"/>
      <charset val="1"/>
    </font>
    <font>
      <sz val="10"/>
      <name val="Arial"/>
      <family val="0"/>
      <charset val="1"/>
    </font>
    <font>
      <b val="true"/>
      <sz val="11"/>
      <color rgb="FF1F5A99"/>
      <name val="Arial"/>
      <family val="0"/>
      <charset val="1"/>
    </font>
    <font>
      <b val="true"/>
      <sz val="10"/>
      <name val="Arial"/>
      <family val="0"/>
      <charset val="1"/>
    </font>
    <font>
      <b val="true"/>
      <sz val="13"/>
      <color rgb="FF1F5A99"/>
      <name val="Arial"/>
      <family val="0"/>
      <charset val="1"/>
    </font>
    <font>
      <i val="true"/>
      <sz val="11"/>
      <color rgb="FF9A5B00"/>
      <name val="Arial"/>
      <family val="0"/>
      <charset val="1"/>
    </font>
    <font>
      <b val="true"/>
      <sz val="12"/>
      <color rgb="FF1F5A99"/>
      <name val="Arial"/>
      <family val="0"/>
      <charset val="1"/>
    </font>
    <font>
      <sz val="10"/>
      <color rgb="FF1F5A99"/>
      <name val="Arial"/>
      <family val="0"/>
      <charset val="1"/>
    </font>
    <font>
      <sz val="10"/>
      <color rgb="FF9A5B00"/>
      <name val="Arial"/>
      <family val="0"/>
      <charset val="1"/>
    </font>
    <font>
      <sz val="9"/>
      <color rgb="FF555555"/>
      <name val="Arial"/>
      <family val="0"/>
      <charset val="1"/>
    </font>
    <font>
      <b val="true"/>
      <sz val="14"/>
      <name val="Arial"/>
      <family val="0"/>
      <charset val="1"/>
    </font>
    <font>
      <i val="true"/>
      <sz val="8"/>
      <color rgb="FF666666"/>
      <name val="Arial"/>
      <family val="0"/>
      <charset val="1"/>
    </font>
    <font>
      <u val="single"/>
      <sz val="11"/>
      <color rgb="FF1F5A99"/>
      <name val="Arial"/>
      <family val="0"/>
      <charset val="1"/>
    </font>
    <font>
      <sz val="11"/>
      <name val="Arial"/>
      <family val="0"/>
      <charset val="1"/>
    </font>
    <font>
      <b val="true"/>
      <sz val="12"/>
      <color rgb="FF808080"/>
      <name val="Arial"/>
      <family val="0"/>
      <charset val="1"/>
    </font>
    <font>
      <b val="true"/>
      <sz val="11"/>
      <color rgb="FF808080"/>
      <name val="Arial"/>
      <family val="0"/>
      <charset val="1"/>
    </font>
    <font>
      <sz val="11"/>
      <color rgb="FF808080"/>
      <name val="Arial"/>
      <family val="0"/>
      <charset val="1"/>
    </font>
    <font>
      <sz val="9"/>
      <color rgb="FF808080"/>
      <name val="Arial"/>
      <family val="0"/>
      <charset val="1"/>
    </font>
  </fonts>
  <fills count="8">
    <fill>
      <patternFill patternType="none"/>
    </fill>
    <fill>
      <patternFill patternType="gray125"/>
    </fill>
    <fill>
      <patternFill patternType="solid">
        <fgColor rgb="FFFFF9C4"/>
        <bgColor rgb="FFFBF0DA"/>
      </patternFill>
    </fill>
    <fill>
      <patternFill patternType="solid">
        <fgColor rgb="FFF1E9FB"/>
        <bgColor rgb="FFF2F2F2"/>
      </patternFill>
    </fill>
    <fill>
      <patternFill patternType="solid">
        <fgColor rgb="FF1F3864"/>
        <bgColor rgb="FF1F5A99"/>
      </patternFill>
    </fill>
    <fill>
      <patternFill patternType="solid">
        <fgColor rgb="FFE3ECF6"/>
        <bgColor rgb="FFE3F3E9"/>
      </patternFill>
    </fill>
    <fill>
      <patternFill patternType="solid">
        <fgColor rgb="FFFBF0DA"/>
        <bgColor rgb="FFF2F2F2"/>
      </patternFill>
    </fill>
    <fill>
      <patternFill patternType="solid">
        <fgColor rgb="FFF2F2F2"/>
        <bgColor rgb="FFF1E9FB"/>
      </patternFill>
    </fill>
  </fills>
  <borders count="2">
    <border diagonalUp="false" diagonalDown="false">
      <left/>
      <right/>
      <top/>
      <bottom/>
      <diagonal/>
    </border>
    <border diagonalUp="false" diagonalDown="false">
      <left style="thin">
        <color rgb="FFBFC7D1"/>
      </left>
      <right style="thin">
        <color rgb="FFBFC7D1"/>
      </right>
      <top style="thin">
        <color rgb="FFBFC7D1"/>
      </top>
      <bottom style="thin">
        <color rgb="FFBFC7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true" applyProtection="false">
      <alignment horizontal="center" vertical="center" textRotation="0" wrapText="true" indent="0" shrinkToFit="false"/>
      <protection locked="true" hidden="false"/>
    </xf>
    <xf numFmtId="167" fontId="10" fillId="3" borderId="0" xfId="0" applyFont="true" applyBorder="false" applyAlignment="true" applyProtection="false">
      <alignment horizontal="center" vertical="center" textRotation="0" wrapText="true" indent="0" shrinkToFit="false"/>
      <protection locked="true" hidden="false"/>
    </xf>
    <xf numFmtId="168" fontId="10"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8" fontId="13" fillId="5" borderId="1" xfId="0" applyFont="true" applyBorder="true" applyAlignment="true" applyProtection="false">
      <alignment horizontal="center" vertical="center" textRotation="0" wrapText="true" indent="0" shrinkToFit="false"/>
      <protection locked="true" hidden="false"/>
    </xf>
    <xf numFmtId="167" fontId="13" fillId="5" borderId="1" xfId="0" applyFont="true" applyBorder="true" applyAlignment="true" applyProtection="false">
      <alignment horizontal="center" vertical="center" textRotation="0" wrapText="true" indent="0" shrinkToFit="false"/>
      <protection locked="true" hidden="false"/>
    </xf>
    <xf numFmtId="169" fontId="13"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8" fontId="13" fillId="0" borderId="1" xfId="0" applyFont="true" applyBorder="true" applyAlignment="true" applyProtection="false">
      <alignment horizontal="center" vertical="center" textRotation="0" wrapText="true" indent="0" shrinkToFit="false"/>
      <protection locked="true" hidden="false"/>
    </xf>
    <xf numFmtId="167" fontId="13" fillId="0" borderId="1" xfId="0" applyFont="true" applyBorder="true" applyAlignment="true" applyProtection="false">
      <alignment horizontal="center" vertical="center" textRotation="0" wrapText="true" indent="0" shrinkToFit="false"/>
      <protection locked="true" hidden="false"/>
    </xf>
    <xf numFmtId="169" fontId="13" fillId="0"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70" fontId="14" fillId="5" borderId="1" xfId="0" applyFont="true" applyBorder="true" applyAlignment="true" applyProtection="false">
      <alignment horizontal="center" vertical="center" textRotation="0" wrapText="true" indent="0" shrinkToFit="false"/>
      <protection locked="true" hidden="false"/>
    </xf>
    <xf numFmtId="171" fontId="14" fillId="5" borderId="1" xfId="0" applyFont="true" applyBorder="true" applyAlignment="true" applyProtection="false">
      <alignment horizontal="center" vertical="center" textRotation="0" wrapText="true" indent="0" shrinkToFit="false"/>
      <protection locked="true" hidden="false"/>
    </xf>
    <xf numFmtId="166" fontId="14" fillId="5" borderId="1" xfId="0" applyFont="true" applyBorder="true" applyAlignment="true" applyProtection="false">
      <alignment horizontal="center" vertical="center" textRotation="0" wrapText="true" indent="0" shrinkToFit="false"/>
      <protection locked="true" hidden="false"/>
    </xf>
    <xf numFmtId="167" fontId="14" fillId="5" borderId="1" xfId="0" applyFont="true" applyBorder="true" applyAlignment="true" applyProtection="false">
      <alignment horizontal="center" vertical="center" textRotation="0" wrapText="true" indent="0" shrinkToFit="false"/>
      <protection locked="true" hidden="false"/>
    </xf>
    <xf numFmtId="170" fontId="13" fillId="0" borderId="1" xfId="0" applyFont="true" applyBorder="true" applyAlignment="true" applyProtection="false">
      <alignment horizontal="center" vertical="center" textRotation="0" wrapText="true" indent="0" shrinkToFit="false"/>
      <protection locked="true" hidden="false"/>
    </xf>
    <xf numFmtId="171" fontId="13" fillId="0"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true" applyAlignment="true" applyProtection="false">
      <alignment horizontal="left" vertical="center" textRotation="0" wrapText="true" indent="0" shrinkToFit="false"/>
      <protection locked="true" hidden="false"/>
    </xf>
    <xf numFmtId="164" fontId="20" fillId="6" borderId="0" xfId="0" applyFont="true" applyBorder="true" applyAlignment="true" applyProtection="false">
      <alignment horizontal="left"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7" borderId="0" xfId="0" applyFont="true" applyBorder="fals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6" fontId="13" fillId="0"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25" fillId="0" borderId="1" xfId="0" applyFont="true" applyBorder="true" applyAlignment="true" applyProtection="false">
      <alignment horizontal="center" vertical="center" textRotation="0" wrapText="true" indent="0" shrinkToFit="false"/>
      <protection locked="true" hidden="false"/>
    </xf>
    <xf numFmtId="167" fontId="25" fillId="0" borderId="1" xfId="0" applyFont="true" applyBorder="true" applyAlignment="true" applyProtection="false">
      <alignment horizontal="center" vertical="center" textRotation="0" wrapText="true" indent="0" shrinkToFit="false"/>
      <protection locked="true" hidden="false"/>
    </xf>
    <xf numFmtId="172" fontId="25" fillId="0"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8" fontId="25" fillId="7" borderId="1" xfId="0" applyFont="true" applyBorder="true" applyAlignment="true" applyProtection="false">
      <alignment horizontal="center" vertical="center" textRotation="0" wrapText="true" indent="0" shrinkToFit="false"/>
      <protection locked="true" hidden="false"/>
    </xf>
    <xf numFmtId="167" fontId="25" fillId="7" borderId="1" xfId="0" applyFont="true" applyBorder="true" applyAlignment="true" applyProtection="false">
      <alignment horizontal="center" vertical="center" textRotation="0" wrapText="true" indent="0" shrinkToFit="false"/>
      <protection locked="true" hidden="false"/>
    </xf>
    <xf numFmtId="172" fontId="25" fillId="7" borderId="1"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73" fontId="2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charset val="1"/>
        <family val="0"/>
        <b val="1"/>
        <color rgb="FF1E7B45"/>
      </font>
      <fill>
        <patternFill>
          <bgColor rgb="FFE3F3E9"/>
        </patternFill>
      </fill>
    </dxf>
    <dxf>
      <font>
        <name val="Arial"/>
        <charset val="1"/>
        <family val="0"/>
        <b val="1"/>
        <color rgb="FF9A5B00"/>
      </font>
      <fill>
        <patternFill>
          <bgColor rgb="FFFBF0DA"/>
        </patternFill>
      </fill>
    </dxf>
    <dxf>
      <fill>
        <patternFill patternType="solid">
          <fgColor rgb="FFF2F2F2"/>
          <bgColor rgb="FF000000"/>
        </patternFill>
      </fill>
    </dxf>
    <dxf>
      <fill>
        <patternFill patternType="solid">
          <bgColor rgb="FF000000"/>
        </patternFill>
      </fill>
    </dxf>
    <dxf>
      <fill>
        <patternFill patternType="solid">
          <fgColor rgb="FF666666"/>
          <bgColor rgb="FF000000"/>
        </patternFill>
      </fill>
    </dxf>
    <dxf>
      <fill>
        <patternFill patternType="solid">
          <fgColor rgb="FF000000"/>
          <bgColor rgb="FF000000"/>
        </patternFill>
      </fill>
    </dxf>
    <dxf>
      <fill>
        <patternFill patternType="solid">
          <fgColor rgb="FF1F5A99"/>
          <bgColor rgb="FF000000"/>
        </patternFill>
      </fill>
    </dxf>
    <dxf>
      <font>
        <name val="Arial"/>
        <charset val="1"/>
        <family val="0"/>
        <b val="1"/>
        <color rgb="FF1F5A99"/>
      </font>
      <fill>
        <patternFill>
          <bgColor rgb="FFE3ECF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7B45"/>
      <rgbColor rgb="FFBFC7D1"/>
      <rgbColor rgb="FF808080"/>
      <rgbColor rgb="FF9999FF"/>
      <rgbColor rgb="FF993366"/>
      <rgbColor rgb="FFFFF9C4"/>
      <rgbColor rgb="FFE3F3E9"/>
      <rgbColor rgb="FF660066"/>
      <rgbColor rgb="FFFF8080"/>
      <rgbColor rgb="FF1F5A99"/>
      <rgbColor rgb="FFF1E9FB"/>
      <rgbColor rgb="FF000080"/>
      <rgbColor rgb="FFFF00FF"/>
      <rgbColor rgb="FFFFFF00"/>
      <rgbColor rgb="FF00FFFF"/>
      <rgbColor rgb="FF800080"/>
      <rgbColor rgb="FF800000"/>
      <rgbColor rgb="FF008080"/>
      <rgbColor rgb="FF0000FF"/>
      <rgbColor rgb="FF00CCFF"/>
      <rgbColor rgb="FFE3ECF6"/>
      <rgbColor rgb="FFF2F2F2"/>
      <rgbColor rgb="FFFBF0DA"/>
      <rgbColor rgb="FF99CCFF"/>
      <rgbColor rgb="FFFF99CC"/>
      <rgbColor rgb="FFCC99FF"/>
      <rgbColor rgb="FFFFCC99"/>
      <rgbColor rgb="FF3366FF"/>
      <rgbColor rgb="FF33CCCC"/>
      <rgbColor rgb="FF99CC00"/>
      <rgbColor rgb="FFFFCC00"/>
      <rgbColor rgb="FFFF9900"/>
      <rgbColor rgb="FFFF6600"/>
      <rgbColor rgb="FF666666"/>
      <rgbColor rgb="FF999999"/>
      <rgbColor rgb="FF1F3864"/>
      <rgbColor rgb="FF339966"/>
      <rgbColor rgb="FF003300"/>
      <rgbColor rgb="FF333300"/>
      <rgbColor rgb="FF9A5B00"/>
      <rgbColor rgb="FF993366"/>
      <rgbColor rgb="FF6B3FA0"/>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351360</xdr:rowOff>
    </xdr:from>
    <xdr:to>
      <xdr:col>0</xdr:col>
      <xdr:colOff>837720</xdr:colOff>
      <xdr:row>4</xdr:row>
      <xdr:rowOff>221400</xdr:rowOff>
    </xdr:to>
    <xdr:pic>
      <xdr:nvPicPr>
        <xdr:cNvPr id="0" name="Image 1" descr="Picture"/>
        <xdr:cNvPicPr/>
      </xdr:nvPicPr>
      <xdr:blipFill>
        <a:blip r:embed="rId1"/>
        <a:stretch/>
      </xdr:blipFill>
      <xdr:spPr>
        <a:xfrm>
          <a:off x="0" y="952560"/>
          <a:ext cx="837720" cy="533160"/>
        </a:xfrm>
        <a:prstGeom prst="rect">
          <a:avLst/>
        </a:prstGeom>
        <a:ln w="0">
          <a:noFill/>
        </a:ln>
      </xdr:spPr>
    </xdr:pic>
    <xdr:clientData/>
  </xdr:twoCellAnchor>
  <xdr:twoCellAnchor editAs="oneCell">
    <xdr:from>
      <xdr:col>0</xdr:col>
      <xdr:colOff>0</xdr:colOff>
      <xdr:row>4</xdr:row>
      <xdr:rowOff>269280</xdr:rowOff>
    </xdr:from>
    <xdr:to>
      <xdr:col>0</xdr:col>
      <xdr:colOff>694800</xdr:colOff>
      <xdr:row>5</xdr:row>
      <xdr:rowOff>442440</xdr:rowOff>
    </xdr:to>
    <xdr:pic>
      <xdr:nvPicPr>
        <xdr:cNvPr id="1" name="Image 2" descr="Picture"/>
        <xdr:cNvPicPr/>
      </xdr:nvPicPr>
      <xdr:blipFill>
        <a:blip r:embed="rId2"/>
        <a:stretch/>
      </xdr:blipFill>
      <xdr:spPr>
        <a:xfrm>
          <a:off x="0" y="1533600"/>
          <a:ext cx="694800" cy="533160"/>
        </a:xfrm>
        <a:prstGeom prst="rect">
          <a:avLst/>
        </a:prstGeom>
        <a:ln w="0">
          <a:noFill/>
        </a:ln>
      </xdr:spPr>
    </xdr:pic>
    <xdr:clientData/>
  </xdr:twoCellAnchor>
  <xdr:twoCellAnchor editAs="oneCell">
    <xdr:from>
      <xdr:col>0</xdr:col>
      <xdr:colOff>0</xdr:colOff>
      <xdr:row>6</xdr:row>
      <xdr:rowOff>490320</xdr:rowOff>
    </xdr:from>
    <xdr:to>
      <xdr:col>0</xdr:col>
      <xdr:colOff>704520</xdr:colOff>
      <xdr:row>7</xdr:row>
      <xdr:rowOff>442440</xdr:rowOff>
    </xdr:to>
    <xdr:pic>
      <xdr:nvPicPr>
        <xdr:cNvPr id="2" name="Image 3" descr="Picture"/>
        <xdr:cNvPicPr/>
      </xdr:nvPicPr>
      <xdr:blipFill>
        <a:blip r:embed="rId3"/>
        <a:stretch/>
      </xdr:blipFill>
      <xdr:spPr>
        <a:xfrm>
          <a:off x="0" y="2695680"/>
          <a:ext cx="704520" cy="533160"/>
        </a:xfrm>
        <a:prstGeom prst="rect">
          <a:avLst/>
        </a:prstGeom>
        <a:ln w="0">
          <a:noFill/>
        </a:ln>
      </xdr:spPr>
    </xdr:pic>
    <xdr:clientData/>
  </xdr:twoCellAnchor>
  <xdr:twoCellAnchor editAs="oneCell">
    <xdr:from>
      <xdr:col>0</xdr:col>
      <xdr:colOff>0</xdr:colOff>
      <xdr:row>7</xdr:row>
      <xdr:rowOff>490320</xdr:rowOff>
    </xdr:from>
    <xdr:to>
      <xdr:col>0</xdr:col>
      <xdr:colOff>856800</xdr:colOff>
      <xdr:row>8</xdr:row>
      <xdr:rowOff>308880</xdr:rowOff>
    </xdr:to>
    <xdr:pic>
      <xdr:nvPicPr>
        <xdr:cNvPr id="3" name="Image 4" descr="Picture"/>
        <xdr:cNvPicPr/>
      </xdr:nvPicPr>
      <xdr:blipFill>
        <a:blip r:embed="rId4"/>
        <a:stretch/>
      </xdr:blipFill>
      <xdr:spPr>
        <a:xfrm>
          <a:off x="0" y="3276720"/>
          <a:ext cx="856800" cy="399600"/>
        </a:xfrm>
        <a:prstGeom prst="rect">
          <a:avLst/>
        </a:prstGeom>
        <a:ln w="0">
          <a:noFill/>
        </a:ln>
      </xdr:spPr>
    </xdr:pic>
    <xdr:clientData/>
  </xdr:twoCellAnchor>
  <xdr:twoCellAnchor editAs="oneCell">
    <xdr:from>
      <xdr:col>0</xdr:col>
      <xdr:colOff>0</xdr:colOff>
      <xdr:row>8</xdr:row>
      <xdr:rowOff>490320</xdr:rowOff>
    </xdr:from>
    <xdr:to>
      <xdr:col>0</xdr:col>
      <xdr:colOff>856800</xdr:colOff>
      <xdr:row>9</xdr:row>
      <xdr:rowOff>280440</xdr:rowOff>
    </xdr:to>
    <xdr:pic>
      <xdr:nvPicPr>
        <xdr:cNvPr id="4" name="Image 5" descr="Picture"/>
        <xdr:cNvPicPr/>
      </xdr:nvPicPr>
      <xdr:blipFill>
        <a:blip r:embed="rId5"/>
        <a:stretch/>
      </xdr:blipFill>
      <xdr:spPr>
        <a:xfrm>
          <a:off x="0" y="3857760"/>
          <a:ext cx="856800" cy="371160"/>
        </a:xfrm>
        <a:prstGeom prst="rect">
          <a:avLst/>
        </a:prstGeom>
        <a:ln w="0">
          <a:noFill/>
        </a:ln>
      </xdr:spPr>
    </xdr:pic>
    <xdr:clientData/>
  </xdr:twoCellAnchor>
  <xdr:twoCellAnchor editAs="oneCell">
    <xdr:from>
      <xdr:col>0</xdr:col>
      <xdr:colOff>0</xdr:colOff>
      <xdr:row>10</xdr:row>
      <xdr:rowOff>490320</xdr:rowOff>
    </xdr:from>
    <xdr:to>
      <xdr:col>0</xdr:col>
      <xdr:colOff>657000</xdr:colOff>
      <xdr:row>11</xdr:row>
      <xdr:rowOff>442440</xdr:rowOff>
    </xdr:to>
    <xdr:pic>
      <xdr:nvPicPr>
        <xdr:cNvPr id="5" name="Image 6" descr="Picture"/>
        <xdr:cNvPicPr/>
      </xdr:nvPicPr>
      <xdr:blipFill>
        <a:blip r:embed="rId6"/>
        <a:stretch/>
      </xdr:blipFill>
      <xdr:spPr>
        <a:xfrm>
          <a:off x="0" y="5019840"/>
          <a:ext cx="657000" cy="533160"/>
        </a:xfrm>
        <a:prstGeom prst="rect">
          <a:avLst/>
        </a:prstGeom>
        <a:ln w="0">
          <a:noFill/>
        </a:ln>
      </xdr:spPr>
    </xdr:pic>
    <xdr:clientData/>
  </xdr:twoCellAnchor>
  <xdr:twoCellAnchor editAs="oneCell">
    <xdr:from>
      <xdr:col>0</xdr:col>
      <xdr:colOff>0</xdr:colOff>
      <xdr:row>11</xdr:row>
      <xdr:rowOff>490320</xdr:rowOff>
    </xdr:from>
    <xdr:to>
      <xdr:col>0</xdr:col>
      <xdr:colOff>856800</xdr:colOff>
      <xdr:row>12</xdr:row>
      <xdr:rowOff>327960</xdr:rowOff>
    </xdr:to>
    <xdr:pic>
      <xdr:nvPicPr>
        <xdr:cNvPr id="6" name="Image 7" descr="Picture"/>
        <xdr:cNvPicPr/>
      </xdr:nvPicPr>
      <xdr:blipFill>
        <a:blip r:embed="rId7"/>
        <a:stretch/>
      </xdr:blipFill>
      <xdr:spPr>
        <a:xfrm>
          <a:off x="0" y="5600880"/>
          <a:ext cx="856800" cy="418680"/>
        </a:xfrm>
        <a:prstGeom prst="rect">
          <a:avLst/>
        </a:prstGeom>
        <a:ln w="0">
          <a:noFill/>
        </a:ln>
      </xdr:spPr>
    </xdr:pic>
    <xdr:clientData/>
  </xdr:twoCellAnchor>
  <xdr:twoCellAnchor editAs="oneCell">
    <xdr:from>
      <xdr:col>0</xdr:col>
      <xdr:colOff>0</xdr:colOff>
      <xdr:row>12</xdr:row>
      <xdr:rowOff>489960</xdr:rowOff>
    </xdr:from>
    <xdr:to>
      <xdr:col>0</xdr:col>
      <xdr:colOff>657000</xdr:colOff>
      <xdr:row>13</xdr:row>
      <xdr:rowOff>442080</xdr:rowOff>
    </xdr:to>
    <xdr:pic>
      <xdr:nvPicPr>
        <xdr:cNvPr id="7" name="Image 8" descr="Picture"/>
        <xdr:cNvPicPr/>
      </xdr:nvPicPr>
      <xdr:blipFill>
        <a:blip r:embed="rId8"/>
        <a:stretch/>
      </xdr:blipFill>
      <xdr:spPr>
        <a:xfrm>
          <a:off x="0" y="6181560"/>
          <a:ext cx="657000" cy="533160"/>
        </a:xfrm>
        <a:prstGeom prst="rect">
          <a:avLst/>
        </a:prstGeom>
        <a:ln w="0">
          <a:noFill/>
        </a:ln>
      </xdr:spPr>
    </xdr:pic>
    <xdr:clientData/>
  </xdr:twoCellAnchor>
  <xdr:twoCellAnchor editAs="oneCell">
    <xdr:from>
      <xdr:col>0</xdr:col>
      <xdr:colOff>0</xdr:colOff>
      <xdr:row>13</xdr:row>
      <xdr:rowOff>489960</xdr:rowOff>
    </xdr:from>
    <xdr:to>
      <xdr:col>0</xdr:col>
      <xdr:colOff>780840</xdr:colOff>
      <xdr:row>14</xdr:row>
      <xdr:rowOff>442080</xdr:rowOff>
    </xdr:to>
    <xdr:pic>
      <xdr:nvPicPr>
        <xdr:cNvPr id="8" name="Image 9" descr="Picture"/>
        <xdr:cNvPicPr/>
      </xdr:nvPicPr>
      <xdr:blipFill>
        <a:blip r:embed="rId9"/>
        <a:stretch/>
      </xdr:blipFill>
      <xdr:spPr>
        <a:xfrm>
          <a:off x="0" y="6762600"/>
          <a:ext cx="780840" cy="533160"/>
        </a:xfrm>
        <a:prstGeom prst="rect">
          <a:avLst/>
        </a:prstGeom>
        <a:ln w="0">
          <a:noFill/>
        </a:ln>
      </xdr:spPr>
    </xdr:pic>
    <xdr:clientData/>
  </xdr:twoCellAnchor>
  <xdr:twoCellAnchor editAs="oneCell">
    <xdr:from>
      <xdr:col>0</xdr:col>
      <xdr:colOff>0</xdr:colOff>
      <xdr:row>14</xdr:row>
      <xdr:rowOff>489960</xdr:rowOff>
    </xdr:from>
    <xdr:to>
      <xdr:col>0</xdr:col>
      <xdr:colOff>742680</xdr:colOff>
      <xdr:row>15</xdr:row>
      <xdr:rowOff>442080</xdr:rowOff>
    </xdr:to>
    <xdr:pic>
      <xdr:nvPicPr>
        <xdr:cNvPr id="9" name="Image 10" descr="Picture"/>
        <xdr:cNvPicPr/>
      </xdr:nvPicPr>
      <xdr:blipFill>
        <a:blip r:embed="rId10"/>
        <a:stretch/>
      </xdr:blipFill>
      <xdr:spPr>
        <a:xfrm>
          <a:off x="0" y="7343640"/>
          <a:ext cx="742680" cy="533160"/>
        </a:xfrm>
        <a:prstGeom prst="rect">
          <a:avLst/>
        </a:prstGeom>
        <a:ln w="0">
          <a:noFill/>
        </a:ln>
      </xdr:spPr>
    </xdr:pic>
    <xdr:clientData/>
  </xdr:twoCellAnchor>
  <xdr:twoCellAnchor editAs="oneCell">
    <xdr:from>
      <xdr:col>0</xdr:col>
      <xdr:colOff>0</xdr:colOff>
      <xdr:row>15</xdr:row>
      <xdr:rowOff>489960</xdr:rowOff>
    </xdr:from>
    <xdr:to>
      <xdr:col>0</xdr:col>
      <xdr:colOff>676080</xdr:colOff>
      <xdr:row>16</xdr:row>
      <xdr:rowOff>442080</xdr:rowOff>
    </xdr:to>
    <xdr:pic>
      <xdr:nvPicPr>
        <xdr:cNvPr id="10" name="Image 11" descr="Picture"/>
        <xdr:cNvPicPr/>
      </xdr:nvPicPr>
      <xdr:blipFill>
        <a:blip r:embed="rId11"/>
        <a:stretch/>
      </xdr:blipFill>
      <xdr:spPr>
        <a:xfrm>
          <a:off x="0" y="7924680"/>
          <a:ext cx="676080" cy="533160"/>
        </a:xfrm>
        <a:prstGeom prst="rect">
          <a:avLst/>
        </a:prstGeom>
        <a:ln w="0">
          <a:noFill/>
        </a:ln>
      </xdr:spPr>
    </xdr:pic>
    <xdr:clientData/>
  </xdr:twoCellAnchor>
  <xdr:twoCellAnchor editAs="oneCell">
    <xdr:from>
      <xdr:col>0</xdr:col>
      <xdr:colOff>0</xdr:colOff>
      <xdr:row>17</xdr:row>
      <xdr:rowOff>489960</xdr:rowOff>
    </xdr:from>
    <xdr:to>
      <xdr:col>0</xdr:col>
      <xdr:colOff>856800</xdr:colOff>
      <xdr:row>18</xdr:row>
      <xdr:rowOff>413640</xdr:rowOff>
    </xdr:to>
    <xdr:pic>
      <xdr:nvPicPr>
        <xdr:cNvPr id="11" name="Image 12" descr="Picture"/>
        <xdr:cNvPicPr/>
      </xdr:nvPicPr>
      <xdr:blipFill>
        <a:blip r:embed="rId12"/>
        <a:stretch/>
      </xdr:blipFill>
      <xdr:spPr>
        <a:xfrm>
          <a:off x="0" y="9086760"/>
          <a:ext cx="856800" cy="504360"/>
        </a:xfrm>
        <a:prstGeom prst="rect">
          <a:avLst/>
        </a:prstGeom>
        <a:ln w="0">
          <a:noFill/>
        </a:ln>
      </xdr:spPr>
    </xdr:pic>
    <xdr:clientData/>
  </xdr:twoCellAnchor>
  <xdr:twoCellAnchor editAs="oneCell">
    <xdr:from>
      <xdr:col>0</xdr:col>
      <xdr:colOff>0</xdr:colOff>
      <xdr:row>18</xdr:row>
      <xdr:rowOff>490320</xdr:rowOff>
    </xdr:from>
    <xdr:to>
      <xdr:col>0</xdr:col>
      <xdr:colOff>732960</xdr:colOff>
      <xdr:row>19</xdr:row>
      <xdr:rowOff>442440</xdr:rowOff>
    </xdr:to>
    <xdr:pic>
      <xdr:nvPicPr>
        <xdr:cNvPr id="12" name="Image 13" descr="Picture"/>
        <xdr:cNvPicPr/>
      </xdr:nvPicPr>
      <xdr:blipFill>
        <a:blip r:embed="rId13"/>
        <a:stretch/>
      </xdr:blipFill>
      <xdr:spPr>
        <a:xfrm>
          <a:off x="0" y="9667800"/>
          <a:ext cx="732960" cy="533160"/>
        </a:xfrm>
        <a:prstGeom prst="rect">
          <a:avLst/>
        </a:prstGeom>
        <a:ln w="0">
          <a:noFill/>
        </a:ln>
      </xdr:spPr>
    </xdr:pic>
    <xdr:clientData/>
  </xdr:twoCellAnchor>
  <xdr:twoCellAnchor editAs="oneCell">
    <xdr:from>
      <xdr:col>0</xdr:col>
      <xdr:colOff>0</xdr:colOff>
      <xdr:row>19</xdr:row>
      <xdr:rowOff>490320</xdr:rowOff>
    </xdr:from>
    <xdr:to>
      <xdr:col>0</xdr:col>
      <xdr:colOff>523440</xdr:colOff>
      <xdr:row>20</xdr:row>
      <xdr:rowOff>442440</xdr:rowOff>
    </xdr:to>
    <xdr:pic>
      <xdr:nvPicPr>
        <xdr:cNvPr id="13" name="Image 14" descr="Picture"/>
        <xdr:cNvPicPr/>
      </xdr:nvPicPr>
      <xdr:blipFill>
        <a:blip r:embed="rId14"/>
        <a:stretch/>
      </xdr:blipFill>
      <xdr:spPr>
        <a:xfrm>
          <a:off x="0" y="10248840"/>
          <a:ext cx="523440" cy="533160"/>
        </a:xfrm>
        <a:prstGeom prst="rect">
          <a:avLst/>
        </a:prstGeom>
        <a:ln w="0">
          <a:noFill/>
        </a:ln>
      </xdr:spPr>
    </xdr:pic>
    <xdr:clientData/>
  </xdr:twoCellAnchor>
  <xdr:twoCellAnchor editAs="oneCell">
    <xdr:from>
      <xdr:col>0</xdr:col>
      <xdr:colOff>0</xdr:colOff>
      <xdr:row>20</xdr:row>
      <xdr:rowOff>490320</xdr:rowOff>
    </xdr:from>
    <xdr:to>
      <xdr:col>0</xdr:col>
      <xdr:colOff>266400</xdr:colOff>
      <xdr:row>21</xdr:row>
      <xdr:rowOff>442440</xdr:rowOff>
    </xdr:to>
    <xdr:pic>
      <xdr:nvPicPr>
        <xdr:cNvPr id="14" name="Image 15" descr="Picture"/>
        <xdr:cNvPicPr/>
      </xdr:nvPicPr>
      <xdr:blipFill>
        <a:blip r:embed="rId15"/>
        <a:stretch/>
      </xdr:blipFill>
      <xdr:spPr>
        <a:xfrm>
          <a:off x="0" y="10829880"/>
          <a:ext cx="266400" cy="533160"/>
        </a:xfrm>
        <a:prstGeom prst="rect">
          <a:avLst/>
        </a:prstGeom>
        <a:ln w="0">
          <a:noFill/>
        </a:ln>
      </xdr:spPr>
    </xdr:pic>
    <xdr:clientData/>
  </xdr:twoCellAnchor>
  <xdr:twoCellAnchor editAs="oneCell">
    <xdr:from>
      <xdr:col>0</xdr:col>
      <xdr:colOff>0</xdr:colOff>
      <xdr:row>23</xdr:row>
      <xdr:rowOff>490320</xdr:rowOff>
    </xdr:from>
    <xdr:to>
      <xdr:col>0</xdr:col>
      <xdr:colOff>533160</xdr:colOff>
      <xdr:row>24</xdr:row>
      <xdr:rowOff>442440</xdr:rowOff>
    </xdr:to>
    <xdr:pic>
      <xdr:nvPicPr>
        <xdr:cNvPr id="15" name="Image 16" descr="Picture"/>
        <xdr:cNvPicPr/>
      </xdr:nvPicPr>
      <xdr:blipFill>
        <a:blip r:embed="rId16"/>
        <a:stretch/>
      </xdr:blipFill>
      <xdr:spPr>
        <a:xfrm>
          <a:off x="0" y="12573000"/>
          <a:ext cx="533160" cy="533160"/>
        </a:xfrm>
        <a:prstGeom prst="rect">
          <a:avLst/>
        </a:prstGeom>
        <a:ln w="0">
          <a:noFill/>
        </a:ln>
      </xdr:spPr>
    </xdr:pic>
    <xdr:clientData/>
  </xdr:twoCellAnchor>
  <xdr:twoCellAnchor editAs="oneCell">
    <xdr:from>
      <xdr:col>0</xdr:col>
      <xdr:colOff>0</xdr:colOff>
      <xdr:row>24</xdr:row>
      <xdr:rowOff>490320</xdr:rowOff>
    </xdr:from>
    <xdr:to>
      <xdr:col>0</xdr:col>
      <xdr:colOff>533160</xdr:colOff>
      <xdr:row>25</xdr:row>
      <xdr:rowOff>442440</xdr:rowOff>
    </xdr:to>
    <xdr:pic>
      <xdr:nvPicPr>
        <xdr:cNvPr id="16" name="Image 17" descr="Picture"/>
        <xdr:cNvPicPr/>
      </xdr:nvPicPr>
      <xdr:blipFill>
        <a:blip r:embed="rId17"/>
        <a:stretch/>
      </xdr:blipFill>
      <xdr:spPr>
        <a:xfrm>
          <a:off x="0" y="13154040"/>
          <a:ext cx="533160" cy="533160"/>
        </a:xfrm>
        <a:prstGeom prst="rect">
          <a:avLst/>
        </a:prstGeom>
        <a:ln w="0">
          <a:noFill/>
        </a:ln>
      </xdr:spPr>
    </xdr:pic>
    <xdr:clientData/>
  </xdr:twoCellAnchor>
  <xdr:twoCellAnchor editAs="oneCell">
    <xdr:from>
      <xdr:col>0</xdr:col>
      <xdr:colOff>0</xdr:colOff>
      <xdr:row>25</xdr:row>
      <xdr:rowOff>490320</xdr:rowOff>
    </xdr:from>
    <xdr:to>
      <xdr:col>0</xdr:col>
      <xdr:colOff>571320</xdr:colOff>
      <xdr:row>26</xdr:row>
      <xdr:rowOff>442440</xdr:rowOff>
    </xdr:to>
    <xdr:pic>
      <xdr:nvPicPr>
        <xdr:cNvPr id="17" name="Image 18" descr="Picture"/>
        <xdr:cNvPicPr/>
      </xdr:nvPicPr>
      <xdr:blipFill>
        <a:blip r:embed="rId18"/>
        <a:stretch/>
      </xdr:blipFill>
      <xdr:spPr>
        <a:xfrm>
          <a:off x="0" y="13735080"/>
          <a:ext cx="571320" cy="533160"/>
        </a:xfrm>
        <a:prstGeom prst="rect">
          <a:avLst/>
        </a:prstGeom>
        <a:ln w="0">
          <a:noFill/>
        </a:ln>
      </xdr:spPr>
    </xdr:pic>
    <xdr:clientData/>
  </xdr:twoCellAnchor>
  <xdr:twoCellAnchor editAs="oneCell">
    <xdr:from>
      <xdr:col>0</xdr:col>
      <xdr:colOff>0</xdr:colOff>
      <xdr:row>26</xdr:row>
      <xdr:rowOff>490320</xdr:rowOff>
    </xdr:from>
    <xdr:to>
      <xdr:col>0</xdr:col>
      <xdr:colOff>504360</xdr:colOff>
      <xdr:row>27</xdr:row>
      <xdr:rowOff>442440</xdr:rowOff>
    </xdr:to>
    <xdr:pic>
      <xdr:nvPicPr>
        <xdr:cNvPr id="18" name="Image 19" descr="Picture"/>
        <xdr:cNvPicPr/>
      </xdr:nvPicPr>
      <xdr:blipFill>
        <a:blip r:embed="rId19"/>
        <a:stretch/>
      </xdr:blipFill>
      <xdr:spPr>
        <a:xfrm>
          <a:off x="0" y="14316120"/>
          <a:ext cx="504360" cy="533160"/>
        </a:xfrm>
        <a:prstGeom prst="rect">
          <a:avLst/>
        </a:prstGeom>
        <a:ln w="0">
          <a:noFill/>
        </a:ln>
      </xdr:spPr>
    </xdr:pic>
    <xdr:clientData/>
  </xdr:twoCellAnchor>
  <xdr:twoCellAnchor editAs="oneCell">
    <xdr:from>
      <xdr:col>0</xdr:col>
      <xdr:colOff>0</xdr:colOff>
      <xdr:row>27</xdr:row>
      <xdr:rowOff>490320</xdr:rowOff>
    </xdr:from>
    <xdr:to>
      <xdr:col>0</xdr:col>
      <xdr:colOff>856800</xdr:colOff>
      <xdr:row>28</xdr:row>
      <xdr:rowOff>156600</xdr:rowOff>
    </xdr:to>
    <xdr:pic>
      <xdr:nvPicPr>
        <xdr:cNvPr id="19" name="Image 20" descr="Picture"/>
        <xdr:cNvPicPr/>
      </xdr:nvPicPr>
      <xdr:blipFill>
        <a:blip r:embed="rId20"/>
        <a:stretch/>
      </xdr:blipFill>
      <xdr:spPr>
        <a:xfrm>
          <a:off x="0" y="14897160"/>
          <a:ext cx="856800" cy="247320"/>
        </a:xfrm>
        <a:prstGeom prst="rect">
          <a:avLst/>
        </a:prstGeom>
        <a:ln w="0">
          <a:noFill/>
        </a:ln>
      </xdr:spPr>
    </xdr:pic>
    <xdr:clientData/>
  </xdr:twoCellAnchor>
  <xdr:twoCellAnchor editAs="oneCell">
    <xdr:from>
      <xdr:col>0</xdr:col>
      <xdr:colOff>0</xdr:colOff>
      <xdr:row>28</xdr:row>
      <xdr:rowOff>490320</xdr:rowOff>
    </xdr:from>
    <xdr:to>
      <xdr:col>0</xdr:col>
      <xdr:colOff>856800</xdr:colOff>
      <xdr:row>29</xdr:row>
      <xdr:rowOff>99360</xdr:rowOff>
    </xdr:to>
    <xdr:pic>
      <xdr:nvPicPr>
        <xdr:cNvPr id="20" name="Image 21" descr="Picture"/>
        <xdr:cNvPicPr/>
      </xdr:nvPicPr>
      <xdr:blipFill>
        <a:blip r:embed="rId21"/>
        <a:stretch/>
      </xdr:blipFill>
      <xdr:spPr>
        <a:xfrm>
          <a:off x="0" y="15478200"/>
          <a:ext cx="856800" cy="190080"/>
        </a:xfrm>
        <a:prstGeom prst="rect">
          <a:avLst/>
        </a:prstGeom>
        <a:ln w="0">
          <a:noFill/>
        </a:ln>
      </xdr:spPr>
    </xdr:pic>
    <xdr:clientData/>
  </xdr:twoCellAnchor>
  <xdr:twoCellAnchor editAs="oneCell">
    <xdr:from>
      <xdr:col>0</xdr:col>
      <xdr:colOff>0</xdr:colOff>
      <xdr:row>29</xdr:row>
      <xdr:rowOff>490320</xdr:rowOff>
    </xdr:from>
    <xdr:to>
      <xdr:col>0</xdr:col>
      <xdr:colOff>533160</xdr:colOff>
      <xdr:row>30</xdr:row>
      <xdr:rowOff>442440</xdr:rowOff>
    </xdr:to>
    <xdr:pic>
      <xdr:nvPicPr>
        <xdr:cNvPr id="21" name="Image 22" descr="Picture"/>
        <xdr:cNvPicPr/>
      </xdr:nvPicPr>
      <xdr:blipFill>
        <a:blip r:embed="rId22"/>
        <a:stretch/>
      </xdr:blipFill>
      <xdr:spPr>
        <a:xfrm>
          <a:off x="0" y="16059240"/>
          <a:ext cx="533160" cy="533160"/>
        </a:xfrm>
        <a:prstGeom prst="rect">
          <a:avLst/>
        </a:prstGeom>
        <a:ln w="0">
          <a:noFill/>
        </a:ln>
      </xdr:spPr>
    </xdr:pic>
    <xdr:clientData/>
  </xdr:twoCellAnchor>
  <xdr:twoCellAnchor editAs="oneCell">
    <xdr:from>
      <xdr:col>0</xdr:col>
      <xdr:colOff>0</xdr:colOff>
      <xdr:row>30</xdr:row>
      <xdr:rowOff>490320</xdr:rowOff>
    </xdr:from>
    <xdr:to>
      <xdr:col>0</xdr:col>
      <xdr:colOff>533160</xdr:colOff>
      <xdr:row>31</xdr:row>
      <xdr:rowOff>442440</xdr:rowOff>
    </xdr:to>
    <xdr:pic>
      <xdr:nvPicPr>
        <xdr:cNvPr id="22" name="Image 23" descr="Picture"/>
        <xdr:cNvPicPr/>
      </xdr:nvPicPr>
      <xdr:blipFill>
        <a:blip r:embed="rId23"/>
        <a:stretch/>
      </xdr:blipFill>
      <xdr:spPr>
        <a:xfrm>
          <a:off x="0" y="16640280"/>
          <a:ext cx="533160" cy="533160"/>
        </a:xfrm>
        <a:prstGeom prst="rect">
          <a:avLst/>
        </a:prstGeom>
        <a:ln w="0">
          <a:noFill/>
        </a:ln>
      </xdr:spPr>
    </xdr:pic>
    <xdr:clientData/>
  </xdr:twoCellAnchor>
  <xdr:twoCellAnchor editAs="oneCell">
    <xdr:from>
      <xdr:col>0</xdr:col>
      <xdr:colOff>0</xdr:colOff>
      <xdr:row>31</xdr:row>
      <xdr:rowOff>490320</xdr:rowOff>
    </xdr:from>
    <xdr:to>
      <xdr:col>0</xdr:col>
      <xdr:colOff>523440</xdr:colOff>
      <xdr:row>32</xdr:row>
      <xdr:rowOff>442440</xdr:rowOff>
    </xdr:to>
    <xdr:pic>
      <xdr:nvPicPr>
        <xdr:cNvPr id="23" name="Image 24" descr="Picture"/>
        <xdr:cNvPicPr/>
      </xdr:nvPicPr>
      <xdr:blipFill>
        <a:blip r:embed="rId24"/>
        <a:stretch/>
      </xdr:blipFill>
      <xdr:spPr>
        <a:xfrm>
          <a:off x="0" y="17221320"/>
          <a:ext cx="523440" cy="533160"/>
        </a:xfrm>
        <a:prstGeom prst="rect">
          <a:avLst/>
        </a:prstGeom>
        <a:ln w="0">
          <a:noFill/>
        </a:ln>
      </xdr:spPr>
    </xdr:pic>
    <xdr:clientData/>
  </xdr:twoCellAnchor>
  <xdr:twoCellAnchor editAs="oneCell">
    <xdr:from>
      <xdr:col>0</xdr:col>
      <xdr:colOff>0</xdr:colOff>
      <xdr:row>32</xdr:row>
      <xdr:rowOff>490320</xdr:rowOff>
    </xdr:from>
    <xdr:to>
      <xdr:col>0</xdr:col>
      <xdr:colOff>523440</xdr:colOff>
      <xdr:row>33</xdr:row>
      <xdr:rowOff>442440</xdr:rowOff>
    </xdr:to>
    <xdr:pic>
      <xdr:nvPicPr>
        <xdr:cNvPr id="24" name="Image 25" descr="Picture"/>
        <xdr:cNvPicPr/>
      </xdr:nvPicPr>
      <xdr:blipFill>
        <a:blip r:embed="rId25"/>
        <a:stretch/>
      </xdr:blipFill>
      <xdr:spPr>
        <a:xfrm>
          <a:off x="0" y="17802360"/>
          <a:ext cx="523440" cy="533160"/>
        </a:xfrm>
        <a:prstGeom prst="rect">
          <a:avLst/>
        </a:prstGeom>
        <a:ln w="0">
          <a:noFill/>
        </a:ln>
      </xdr:spPr>
    </xdr:pic>
    <xdr:clientData/>
  </xdr:twoCellAnchor>
  <xdr:twoCellAnchor editAs="oneCell">
    <xdr:from>
      <xdr:col>0</xdr:col>
      <xdr:colOff>0</xdr:colOff>
      <xdr:row>33</xdr:row>
      <xdr:rowOff>490320</xdr:rowOff>
    </xdr:from>
    <xdr:to>
      <xdr:col>0</xdr:col>
      <xdr:colOff>533160</xdr:colOff>
      <xdr:row>34</xdr:row>
      <xdr:rowOff>442440</xdr:rowOff>
    </xdr:to>
    <xdr:pic>
      <xdr:nvPicPr>
        <xdr:cNvPr id="25" name="Image 26" descr="Picture"/>
        <xdr:cNvPicPr/>
      </xdr:nvPicPr>
      <xdr:blipFill>
        <a:blip r:embed="rId26"/>
        <a:stretch/>
      </xdr:blipFill>
      <xdr:spPr>
        <a:xfrm>
          <a:off x="0" y="18383400"/>
          <a:ext cx="533160" cy="533160"/>
        </a:xfrm>
        <a:prstGeom prst="rect">
          <a:avLst/>
        </a:prstGeom>
        <a:ln w="0">
          <a:noFill/>
        </a:ln>
      </xdr:spPr>
    </xdr:pic>
    <xdr:clientData/>
  </xdr:twoCellAnchor>
  <xdr:twoCellAnchor editAs="oneCell">
    <xdr:from>
      <xdr:col>0</xdr:col>
      <xdr:colOff>0</xdr:colOff>
      <xdr:row>34</xdr:row>
      <xdr:rowOff>490320</xdr:rowOff>
    </xdr:from>
    <xdr:to>
      <xdr:col>0</xdr:col>
      <xdr:colOff>542520</xdr:colOff>
      <xdr:row>35</xdr:row>
      <xdr:rowOff>442440</xdr:rowOff>
    </xdr:to>
    <xdr:pic>
      <xdr:nvPicPr>
        <xdr:cNvPr id="26" name="Image 27" descr="Picture"/>
        <xdr:cNvPicPr/>
      </xdr:nvPicPr>
      <xdr:blipFill>
        <a:blip r:embed="rId27"/>
        <a:stretch/>
      </xdr:blipFill>
      <xdr:spPr>
        <a:xfrm>
          <a:off x="0" y="18964440"/>
          <a:ext cx="542520" cy="533160"/>
        </a:xfrm>
        <a:prstGeom prst="rect">
          <a:avLst/>
        </a:prstGeom>
        <a:ln w="0">
          <a:noFill/>
        </a:ln>
      </xdr:spPr>
    </xdr:pic>
    <xdr:clientData/>
  </xdr:twoCellAnchor>
  <xdr:twoCellAnchor editAs="oneCell">
    <xdr:from>
      <xdr:col>0</xdr:col>
      <xdr:colOff>0</xdr:colOff>
      <xdr:row>35</xdr:row>
      <xdr:rowOff>490320</xdr:rowOff>
    </xdr:from>
    <xdr:to>
      <xdr:col>0</xdr:col>
      <xdr:colOff>514080</xdr:colOff>
      <xdr:row>36</xdr:row>
      <xdr:rowOff>442440</xdr:rowOff>
    </xdr:to>
    <xdr:pic>
      <xdr:nvPicPr>
        <xdr:cNvPr id="27" name="Image 28" descr="Picture"/>
        <xdr:cNvPicPr/>
      </xdr:nvPicPr>
      <xdr:blipFill>
        <a:blip r:embed="rId28"/>
        <a:stretch/>
      </xdr:blipFill>
      <xdr:spPr>
        <a:xfrm>
          <a:off x="0" y="19545480"/>
          <a:ext cx="514080" cy="533160"/>
        </a:xfrm>
        <a:prstGeom prst="rect">
          <a:avLst/>
        </a:prstGeom>
        <a:ln w="0">
          <a:noFill/>
        </a:ln>
      </xdr:spPr>
    </xdr:pic>
    <xdr:clientData/>
  </xdr:twoCellAnchor>
  <xdr:twoCellAnchor editAs="oneCell">
    <xdr:from>
      <xdr:col>0</xdr:col>
      <xdr:colOff>0</xdr:colOff>
      <xdr:row>36</xdr:row>
      <xdr:rowOff>489960</xdr:rowOff>
    </xdr:from>
    <xdr:to>
      <xdr:col>0</xdr:col>
      <xdr:colOff>533160</xdr:colOff>
      <xdr:row>37</xdr:row>
      <xdr:rowOff>442080</xdr:rowOff>
    </xdr:to>
    <xdr:pic>
      <xdr:nvPicPr>
        <xdr:cNvPr id="28" name="Image 29" descr="Picture"/>
        <xdr:cNvPicPr/>
      </xdr:nvPicPr>
      <xdr:blipFill>
        <a:blip r:embed="rId29"/>
        <a:stretch/>
      </xdr:blipFill>
      <xdr:spPr>
        <a:xfrm>
          <a:off x="0" y="20126160"/>
          <a:ext cx="533160" cy="533160"/>
        </a:xfrm>
        <a:prstGeom prst="rect">
          <a:avLst/>
        </a:prstGeom>
        <a:ln w="0">
          <a:noFill/>
        </a:ln>
      </xdr:spPr>
    </xdr:pic>
    <xdr:clientData/>
  </xdr:twoCellAnchor>
  <xdr:twoCellAnchor editAs="oneCell">
    <xdr:from>
      <xdr:col>0</xdr:col>
      <xdr:colOff>0</xdr:colOff>
      <xdr:row>37</xdr:row>
      <xdr:rowOff>489960</xdr:rowOff>
    </xdr:from>
    <xdr:to>
      <xdr:col>0</xdr:col>
      <xdr:colOff>523440</xdr:colOff>
      <xdr:row>38</xdr:row>
      <xdr:rowOff>442080</xdr:rowOff>
    </xdr:to>
    <xdr:pic>
      <xdr:nvPicPr>
        <xdr:cNvPr id="29" name="Image 30" descr="Picture"/>
        <xdr:cNvPicPr/>
      </xdr:nvPicPr>
      <xdr:blipFill>
        <a:blip r:embed="rId30"/>
        <a:stretch/>
      </xdr:blipFill>
      <xdr:spPr>
        <a:xfrm>
          <a:off x="0" y="20707200"/>
          <a:ext cx="523440" cy="533160"/>
        </a:xfrm>
        <a:prstGeom prst="rect">
          <a:avLst/>
        </a:prstGeom>
        <a:ln w="0">
          <a:noFill/>
        </a:ln>
      </xdr:spPr>
    </xdr:pic>
    <xdr:clientData/>
  </xdr:twoCellAnchor>
  <xdr:twoCellAnchor editAs="oneCell">
    <xdr:from>
      <xdr:col>0</xdr:col>
      <xdr:colOff>0</xdr:colOff>
      <xdr:row>38</xdr:row>
      <xdr:rowOff>489960</xdr:rowOff>
    </xdr:from>
    <xdr:to>
      <xdr:col>0</xdr:col>
      <xdr:colOff>523440</xdr:colOff>
      <xdr:row>39</xdr:row>
      <xdr:rowOff>442080</xdr:rowOff>
    </xdr:to>
    <xdr:pic>
      <xdr:nvPicPr>
        <xdr:cNvPr id="30" name="Image 31" descr="Picture"/>
        <xdr:cNvPicPr/>
      </xdr:nvPicPr>
      <xdr:blipFill>
        <a:blip r:embed="rId31"/>
        <a:stretch/>
      </xdr:blipFill>
      <xdr:spPr>
        <a:xfrm>
          <a:off x="0" y="21288240"/>
          <a:ext cx="523440" cy="533160"/>
        </a:xfrm>
        <a:prstGeom prst="rect">
          <a:avLst/>
        </a:prstGeom>
        <a:ln w="0">
          <a:noFill/>
        </a:ln>
      </xdr:spPr>
    </xdr:pic>
    <xdr:clientData/>
  </xdr:twoCellAnchor>
  <xdr:twoCellAnchor editAs="oneCell">
    <xdr:from>
      <xdr:col>0</xdr:col>
      <xdr:colOff>0</xdr:colOff>
      <xdr:row>39</xdr:row>
      <xdr:rowOff>489960</xdr:rowOff>
    </xdr:from>
    <xdr:to>
      <xdr:col>0</xdr:col>
      <xdr:colOff>523440</xdr:colOff>
      <xdr:row>40</xdr:row>
      <xdr:rowOff>442080</xdr:rowOff>
    </xdr:to>
    <xdr:pic>
      <xdr:nvPicPr>
        <xdr:cNvPr id="31" name="Image 32" descr="Picture"/>
        <xdr:cNvPicPr/>
      </xdr:nvPicPr>
      <xdr:blipFill>
        <a:blip r:embed="rId32"/>
        <a:stretch/>
      </xdr:blipFill>
      <xdr:spPr>
        <a:xfrm>
          <a:off x="0" y="21869280"/>
          <a:ext cx="523440" cy="533160"/>
        </a:xfrm>
        <a:prstGeom prst="rect">
          <a:avLst/>
        </a:prstGeom>
        <a:ln w="0">
          <a:noFill/>
        </a:ln>
      </xdr:spPr>
    </xdr:pic>
    <xdr:clientData/>
  </xdr:twoCellAnchor>
  <xdr:twoCellAnchor editAs="oneCell">
    <xdr:from>
      <xdr:col>0</xdr:col>
      <xdr:colOff>0</xdr:colOff>
      <xdr:row>40</xdr:row>
      <xdr:rowOff>489960</xdr:rowOff>
    </xdr:from>
    <xdr:to>
      <xdr:col>0</xdr:col>
      <xdr:colOff>514080</xdr:colOff>
      <xdr:row>41</xdr:row>
      <xdr:rowOff>442080</xdr:rowOff>
    </xdr:to>
    <xdr:pic>
      <xdr:nvPicPr>
        <xdr:cNvPr id="32" name="Image 33" descr="Picture"/>
        <xdr:cNvPicPr/>
      </xdr:nvPicPr>
      <xdr:blipFill>
        <a:blip r:embed="rId33"/>
        <a:stretch/>
      </xdr:blipFill>
      <xdr:spPr>
        <a:xfrm>
          <a:off x="0" y="22450320"/>
          <a:ext cx="514080" cy="533160"/>
        </a:xfrm>
        <a:prstGeom prst="rect">
          <a:avLst/>
        </a:prstGeom>
        <a:ln w="0">
          <a:noFill/>
        </a:ln>
      </xdr:spPr>
    </xdr:pic>
    <xdr:clientData/>
  </xdr:twoCellAnchor>
  <xdr:twoCellAnchor editAs="oneCell">
    <xdr:from>
      <xdr:col>0</xdr:col>
      <xdr:colOff>0</xdr:colOff>
      <xdr:row>41</xdr:row>
      <xdr:rowOff>489960</xdr:rowOff>
    </xdr:from>
    <xdr:to>
      <xdr:col>0</xdr:col>
      <xdr:colOff>533160</xdr:colOff>
      <xdr:row>42</xdr:row>
      <xdr:rowOff>442440</xdr:rowOff>
    </xdr:to>
    <xdr:pic>
      <xdr:nvPicPr>
        <xdr:cNvPr id="33" name="Image 34" descr="Picture"/>
        <xdr:cNvPicPr/>
      </xdr:nvPicPr>
      <xdr:blipFill>
        <a:blip r:embed="rId34"/>
        <a:stretch/>
      </xdr:blipFill>
      <xdr:spPr>
        <a:xfrm>
          <a:off x="0" y="23031360"/>
          <a:ext cx="533160" cy="533160"/>
        </a:xfrm>
        <a:prstGeom prst="rect">
          <a:avLst/>
        </a:prstGeom>
        <a:ln w="0">
          <a:noFill/>
        </a:ln>
      </xdr:spPr>
    </xdr:pic>
    <xdr:clientData/>
  </xdr:twoCellAnchor>
  <xdr:twoCellAnchor editAs="oneCell">
    <xdr:from>
      <xdr:col>0</xdr:col>
      <xdr:colOff>0</xdr:colOff>
      <xdr:row>42</xdr:row>
      <xdr:rowOff>490320</xdr:rowOff>
    </xdr:from>
    <xdr:to>
      <xdr:col>0</xdr:col>
      <xdr:colOff>523440</xdr:colOff>
      <xdr:row>43</xdr:row>
      <xdr:rowOff>442440</xdr:rowOff>
    </xdr:to>
    <xdr:pic>
      <xdr:nvPicPr>
        <xdr:cNvPr id="34" name="Image 35" descr="Picture"/>
        <xdr:cNvPicPr/>
      </xdr:nvPicPr>
      <xdr:blipFill>
        <a:blip r:embed="rId35"/>
        <a:stretch/>
      </xdr:blipFill>
      <xdr:spPr>
        <a:xfrm>
          <a:off x="0" y="23612400"/>
          <a:ext cx="523440" cy="533160"/>
        </a:xfrm>
        <a:prstGeom prst="rect">
          <a:avLst/>
        </a:prstGeom>
        <a:ln w="0">
          <a:noFill/>
        </a:ln>
      </xdr:spPr>
    </xdr:pic>
    <xdr:clientData/>
  </xdr:twoCellAnchor>
  <xdr:twoCellAnchor editAs="oneCell">
    <xdr:from>
      <xdr:col>0</xdr:col>
      <xdr:colOff>0</xdr:colOff>
      <xdr:row>43</xdr:row>
      <xdr:rowOff>490320</xdr:rowOff>
    </xdr:from>
    <xdr:to>
      <xdr:col>0</xdr:col>
      <xdr:colOff>523440</xdr:colOff>
      <xdr:row>44</xdr:row>
      <xdr:rowOff>442440</xdr:rowOff>
    </xdr:to>
    <xdr:pic>
      <xdr:nvPicPr>
        <xdr:cNvPr id="35" name="Image 36" descr="Picture"/>
        <xdr:cNvPicPr/>
      </xdr:nvPicPr>
      <xdr:blipFill>
        <a:blip r:embed="rId36"/>
        <a:stretch/>
      </xdr:blipFill>
      <xdr:spPr>
        <a:xfrm>
          <a:off x="0" y="24193440"/>
          <a:ext cx="523440" cy="533160"/>
        </a:xfrm>
        <a:prstGeom prst="rect">
          <a:avLst/>
        </a:prstGeom>
        <a:ln w="0">
          <a:noFill/>
        </a:ln>
      </xdr:spPr>
    </xdr:pic>
    <xdr:clientData/>
  </xdr:twoCellAnchor>
  <xdr:twoCellAnchor editAs="oneCell">
    <xdr:from>
      <xdr:col>0</xdr:col>
      <xdr:colOff>0</xdr:colOff>
      <xdr:row>44</xdr:row>
      <xdr:rowOff>490320</xdr:rowOff>
    </xdr:from>
    <xdr:to>
      <xdr:col>0</xdr:col>
      <xdr:colOff>475920</xdr:colOff>
      <xdr:row>45</xdr:row>
      <xdr:rowOff>442440</xdr:rowOff>
    </xdr:to>
    <xdr:pic>
      <xdr:nvPicPr>
        <xdr:cNvPr id="36" name="Image 37" descr="Picture"/>
        <xdr:cNvPicPr/>
      </xdr:nvPicPr>
      <xdr:blipFill>
        <a:blip r:embed="rId37"/>
        <a:stretch/>
      </xdr:blipFill>
      <xdr:spPr>
        <a:xfrm>
          <a:off x="0" y="24774480"/>
          <a:ext cx="475920" cy="533160"/>
        </a:xfrm>
        <a:prstGeom prst="rect">
          <a:avLst/>
        </a:prstGeom>
        <a:ln w="0">
          <a:noFill/>
        </a:ln>
      </xdr:spPr>
    </xdr:pic>
    <xdr:clientData/>
  </xdr:twoCellAnchor>
  <xdr:twoCellAnchor editAs="oneCell">
    <xdr:from>
      <xdr:col>0</xdr:col>
      <xdr:colOff>0</xdr:colOff>
      <xdr:row>45</xdr:row>
      <xdr:rowOff>490320</xdr:rowOff>
    </xdr:from>
    <xdr:to>
      <xdr:col>0</xdr:col>
      <xdr:colOff>514080</xdr:colOff>
      <xdr:row>46</xdr:row>
      <xdr:rowOff>442440</xdr:rowOff>
    </xdr:to>
    <xdr:pic>
      <xdr:nvPicPr>
        <xdr:cNvPr id="37" name="Image 38" descr="Picture"/>
        <xdr:cNvPicPr/>
      </xdr:nvPicPr>
      <xdr:blipFill>
        <a:blip r:embed="rId38"/>
        <a:stretch/>
      </xdr:blipFill>
      <xdr:spPr>
        <a:xfrm>
          <a:off x="0" y="25355520"/>
          <a:ext cx="514080" cy="533160"/>
        </a:xfrm>
        <a:prstGeom prst="rect">
          <a:avLst/>
        </a:prstGeom>
        <a:ln w="0">
          <a:noFill/>
        </a:ln>
      </xdr:spPr>
    </xdr:pic>
    <xdr:clientData/>
  </xdr:twoCellAnchor>
  <xdr:twoCellAnchor editAs="oneCell">
    <xdr:from>
      <xdr:col>0</xdr:col>
      <xdr:colOff>0</xdr:colOff>
      <xdr:row>46</xdr:row>
      <xdr:rowOff>490320</xdr:rowOff>
    </xdr:from>
    <xdr:to>
      <xdr:col>0</xdr:col>
      <xdr:colOff>533160</xdr:colOff>
      <xdr:row>47</xdr:row>
      <xdr:rowOff>442440</xdr:rowOff>
    </xdr:to>
    <xdr:pic>
      <xdr:nvPicPr>
        <xdr:cNvPr id="38" name="Image 39" descr="Picture"/>
        <xdr:cNvPicPr/>
      </xdr:nvPicPr>
      <xdr:blipFill>
        <a:blip r:embed="rId39"/>
        <a:stretch/>
      </xdr:blipFill>
      <xdr:spPr>
        <a:xfrm>
          <a:off x="0" y="25936560"/>
          <a:ext cx="533160" cy="533160"/>
        </a:xfrm>
        <a:prstGeom prst="rect">
          <a:avLst/>
        </a:prstGeom>
        <a:ln w="0">
          <a:noFill/>
        </a:ln>
      </xdr:spPr>
    </xdr:pic>
    <xdr:clientData/>
  </xdr:twoCellAnchor>
  <xdr:twoCellAnchor editAs="oneCell">
    <xdr:from>
      <xdr:col>0</xdr:col>
      <xdr:colOff>0</xdr:colOff>
      <xdr:row>47</xdr:row>
      <xdr:rowOff>490320</xdr:rowOff>
    </xdr:from>
    <xdr:to>
      <xdr:col>0</xdr:col>
      <xdr:colOff>856800</xdr:colOff>
      <xdr:row>48</xdr:row>
      <xdr:rowOff>90000</xdr:rowOff>
    </xdr:to>
    <xdr:pic>
      <xdr:nvPicPr>
        <xdr:cNvPr id="39" name="Image 40" descr="Picture"/>
        <xdr:cNvPicPr/>
      </xdr:nvPicPr>
      <xdr:blipFill>
        <a:blip r:embed="rId40"/>
        <a:stretch/>
      </xdr:blipFill>
      <xdr:spPr>
        <a:xfrm>
          <a:off x="0" y="26517600"/>
          <a:ext cx="856800" cy="180720"/>
        </a:xfrm>
        <a:prstGeom prst="rect">
          <a:avLst/>
        </a:prstGeom>
        <a:ln w="0">
          <a:noFill/>
        </a:ln>
      </xdr:spPr>
    </xdr:pic>
    <xdr:clientData/>
  </xdr:twoCellAnchor>
  <xdr:twoCellAnchor editAs="oneCell">
    <xdr:from>
      <xdr:col>0</xdr:col>
      <xdr:colOff>0</xdr:colOff>
      <xdr:row>48</xdr:row>
      <xdr:rowOff>490320</xdr:rowOff>
    </xdr:from>
    <xdr:to>
      <xdr:col>0</xdr:col>
      <xdr:colOff>856800</xdr:colOff>
      <xdr:row>49</xdr:row>
      <xdr:rowOff>128160</xdr:rowOff>
    </xdr:to>
    <xdr:pic>
      <xdr:nvPicPr>
        <xdr:cNvPr id="40" name="Image 41" descr="Picture"/>
        <xdr:cNvPicPr/>
      </xdr:nvPicPr>
      <xdr:blipFill>
        <a:blip r:embed="rId41"/>
        <a:stretch/>
      </xdr:blipFill>
      <xdr:spPr>
        <a:xfrm>
          <a:off x="0" y="27098640"/>
          <a:ext cx="856800" cy="218880"/>
        </a:xfrm>
        <a:prstGeom prst="rect">
          <a:avLst/>
        </a:prstGeom>
        <a:ln w="0">
          <a:noFill/>
        </a:ln>
      </xdr:spPr>
    </xdr:pic>
    <xdr:clientData/>
  </xdr:twoCellAnchor>
  <xdr:twoCellAnchor editAs="oneCell">
    <xdr:from>
      <xdr:col>0</xdr:col>
      <xdr:colOff>0</xdr:colOff>
      <xdr:row>49</xdr:row>
      <xdr:rowOff>490320</xdr:rowOff>
    </xdr:from>
    <xdr:to>
      <xdr:col>0</xdr:col>
      <xdr:colOff>856800</xdr:colOff>
      <xdr:row>50</xdr:row>
      <xdr:rowOff>61200</xdr:rowOff>
    </xdr:to>
    <xdr:pic>
      <xdr:nvPicPr>
        <xdr:cNvPr id="41" name="Image 42" descr="Picture"/>
        <xdr:cNvPicPr/>
      </xdr:nvPicPr>
      <xdr:blipFill>
        <a:blip r:embed="rId42"/>
        <a:stretch/>
      </xdr:blipFill>
      <xdr:spPr>
        <a:xfrm>
          <a:off x="0" y="27679680"/>
          <a:ext cx="856800" cy="151920"/>
        </a:xfrm>
        <a:prstGeom prst="rect">
          <a:avLst/>
        </a:prstGeom>
        <a:ln w="0">
          <a:noFill/>
        </a:ln>
      </xdr:spPr>
    </xdr:pic>
    <xdr:clientData/>
  </xdr:twoCellAnchor>
  <xdr:twoCellAnchor editAs="oneCell">
    <xdr:from>
      <xdr:col>0</xdr:col>
      <xdr:colOff>0</xdr:colOff>
      <xdr:row>50</xdr:row>
      <xdr:rowOff>490320</xdr:rowOff>
    </xdr:from>
    <xdr:to>
      <xdr:col>0</xdr:col>
      <xdr:colOff>856800</xdr:colOff>
      <xdr:row>51</xdr:row>
      <xdr:rowOff>42120</xdr:rowOff>
    </xdr:to>
    <xdr:pic>
      <xdr:nvPicPr>
        <xdr:cNvPr id="42" name="Image 43" descr="Picture"/>
        <xdr:cNvPicPr/>
      </xdr:nvPicPr>
      <xdr:blipFill>
        <a:blip r:embed="rId43"/>
        <a:stretch/>
      </xdr:blipFill>
      <xdr:spPr>
        <a:xfrm>
          <a:off x="0" y="28260720"/>
          <a:ext cx="856800" cy="132840"/>
        </a:xfrm>
        <a:prstGeom prst="rect">
          <a:avLst/>
        </a:prstGeom>
        <a:ln w="0">
          <a:noFill/>
        </a:ln>
      </xdr:spPr>
    </xdr:pic>
    <xdr:clientData/>
  </xdr:twoCellAnchor>
  <xdr:twoCellAnchor editAs="oneCell">
    <xdr:from>
      <xdr:col>0</xdr:col>
      <xdr:colOff>0</xdr:colOff>
      <xdr:row>51</xdr:row>
      <xdr:rowOff>490320</xdr:rowOff>
    </xdr:from>
    <xdr:to>
      <xdr:col>0</xdr:col>
      <xdr:colOff>856800</xdr:colOff>
      <xdr:row>52</xdr:row>
      <xdr:rowOff>90000</xdr:rowOff>
    </xdr:to>
    <xdr:pic>
      <xdr:nvPicPr>
        <xdr:cNvPr id="43" name="Image 44" descr="Picture"/>
        <xdr:cNvPicPr/>
      </xdr:nvPicPr>
      <xdr:blipFill>
        <a:blip r:embed="rId44"/>
        <a:stretch/>
      </xdr:blipFill>
      <xdr:spPr>
        <a:xfrm>
          <a:off x="0" y="28841760"/>
          <a:ext cx="856800" cy="180720"/>
        </a:xfrm>
        <a:prstGeom prst="rect">
          <a:avLst/>
        </a:prstGeom>
        <a:ln w="0">
          <a:noFill/>
        </a:ln>
      </xdr:spPr>
    </xdr:pic>
    <xdr:clientData/>
  </xdr:twoCellAnchor>
  <xdr:twoCellAnchor editAs="oneCell">
    <xdr:from>
      <xdr:col>0</xdr:col>
      <xdr:colOff>0</xdr:colOff>
      <xdr:row>52</xdr:row>
      <xdr:rowOff>490320</xdr:rowOff>
    </xdr:from>
    <xdr:to>
      <xdr:col>0</xdr:col>
      <xdr:colOff>856800</xdr:colOff>
      <xdr:row>53</xdr:row>
      <xdr:rowOff>90000</xdr:rowOff>
    </xdr:to>
    <xdr:pic>
      <xdr:nvPicPr>
        <xdr:cNvPr id="44" name="Image 45" descr="Picture"/>
        <xdr:cNvPicPr/>
      </xdr:nvPicPr>
      <xdr:blipFill>
        <a:blip r:embed="rId45"/>
        <a:stretch/>
      </xdr:blipFill>
      <xdr:spPr>
        <a:xfrm>
          <a:off x="0" y="29422800"/>
          <a:ext cx="856800" cy="180720"/>
        </a:xfrm>
        <a:prstGeom prst="rect">
          <a:avLst/>
        </a:prstGeom>
        <a:ln w="0">
          <a:noFill/>
        </a:ln>
      </xdr:spPr>
    </xdr:pic>
    <xdr:clientData/>
  </xdr:twoCellAnchor>
  <xdr:twoCellAnchor editAs="oneCell">
    <xdr:from>
      <xdr:col>0</xdr:col>
      <xdr:colOff>0</xdr:colOff>
      <xdr:row>53</xdr:row>
      <xdr:rowOff>490320</xdr:rowOff>
    </xdr:from>
    <xdr:to>
      <xdr:col>0</xdr:col>
      <xdr:colOff>190080</xdr:colOff>
      <xdr:row>54</xdr:row>
      <xdr:rowOff>442440</xdr:rowOff>
    </xdr:to>
    <xdr:pic>
      <xdr:nvPicPr>
        <xdr:cNvPr id="45" name="Image 46" descr="Picture"/>
        <xdr:cNvPicPr/>
      </xdr:nvPicPr>
      <xdr:blipFill>
        <a:blip r:embed="rId46"/>
        <a:stretch/>
      </xdr:blipFill>
      <xdr:spPr>
        <a:xfrm>
          <a:off x="0" y="30003840"/>
          <a:ext cx="190080" cy="533160"/>
        </a:xfrm>
        <a:prstGeom prst="rect">
          <a:avLst/>
        </a:prstGeom>
        <a:ln w="0">
          <a:noFill/>
        </a:ln>
      </xdr:spPr>
    </xdr:pic>
    <xdr:clientData/>
  </xdr:twoCellAnchor>
  <xdr:twoCellAnchor editAs="oneCell">
    <xdr:from>
      <xdr:col>0</xdr:col>
      <xdr:colOff>0</xdr:colOff>
      <xdr:row>54</xdr:row>
      <xdr:rowOff>490320</xdr:rowOff>
    </xdr:from>
    <xdr:to>
      <xdr:col>0</xdr:col>
      <xdr:colOff>275760</xdr:colOff>
      <xdr:row>55</xdr:row>
      <xdr:rowOff>442440</xdr:rowOff>
    </xdr:to>
    <xdr:pic>
      <xdr:nvPicPr>
        <xdr:cNvPr id="46" name="Image 47" descr="Picture"/>
        <xdr:cNvPicPr/>
      </xdr:nvPicPr>
      <xdr:blipFill>
        <a:blip r:embed="rId47"/>
        <a:stretch/>
      </xdr:blipFill>
      <xdr:spPr>
        <a:xfrm>
          <a:off x="0" y="30584880"/>
          <a:ext cx="275760" cy="533160"/>
        </a:xfrm>
        <a:prstGeom prst="rect">
          <a:avLst/>
        </a:prstGeom>
        <a:ln w="0">
          <a:noFill/>
        </a:ln>
      </xdr:spPr>
    </xdr:pic>
    <xdr:clientData/>
  </xdr:twoCellAnchor>
  <xdr:twoCellAnchor editAs="oneCell">
    <xdr:from>
      <xdr:col>0</xdr:col>
      <xdr:colOff>0</xdr:colOff>
      <xdr:row>55</xdr:row>
      <xdr:rowOff>490320</xdr:rowOff>
    </xdr:from>
    <xdr:to>
      <xdr:col>0</xdr:col>
      <xdr:colOff>209160</xdr:colOff>
      <xdr:row>56</xdr:row>
      <xdr:rowOff>442440</xdr:rowOff>
    </xdr:to>
    <xdr:pic>
      <xdr:nvPicPr>
        <xdr:cNvPr id="47" name="Image 48" descr="Picture"/>
        <xdr:cNvPicPr/>
      </xdr:nvPicPr>
      <xdr:blipFill>
        <a:blip r:embed="rId48"/>
        <a:stretch/>
      </xdr:blipFill>
      <xdr:spPr>
        <a:xfrm>
          <a:off x="0" y="31165920"/>
          <a:ext cx="209160" cy="533160"/>
        </a:xfrm>
        <a:prstGeom prst="rect">
          <a:avLst/>
        </a:prstGeom>
        <a:ln w="0">
          <a:noFill/>
        </a:ln>
      </xdr:spPr>
    </xdr:pic>
    <xdr:clientData/>
  </xdr:twoCellAnchor>
  <xdr:twoCellAnchor editAs="oneCell">
    <xdr:from>
      <xdr:col>0</xdr:col>
      <xdr:colOff>0</xdr:colOff>
      <xdr:row>56</xdr:row>
      <xdr:rowOff>490320</xdr:rowOff>
    </xdr:from>
    <xdr:to>
      <xdr:col>0</xdr:col>
      <xdr:colOff>151920</xdr:colOff>
      <xdr:row>57</xdr:row>
      <xdr:rowOff>442440</xdr:rowOff>
    </xdr:to>
    <xdr:pic>
      <xdr:nvPicPr>
        <xdr:cNvPr id="48" name="Image 49" descr="Picture"/>
        <xdr:cNvPicPr/>
      </xdr:nvPicPr>
      <xdr:blipFill>
        <a:blip r:embed="rId49"/>
        <a:stretch/>
      </xdr:blipFill>
      <xdr:spPr>
        <a:xfrm>
          <a:off x="0" y="31746960"/>
          <a:ext cx="151920" cy="533160"/>
        </a:xfrm>
        <a:prstGeom prst="rect">
          <a:avLst/>
        </a:prstGeom>
        <a:ln w="0">
          <a:noFill/>
        </a:ln>
      </xdr:spPr>
    </xdr:pic>
    <xdr:clientData/>
  </xdr:twoCellAnchor>
  <xdr:twoCellAnchor editAs="oneCell">
    <xdr:from>
      <xdr:col>0</xdr:col>
      <xdr:colOff>0</xdr:colOff>
      <xdr:row>57</xdr:row>
      <xdr:rowOff>490320</xdr:rowOff>
    </xdr:from>
    <xdr:to>
      <xdr:col>0</xdr:col>
      <xdr:colOff>856800</xdr:colOff>
      <xdr:row>58</xdr:row>
      <xdr:rowOff>51840</xdr:rowOff>
    </xdr:to>
    <xdr:pic>
      <xdr:nvPicPr>
        <xdr:cNvPr id="49" name="Image 50" descr="Picture"/>
        <xdr:cNvPicPr/>
      </xdr:nvPicPr>
      <xdr:blipFill>
        <a:blip r:embed="rId50"/>
        <a:stretch/>
      </xdr:blipFill>
      <xdr:spPr>
        <a:xfrm>
          <a:off x="0" y="32328000"/>
          <a:ext cx="856800" cy="142560"/>
        </a:xfrm>
        <a:prstGeom prst="rect">
          <a:avLst/>
        </a:prstGeom>
        <a:ln w="0">
          <a:noFill/>
        </a:ln>
      </xdr:spPr>
    </xdr:pic>
    <xdr:clientData/>
  </xdr:twoCellAnchor>
  <xdr:twoCellAnchor editAs="oneCell">
    <xdr:from>
      <xdr:col>0</xdr:col>
      <xdr:colOff>0</xdr:colOff>
      <xdr:row>58</xdr:row>
      <xdr:rowOff>490320</xdr:rowOff>
    </xdr:from>
    <xdr:to>
      <xdr:col>0</xdr:col>
      <xdr:colOff>856800</xdr:colOff>
      <xdr:row>59</xdr:row>
      <xdr:rowOff>51840</xdr:rowOff>
    </xdr:to>
    <xdr:pic>
      <xdr:nvPicPr>
        <xdr:cNvPr id="50" name="Image 51" descr="Picture"/>
        <xdr:cNvPicPr/>
      </xdr:nvPicPr>
      <xdr:blipFill>
        <a:blip r:embed="rId51"/>
        <a:stretch/>
      </xdr:blipFill>
      <xdr:spPr>
        <a:xfrm>
          <a:off x="0" y="32909040"/>
          <a:ext cx="856800" cy="142560"/>
        </a:xfrm>
        <a:prstGeom prst="rect">
          <a:avLst/>
        </a:prstGeom>
        <a:ln w="0">
          <a:noFill/>
        </a:ln>
      </xdr:spPr>
    </xdr:pic>
    <xdr:clientData/>
  </xdr:twoCellAnchor>
  <xdr:twoCellAnchor editAs="oneCell">
    <xdr:from>
      <xdr:col>0</xdr:col>
      <xdr:colOff>0</xdr:colOff>
      <xdr:row>59</xdr:row>
      <xdr:rowOff>490320</xdr:rowOff>
    </xdr:from>
    <xdr:to>
      <xdr:col>0</xdr:col>
      <xdr:colOff>856800</xdr:colOff>
      <xdr:row>60</xdr:row>
      <xdr:rowOff>42120</xdr:rowOff>
    </xdr:to>
    <xdr:pic>
      <xdr:nvPicPr>
        <xdr:cNvPr id="51" name="Image 52" descr="Picture"/>
        <xdr:cNvPicPr/>
      </xdr:nvPicPr>
      <xdr:blipFill>
        <a:blip r:embed="rId52"/>
        <a:stretch/>
      </xdr:blipFill>
      <xdr:spPr>
        <a:xfrm>
          <a:off x="0" y="33490080"/>
          <a:ext cx="856800" cy="132840"/>
        </a:xfrm>
        <a:prstGeom prst="rect">
          <a:avLst/>
        </a:prstGeom>
        <a:ln w="0">
          <a:noFill/>
        </a:ln>
      </xdr:spPr>
    </xdr:pic>
    <xdr:clientData/>
  </xdr:twoCellAnchor>
  <xdr:twoCellAnchor editAs="oneCell">
    <xdr:from>
      <xdr:col>0</xdr:col>
      <xdr:colOff>0</xdr:colOff>
      <xdr:row>60</xdr:row>
      <xdr:rowOff>489960</xdr:rowOff>
    </xdr:from>
    <xdr:to>
      <xdr:col>0</xdr:col>
      <xdr:colOff>161640</xdr:colOff>
      <xdr:row>61</xdr:row>
      <xdr:rowOff>442080</xdr:rowOff>
    </xdr:to>
    <xdr:pic>
      <xdr:nvPicPr>
        <xdr:cNvPr id="52" name="Image 53" descr="Picture"/>
        <xdr:cNvPicPr/>
      </xdr:nvPicPr>
      <xdr:blipFill>
        <a:blip r:embed="rId53"/>
        <a:stretch/>
      </xdr:blipFill>
      <xdr:spPr>
        <a:xfrm>
          <a:off x="0" y="34070760"/>
          <a:ext cx="161640" cy="533160"/>
        </a:xfrm>
        <a:prstGeom prst="rect">
          <a:avLst/>
        </a:prstGeom>
        <a:ln w="0">
          <a:noFill/>
        </a:ln>
      </xdr:spPr>
    </xdr:pic>
    <xdr:clientData/>
  </xdr:twoCellAnchor>
  <xdr:twoCellAnchor editAs="oneCell">
    <xdr:from>
      <xdr:col>0</xdr:col>
      <xdr:colOff>0</xdr:colOff>
      <xdr:row>61</xdr:row>
      <xdr:rowOff>489960</xdr:rowOff>
    </xdr:from>
    <xdr:to>
      <xdr:col>0</xdr:col>
      <xdr:colOff>856800</xdr:colOff>
      <xdr:row>62</xdr:row>
      <xdr:rowOff>175320</xdr:rowOff>
    </xdr:to>
    <xdr:pic>
      <xdr:nvPicPr>
        <xdr:cNvPr id="53" name="Image 54" descr="Picture"/>
        <xdr:cNvPicPr/>
      </xdr:nvPicPr>
      <xdr:blipFill>
        <a:blip r:embed="rId54"/>
        <a:stretch/>
      </xdr:blipFill>
      <xdr:spPr>
        <a:xfrm>
          <a:off x="0" y="34651800"/>
          <a:ext cx="856800" cy="266400"/>
        </a:xfrm>
        <a:prstGeom prst="rect">
          <a:avLst/>
        </a:prstGeom>
        <a:ln w="0">
          <a:noFill/>
        </a:ln>
      </xdr:spPr>
    </xdr:pic>
    <xdr:clientData/>
  </xdr:twoCellAnchor>
  <xdr:twoCellAnchor editAs="oneCell">
    <xdr:from>
      <xdr:col>0</xdr:col>
      <xdr:colOff>0</xdr:colOff>
      <xdr:row>62</xdr:row>
      <xdr:rowOff>489960</xdr:rowOff>
    </xdr:from>
    <xdr:to>
      <xdr:col>0</xdr:col>
      <xdr:colOff>856800</xdr:colOff>
      <xdr:row>63</xdr:row>
      <xdr:rowOff>89640</xdr:rowOff>
    </xdr:to>
    <xdr:pic>
      <xdr:nvPicPr>
        <xdr:cNvPr id="54" name="Image 55" descr="Picture"/>
        <xdr:cNvPicPr/>
      </xdr:nvPicPr>
      <xdr:blipFill>
        <a:blip r:embed="rId55"/>
        <a:stretch/>
      </xdr:blipFill>
      <xdr:spPr>
        <a:xfrm>
          <a:off x="0" y="35232840"/>
          <a:ext cx="856800" cy="180720"/>
        </a:xfrm>
        <a:prstGeom prst="rect">
          <a:avLst/>
        </a:prstGeom>
        <a:ln w="0">
          <a:noFill/>
        </a:ln>
      </xdr:spPr>
    </xdr:pic>
    <xdr:clientData/>
  </xdr:twoCellAnchor>
  <xdr:twoCellAnchor editAs="oneCell">
    <xdr:from>
      <xdr:col>0</xdr:col>
      <xdr:colOff>0</xdr:colOff>
      <xdr:row>63</xdr:row>
      <xdr:rowOff>489960</xdr:rowOff>
    </xdr:from>
    <xdr:to>
      <xdr:col>0</xdr:col>
      <xdr:colOff>856800</xdr:colOff>
      <xdr:row>64</xdr:row>
      <xdr:rowOff>60840</xdr:rowOff>
    </xdr:to>
    <xdr:pic>
      <xdr:nvPicPr>
        <xdr:cNvPr id="55" name="Image 56" descr="Picture"/>
        <xdr:cNvPicPr/>
      </xdr:nvPicPr>
      <xdr:blipFill>
        <a:blip r:embed="rId56"/>
        <a:stretch/>
      </xdr:blipFill>
      <xdr:spPr>
        <a:xfrm>
          <a:off x="0" y="35813880"/>
          <a:ext cx="856800" cy="151920"/>
        </a:xfrm>
        <a:prstGeom prst="rect">
          <a:avLst/>
        </a:prstGeom>
        <a:ln w="0">
          <a:noFill/>
        </a:ln>
      </xdr:spPr>
    </xdr:pic>
    <xdr:clientData/>
  </xdr:twoCellAnchor>
  <xdr:twoCellAnchor editAs="oneCell">
    <xdr:from>
      <xdr:col>0</xdr:col>
      <xdr:colOff>0</xdr:colOff>
      <xdr:row>64</xdr:row>
      <xdr:rowOff>489960</xdr:rowOff>
    </xdr:from>
    <xdr:to>
      <xdr:col>0</xdr:col>
      <xdr:colOff>114120</xdr:colOff>
      <xdr:row>65</xdr:row>
      <xdr:rowOff>442080</xdr:rowOff>
    </xdr:to>
    <xdr:pic>
      <xdr:nvPicPr>
        <xdr:cNvPr id="56" name="Image 57" descr="Picture"/>
        <xdr:cNvPicPr/>
      </xdr:nvPicPr>
      <xdr:blipFill>
        <a:blip r:embed="rId57"/>
        <a:stretch/>
      </xdr:blipFill>
      <xdr:spPr>
        <a:xfrm>
          <a:off x="0" y="36394920"/>
          <a:ext cx="114120" cy="533160"/>
        </a:xfrm>
        <a:prstGeom prst="rect">
          <a:avLst/>
        </a:prstGeom>
        <a:ln w="0">
          <a:noFill/>
        </a:ln>
      </xdr:spPr>
    </xdr:pic>
    <xdr:clientData/>
  </xdr:twoCellAnchor>
  <xdr:twoCellAnchor editAs="oneCell">
    <xdr:from>
      <xdr:col>0</xdr:col>
      <xdr:colOff>0</xdr:colOff>
      <xdr:row>65</xdr:row>
      <xdr:rowOff>489960</xdr:rowOff>
    </xdr:from>
    <xdr:to>
      <xdr:col>0</xdr:col>
      <xdr:colOff>856800</xdr:colOff>
      <xdr:row>66</xdr:row>
      <xdr:rowOff>194760</xdr:rowOff>
    </xdr:to>
    <xdr:pic>
      <xdr:nvPicPr>
        <xdr:cNvPr id="57" name="Image 58" descr="Picture"/>
        <xdr:cNvPicPr/>
      </xdr:nvPicPr>
      <xdr:blipFill>
        <a:blip r:embed="rId58"/>
        <a:stretch/>
      </xdr:blipFill>
      <xdr:spPr>
        <a:xfrm>
          <a:off x="0" y="36975960"/>
          <a:ext cx="856800" cy="285480"/>
        </a:xfrm>
        <a:prstGeom prst="rect">
          <a:avLst/>
        </a:prstGeom>
        <a:ln w="0">
          <a:noFill/>
        </a:ln>
      </xdr:spPr>
    </xdr:pic>
    <xdr:clientData/>
  </xdr:twoCellAnchor>
  <xdr:twoCellAnchor editAs="oneCell">
    <xdr:from>
      <xdr:col>0</xdr:col>
      <xdr:colOff>0</xdr:colOff>
      <xdr:row>66</xdr:row>
      <xdr:rowOff>490320</xdr:rowOff>
    </xdr:from>
    <xdr:to>
      <xdr:col>0</xdr:col>
      <xdr:colOff>104400</xdr:colOff>
      <xdr:row>67</xdr:row>
      <xdr:rowOff>442440</xdr:rowOff>
    </xdr:to>
    <xdr:pic>
      <xdr:nvPicPr>
        <xdr:cNvPr id="58" name="Image 59" descr="Picture"/>
        <xdr:cNvPicPr/>
      </xdr:nvPicPr>
      <xdr:blipFill>
        <a:blip r:embed="rId59"/>
        <a:stretch/>
      </xdr:blipFill>
      <xdr:spPr>
        <a:xfrm>
          <a:off x="0" y="37557000"/>
          <a:ext cx="104400" cy="533160"/>
        </a:xfrm>
        <a:prstGeom prst="rect">
          <a:avLst/>
        </a:prstGeom>
        <a:ln w="0">
          <a:noFill/>
        </a:ln>
      </xdr:spPr>
    </xdr:pic>
    <xdr:clientData/>
  </xdr:twoCellAnchor>
  <xdr:twoCellAnchor editAs="oneCell">
    <xdr:from>
      <xdr:col>0</xdr:col>
      <xdr:colOff>0</xdr:colOff>
      <xdr:row>67</xdr:row>
      <xdr:rowOff>490320</xdr:rowOff>
    </xdr:from>
    <xdr:to>
      <xdr:col>0</xdr:col>
      <xdr:colOff>75960</xdr:colOff>
      <xdr:row>68</xdr:row>
      <xdr:rowOff>442440</xdr:rowOff>
    </xdr:to>
    <xdr:pic>
      <xdr:nvPicPr>
        <xdr:cNvPr id="59" name="Image 60" descr="Picture"/>
        <xdr:cNvPicPr/>
      </xdr:nvPicPr>
      <xdr:blipFill>
        <a:blip r:embed="rId60"/>
        <a:stretch/>
      </xdr:blipFill>
      <xdr:spPr>
        <a:xfrm>
          <a:off x="0" y="38138040"/>
          <a:ext cx="75960" cy="533160"/>
        </a:xfrm>
        <a:prstGeom prst="rect">
          <a:avLst/>
        </a:prstGeom>
        <a:ln w="0">
          <a:noFill/>
        </a:ln>
      </xdr:spPr>
    </xdr:pic>
    <xdr:clientData/>
  </xdr:twoCellAnchor>
  <xdr:twoCellAnchor editAs="oneCell">
    <xdr:from>
      <xdr:col>0</xdr:col>
      <xdr:colOff>0</xdr:colOff>
      <xdr:row>68</xdr:row>
      <xdr:rowOff>490320</xdr:rowOff>
    </xdr:from>
    <xdr:to>
      <xdr:col>0</xdr:col>
      <xdr:colOff>95040</xdr:colOff>
      <xdr:row>69</xdr:row>
      <xdr:rowOff>442440</xdr:rowOff>
    </xdr:to>
    <xdr:pic>
      <xdr:nvPicPr>
        <xdr:cNvPr id="60" name="Image 61" descr="Picture"/>
        <xdr:cNvPicPr/>
      </xdr:nvPicPr>
      <xdr:blipFill>
        <a:blip r:embed="rId61"/>
        <a:stretch/>
      </xdr:blipFill>
      <xdr:spPr>
        <a:xfrm>
          <a:off x="0" y="38719080"/>
          <a:ext cx="95040" cy="533160"/>
        </a:xfrm>
        <a:prstGeom prst="rect">
          <a:avLst/>
        </a:prstGeom>
        <a:ln w="0">
          <a:noFill/>
        </a:ln>
      </xdr:spPr>
    </xdr:pic>
    <xdr:clientData/>
  </xdr:twoCellAnchor>
  <xdr:twoCellAnchor editAs="oneCell">
    <xdr:from>
      <xdr:col>0</xdr:col>
      <xdr:colOff>0</xdr:colOff>
      <xdr:row>69</xdr:row>
      <xdr:rowOff>490320</xdr:rowOff>
    </xdr:from>
    <xdr:to>
      <xdr:col>0</xdr:col>
      <xdr:colOff>190080</xdr:colOff>
      <xdr:row>70</xdr:row>
      <xdr:rowOff>442440</xdr:rowOff>
    </xdr:to>
    <xdr:pic>
      <xdr:nvPicPr>
        <xdr:cNvPr id="61" name="Image 62" descr="Picture"/>
        <xdr:cNvPicPr/>
      </xdr:nvPicPr>
      <xdr:blipFill>
        <a:blip r:embed="rId62"/>
        <a:stretch/>
      </xdr:blipFill>
      <xdr:spPr>
        <a:xfrm>
          <a:off x="0" y="39300120"/>
          <a:ext cx="190080" cy="533160"/>
        </a:xfrm>
        <a:prstGeom prst="rect">
          <a:avLst/>
        </a:prstGeom>
        <a:ln w="0">
          <a:noFill/>
        </a:ln>
      </xdr:spPr>
    </xdr:pic>
    <xdr:clientData/>
  </xdr:twoCellAnchor>
  <xdr:twoCellAnchor editAs="oneCell">
    <xdr:from>
      <xdr:col>0</xdr:col>
      <xdr:colOff>0</xdr:colOff>
      <xdr:row>70</xdr:row>
      <xdr:rowOff>490320</xdr:rowOff>
    </xdr:from>
    <xdr:to>
      <xdr:col>0</xdr:col>
      <xdr:colOff>199800</xdr:colOff>
      <xdr:row>71</xdr:row>
      <xdr:rowOff>442440</xdr:rowOff>
    </xdr:to>
    <xdr:pic>
      <xdr:nvPicPr>
        <xdr:cNvPr id="62" name="Image 63" descr="Picture"/>
        <xdr:cNvPicPr/>
      </xdr:nvPicPr>
      <xdr:blipFill>
        <a:blip r:embed="rId63"/>
        <a:stretch/>
      </xdr:blipFill>
      <xdr:spPr>
        <a:xfrm>
          <a:off x="0" y="39881160"/>
          <a:ext cx="199800" cy="533160"/>
        </a:xfrm>
        <a:prstGeom prst="rect">
          <a:avLst/>
        </a:prstGeom>
        <a:ln w="0">
          <a:noFill/>
        </a:ln>
      </xdr:spPr>
    </xdr:pic>
    <xdr:clientData/>
  </xdr:twoCellAnchor>
  <xdr:twoCellAnchor editAs="oneCell">
    <xdr:from>
      <xdr:col>0</xdr:col>
      <xdr:colOff>0</xdr:colOff>
      <xdr:row>71</xdr:row>
      <xdr:rowOff>490320</xdr:rowOff>
    </xdr:from>
    <xdr:to>
      <xdr:col>0</xdr:col>
      <xdr:colOff>856800</xdr:colOff>
      <xdr:row>72</xdr:row>
      <xdr:rowOff>128160</xdr:rowOff>
    </xdr:to>
    <xdr:pic>
      <xdr:nvPicPr>
        <xdr:cNvPr id="63" name="Image 64" descr="Picture"/>
        <xdr:cNvPicPr/>
      </xdr:nvPicPr>
      <xdr:blipFill>
        <a:blip r:embed="rId64"/>
        <a:stretch/>
      </xdr:blipFill>
      <xdr:spPr>
        <a:xfrm>
          <a:off x="0" y="40462200"/>
          <a:ext cx="856800" cy="218880"/>
        </a:xfrm>
        <a:prstGeom prst="rect">
          <a:avLst/>
        </a:prstGeom>
        <a:ln w="0">
          <a:noFill/>
        </a:ln>
      </xdr:spPr>
    </xdr:pic>
    <xdr:clientData/>
  </xdr:twoCellAnchor>
  <xdr:twoCellAnchor editAs="oneCell">
    <xdr:from>
      <xdr:col>0</xdr:col>
      <xdr:colOff>0</xdr:colOff>
      <xdr:row>72</xdr:row>
      <xdr:rowOff>490320</xdr:rowOff>
    </xdr:from>
    <xdr:to>
      <xdr:col>0</xdr:col>
      <xdr:colOff>856800</xdr:colOff>
      <xdr:row>73</xdr:row>
      <xdr:rowOff>128160</xdr:rowOff>
    </xdr:to>
    <xdr:pic>
      <xdr:nvPicPr>
        <xdr:cNvPr id="64" name="Image 65" descr="Picture"/>
        <xdr:cNvPicPr/>
      </xdr:nvPicPr>
      <xdr:blipFill>
        <a:blip r:embed="rId65"/>
        <a:stretch/>
      </xdr:blipFill>
      <xdr:spPr>
        <a:xfrm>
          <a:off x="0" y="41043240"/>
          <a:ext cx="856800" cy="218880"/>
        </a:xfrm>
        <a:prstGeom prst="rect">
          <a:avLst/>
        </a:prstGeom>
        <a:ln w="0">
          <a:noFill/>
        </a:ln>
      </xdr:spPr>
    </xdr:pic>
    <xdr:clientData/>
  </xdr:twoCellAnchor>
  <xdr:twoCellAnchor editAs="oneCell">
    <xdr:from>
      <xdr:col>0</xdr:col>
      <xdr:colOff>0</xdr:colOff>
      <xdr:row>73</xdr:row>
      <xdr:rowOff>490320</xdr:rowOff>
    </xdr:from>
    <xdr:to>
      <xdr:col>0</xdr:col>
      <xdr:colOff>151920</xdr:colOff>
      <xdr:row>74</xdr:row>
      <xdr:rowOff>442440</xdr:rowOff>
    </xdr:to>
    <xdr:pic>
      <xdr:nvPicPr>
        <xdr:cNvPr id="65" name="Image 66" descr="Picture"/>
        <xdr:cNvPicPr/>
      </xdr:nvPicPr>
      <xdr:blipFill>
        <a:blip r:embed="rId66"/>
        <a:stretch/>
      </xdr:blipFill>
      <xdr:spPr>
        <a:xfrm>
          <a:off x="0" y="41624280"/>
          <a:ext cx="151920" cy="533160"/>
        </a:xfrm>
        <a:prstGeom prst="rect">
          <a:avLst/>
        </a:prstGeom>
        <a:ln w="0">
          <a:noFill/>
        </a:ln>
      </xdr:spPr>
    </xdr:pic>
    <xdr:clientData/>
  </xdr:twoCellAnchor>
  <xdr:twoCellAnchor editAs="oneCell">
    <xdr:from>
      <xdr:col>0</xdr:col>
      <xdr:colOff>0</xdr:colOff>
      <xdr:row>74</xdr:row>
      <xdr:rowOff>490320</xdr:rowOff>
    </xdr:from>
    <xdr:to>
      <xdr:col>0</xdr:col>
      <xdr:colOff>856800</xdr:colOff>
      <xdr:row>75</xdr:row>
      <xdr:rowOff>99360</xdr:rowOff>
    </xdr:to>
    <xdr:pic>
      <xdr:nvPicPr>
        <xdr:cNvPr id="66" name="Image 67" descr="Picture"/>
        <xdr:cNvPicPr/>
      </xdr:nvPicPr>
      <xdr:blipFill>
        <a:blip r:embed="rId67"/>
        <a:stretch/>
      </xdr:blipFill>
      <xdr:spPr>
        <a:xfrm>
          <a:off x="0" y="42205320"/>
          <a:ext cx="856800" cy="190080"/>
        </a:xfrm>
        <a:prstGeom prst="rect">
          <a:avLst/>
        </a:prstGeom>
        <a:ln w="0">
          <a:noFill/>
        </a:ln>
      </xdr:spPr>
    </xdr:pic>
    <xdr:clientData/>
  </xdr:twoCellAnchor>
  <xdr:twoCellAnchor editAs="oneCell">
    <xdr:from>
      <xdr:col>0</xdr:col>
      <xdr:colOff>0</xdr:colOff>
      <xdr:row>75</xdr:row>
      <xdr:rowOff>490320</xdr:rowOff>
    </xdr:from>
    <xdr:to>
      <xdr:col>0</xdr:col>
      <xdr:colOff>514080</xdr:colOff>
      <xdr:row>76</xdr:row>
      <xdr:rowOff>442440</xdr:rowOff>
    </xdr:to>
    <xdr:pic>
      <xdr:nvPicPr>
        <xdr:cNvPr id="67" name="Image 68" descr="Picture"/>
        <xdr:cNvPicPr/>
      </xdr:nvPicPr>
      <xdr:blipFill>
        <a:blip r:embed="rId68"/>
        <a:stretch/>
      </xdr:blipFill>
      <xdr:spPr>
        <a:xfrm>
          <a:off x="0" y="42786360"/>
          <a:ext cx="514080" cy="533160"/>
        </a:xfrm>
        <a:prstGeom prst="rect">
          <a:avLst/>
        </a:prstGeom>
        <a:ln w="0">
          <a:noFill/>
        </a:ln>
      </xdr:spPr>
    </xdr:pic>
    <xdr:clientData/>
  </xdr:twoCellAnchor>
  <xdr:twoCellAnchor editAs="oneCell">
    <xdr:from>
      <xdr:col>0</xdr:col>
      <xdr:colOff>0</xdr:colOff>
      <xdr:row>76</xdr:row>
      <xdr:rowOff>490320</xdr:rowOff>
    </xdr:from>
    <xdr:to>
      <xdr:col>0</xdr:col>
      <xdr:colOff>856800</xdr:colOff>
      <xdr:row>77</xdr:row>
      <xdr:rowOff>90000</xdr:rowOff>
    </xdr:to>
    <xdr:pic>
      <xdr:nvPicPr>
        <xdr:cNvPr id="68" name="Image 69" descr="Picture"/>
        <xdr:cNvPicPr/>
      </xdr:nvPicPr>
      <xdr:blipFill>
        <a:blip r:embed="rId69"/>
        <a:stretch/>
      </xdr:blipFill>
      <xdr:spPr>
        <a:xfrm>
          <a:off x="0" y="43367400"/>
          <a:ext cx="856800" cy="180720"/>
        </a:xfrm>
        <a:prstGeom prst="rect">
          <a:avLst/>
        </a:prstGeom>
        <a:ln w="0">
          <a:noFill/>
        </a:ln>
      </xdr:spPr>
    </xdr:pic>
    <xdr:clientData/>
  </xdr:twoCellAnchor>
  <xdr:twoCellAnchor editAs="oneCell">
    <xdr:from>
      <xdr:col>0</xdr:col>
      <xdr:colOff>0</xdr:colOff>
      <xdr:row>77</xdr:row>
      <xdr:rowOff>490320</xdr:rowOff>
    </xdr:from>
    <xdr:to>
      <xdr:col>0</xdr:col>
      <xdr:colOff>533160</xdr:colOff>
      <xdr:row>78</xdr:row>
      <xdr:rowOff>442440</xdr:rowOff>
    </xdr:to>
    <xdr:pic>
      <xdr:nvPicPr>
        <xdr:cNvPr id="69" name="Image 70" descr="Picture"/>
        <xdr:cNvPicPr/>
      </xdr:nvPicPr>
      <xdr:blipFill>
        <a:blip r:embed="rId70"/>
        <a:stretch/>
      </xdr:blipFill>
      <xdr:spPr>
        <a:xfrm>
          <a:off x="0" y="43948440"/>
          <a:ext cx="533160" cy="533160"/>
        </a:xfrm>
        <a:prstGeom prst="rect">
          <a:avLst/>
        </a:prstGeom>
        <a:ln w="0">
          <a:noFill/>
        </a:ln>
      </xdr:spPr>
    </xdr:pic>
    <xdr:clientData/>
  </xdr:twoCellAnchor>
  <xdr:twoCellAnchor editAs="oneCell">
    <xdr:from>
      <xdr:col>0</xdr:col>
      <xdr:colOff>0</xdr:colOff>
      <xdr:row>78</xdr:row>
      <xdr:rowOff>490320</xdr:rowOff>
    </xdr:from>
    <xdr:to>
      <xdr:col>0</xdr:col>
      <xdr:colOff>856800</xdr:colOff>
      <xdr:row>79</xdr:row>
      <xdr:rowOff>70920</xdr:rowOff>
    </xdr:to>
    <xdr:pic>
      <xdr:nvPicPr>
        <xdr:cNvPr id="70" name="Image 71" descr="Picture"/>
        <xdr:cNvPicPr/>
      </xdr:nvPicPr>
      <xdr:blipFill>
        <a:blip r:embed="rId71"/>
        <a:stretch/>
      </xdr:blipFill>
      <xdr:spPr>
        <a:xfrm>
          <a:off x="0" y="44529480"/>
          <a:ext cx="856800" cy="161640"/>
        </a:xfrm>
        <a:prstGeom prst="rect">
          <a:avLst/>
        </a:prstGeom>
        <a:ln w="0">
          <a:noFill/>
        </a:ln>
      </xdr:spPr>
    </xdr:pic>
    <xdr:clientData/>
  </xdr:twoCellAnchor>
  <xdr:twoCellAnchor editAs="oneCell">
    <xdr:from>
      <xdr:col>0</xdr:col>
      <xdr:colOff>0</xdr:colOff>
      <xdr:row>80</xdr:row>
      <xdr:rowOff>490320</xdr:rowOff>
    </xdr:from>
    <xdr:to>
      <xdr:col>0</xdr:col>
      <xdr:colOff>761760</xdr:colOff>
      <xdr:row>81</xdr:row>
      <xdr:rowOff>442440</xdr:rowOff>
    </xdr:to>
    <xdr:pic>
      <xdr:nvPicPr>
        <xdr:cNvPr id="71" name="Image 72" descr="Picture"/>
        <xdr:cNvPicPr/>
      </xdr:nvPicPr>
      <xdr:blipFill>
        <a:blip r:embed="rId72"/>
        <a:stretch/>
      </xdr:blipFill>
      <xdr:spPr>
        <a:xfrm>
          <a:off x="0" y="45691560"/>
          <a:ext cx="761760" cy="533160"/>
        </a:xfrm>
        <a:prstGeom prst="rect">
          <a:avLst/>
        </a:prstGeom>
        <a:ln w="0">
          <a:noFill/>
        </a:ln>
      </xdr:spPr>
    </xdr:pic>
    <xdr:clientData/>
  </xdr:twoCellAnchor>
  <xdr:twoCellAnchor editAs="oneCell">
    <xdr:from>
      <xdr:col>0</xdr:col>
      <xdr:colOff>0</xdr:colOff>
      <xdr:row>81</xdr:row>
      <xdr:rowOff>490320</xdr:rowOff>
    </xdr:from>
    <xdr:to>
      <xdr:col>0</xdr:col>
      <xdr:colOff>856800</xdr:colOff>
      <xdr:row>82</xdr:row>
      <xdr:rowOff>442440</xdr:rowOff>
    </xdr:to>
    <xdr:pic>
      <xdr:nvPicPr>
        <xdr:cNvPr id="72" name="Image 73" descr="Picture"/>
        <xdr:cNvPicPr/>
      </xdr:nvPicPr>
      <xdr:blipFill>
        <a:blip r:embed="rId73"/>
        <a:stretch/>
      </xdr:blipFill>
      <xdr:spPr>
        <a:xfrm>
          <a:off x="0" y="46272600"/>
          <a:ext cx="856800" cy="533160"/>
        </a:xfrm>
        <a:prstGeom prst="rect">
          <a:avLst/>
        </a:prstGeom>
        <a:ln w="0">
          <a:noFill/>
        </a:ln>
      </xdr:spPr>
    </xdr:pic>
    <xdr:clientData/>
  </xdr:twoCellAnchor>
  <xdr:twoCellAnchor editAs="oneCell">
    <xdr:from>
      <xdr:col>0</xdr:col>
      <xdr:colOff>0</xdr:colOff>
      <xdr:row>82</xdr:row>
      <xdr:rowOff>490320</xdr:rowOff>
    </xdr:from>
    <xdr:to>
      <xdr:col>0</xdr:col>
      <xdr:colOff>514080</xdr:colOff>
      <xdr:row>83</xdr:row>
      <xdr:rowOff>442440</xdr:rowOff>
    </xdr:to>
    <xdr:pic>
      <xdr:nvPicPr>
        <xdr:cNvPr id="73" name="Image 74" descr="Picture"/>
        <xdr:cNvPicPr/>
      </xdr:nvPicPr>
      <xdr:blipFill>
        <a:blip r:embed="rId74"/>
        <a:stretch/>
      </xdr:blipFill>
      <xdr:spPr>
        <a:xfrm>
          <a:off x="0" y="46853640"/>
          <a:ext cx="514080" cy="533160"/>
        </a:xfrm>
        <a:prstGeom prst="rect">
          <a:avLst/>
        </a:prstGeom>
        <a:ln w="0">
          <a:noFill/>
        </a:ln>
      </xdr:spPr>
    </xdr:pic>
    <xdr:clientData/>
  </xdr:twoCellAnchor>
  <xdr:twoCellAnchor editAs="oneCell">
    <xdr:from>
      <xdr:col>0</xdr:col>
      <xdr:colOff>0</xdr:colOff>
      <xdr:row>84</xdr:row>
      <xdr:rowOff>489960</xdr:rowOff>
    </xdr:from>
    <xdr:to>
      <xdr:col>0</xdr:col>
      <xdr:colOff>856800</xdr:colOff>
      <xdr:row>85</xdr:row>
      <xdr:rowOff>442080</xdr:rowOff>
    </xdr:to>
    <xdr:pic>
      <xdr:nvPicPr>
        <xdr:cNvPr id="74" name="Image 75" descr="Picture"/>
        <xdr:cNvPicPr/>
      </xdr:nvPicPr>
      <xdr:blipFill>
        <a:blip r:embed="rId75"/>
        <a:stretch/>
      </xdr:blipFill>
      <xdr:spPr>
        <a:xfrm>
          <a:off x="0" y="48015360"/>
          <a:ext cx="856800" cy="533160"/>
        </a:xfrm>
        <a:prstGeom prst="rect">
          <a:avLst/>
        </a:prstGeom>
        <a:ln w="0">
          <a:noFill/>
        </a:ln>
      </xdr:spPr>
    </xdr:pic>
    <xdr:clientData/>
  </xdr:twoCellAnchor>
  <xdr:twoCellAnchor editAs="oneCell">
    <xdr:from>
      <xdr:col>0</xdr:col>
      <xdr:colOff>0</xdr:colOff>
      <xdr:row>85</xdr:row>
      <xdr:rowOff>489960</xdr:rowOff>
    </xdr:from>
    <xdr:to>
      <xdr:col>0</xdr:col>
      <xdr:colOff>647280</xdr:colOff>
      <xdr:row>86</xdr:row>
      <xdr:rowOff>442080</xdr:rowOff>
    </xdr:to>
    <xdr:pic>
      <xdr:nvPicPr>
        <xdr:cNvPr id="75" name="Image 76" descr="Picture"/>
        <xdr:cNvPicPr/>
      </xdr:nvPicPr>
      <xdr:blipFill>
        <a:blip r:embed="rId76"/>
        <a:stretch/>
      </xdr:blipFill>
      <xdr:spPr>
        <a:xfrm>
          <a:off x="0" y="48596400"/>
          <a:ext cx="647280" cy="533160"/>
        </a:xfrm>
        <a:prstGeom prst="rect">
          <a:avLst/>
        </a:prstGeom>
        <a:ln w="0">
          <a:noFill/>
        </a:ln>
      </xdr:spPr>
    </xdr:pic>
    <xdr:clientData/>
  </xdr:twoCellAnchor>
  <xdr:twoCellAnchor editAs="oneCell">
    <xdr:from>
      <xdr:col>0</xdr:col>
      <xdr:colOff>0</xdr:colOff>
      <xdr:row>86</xdr:row>
      <xdr:rowOff>489960</xdr:rowOff>
    </xdr:from>
    <xdr:to>
      <xdr:col>0</xdr:col>
      <xdr:colOff>552240</xdr:colOff>
      <xdr:row>87</xdr:row>
      <xdr:rowOff>442080</xdr:rowOff>
    </xdr:to>
    <xdr:pic>
      <xdr:nvPicPr>
        <xdr:cNvPr id="76" name="Image 77" descr="Picture"/>
        <xdr:cNvPicPr/>
      </xdr:nvPicPr>
      <xdr:blipFill>
        <a:blip r:embed="rId77"/>
        <a:stretch/>
      </xdr:blipFill>
      <xdr:spPr>
        <a:xfrm>
          <a:off x="0" y="49177440"/>
          <a:ext cx="552240" cy="533160"/>
        </a:xfrm>
        <a:prstGeom prst="rect">
          <a:avLst/>
        </a:prstGeom>
        <a:ln w="0">
          <a:noFill/>
        </a:ln>
      </xdr:spPr>
    </xdr:pic>
    <xdr:clientData/>
  </xdr:twoCellAnchor>
  <xdr:twoCellAnchor editAs="oneCell">
    <xdr:from>
      <xdr:col>0</xdr:col>
      <xdr:colOff>0</xdr:colOff>
      <xdr:row>87</xdr:row>
      <xdr:rowOff>489960</xdr:rowOff>
    </xdr:from>
    <xdr:to>
      <xdr:col>0</xdr:col>
      <xdr:colOff>856800</xdr:colOff>
      <xdr:row>88</xdr:row>
      <xdr:rowOff>442080</xdr:rowOff>
    </xdr:to>
    <xdr:pic>
      <xdr:nvPicPr>
        <xdr:cNvPr id="77" name="Image 78" descr="Picture"/>
        <xdr:cNvPicPr/>
      </xdr:nvPicPr>
      <xdr:blipFill>
        <a:blip r:embed="rId78"/>
        <a:stretch/>
      </xdr:blipFill>
      <xdr:spPr>
        <a:xfrm>
          <a:off x="0" y="49758480"/>
          <a:ext cx="856800" cy="533160"/>
        </a:xfrm>
        <a:prstGeom prst="rect">
          <a:avLst/>
        </a:prstGeom>
        <a:ln w="0">
          <a:noFill/>
        </a:ln>
      </xdr:spPr>
    </xdr:pic>
    <xdr:clientData/>
  </xdr:twoCellAnchor>
  <xdr:twoCellAnchor editAs="oneCell">
    <xdr:from>
      <xdr:col>0</xdr:col>
      <xdr:colOff>0</xdr:colOff>
      <xdr:row>88</xdr:row>
      <xdr:rowOff>489960</xdr:rowOff>
    </xdr:from>
    <xdr:to>
      <xdr:col>0</xdr:col>
      <xdr:colOff>618840</xdr:colOff>
      <xdr:row>89</xdr:row>
      <xdr:rowOff>442080</xdr:rowOff>
    </xdr:to>
    <xdr:pic>
      <xdr:nvPicPr>
        <xdr:cNvPr id="78" name="Image 79" descr="Picture"/>
        <xdr:cNvPicPr/>
      </xdr:nvPicPr>
      <xdr:blipFill>
        <a:blip r:embed="rId79"/>
        <a:stretch/>
      </xdr:blipFill>
      <xdr:spPr>
        <a:xfrm>
          <a:off x="0" y="50339520"/>
          <a:ext cx="618840" cy="533160"/>
        </a:xfrm>
        <a:prstGeom prst="rect">
          <a:avLst/>
        </a:prstGeom>
        <a:ln w="0">
          <a:noFill/>
        </a:ln>
      </xdr:spPr>
    </xdr:pic>
    <xdr:clientData/>
  </xdr:twoCellAnchor>
  <xdr:twoCellAnchor editAs="oneCell">
    <xdr:from>
      <xdr:col>0</xdr:col>
      <xdr:colOff>0</xdr:colOff>
      <xdr:row>90</xdr:row>
      <xdr:rowOff>490320</xdr:rowOff>
    </xdr:from>
    <xdr:to>
      <xdr:col>0</xdr:col>
      <xdr:colOff>856800</xdr:colOff>
      <xdr:row>91</xdr:row>
      <xdr:rowOff>318600</xdr:rowOff>
    </xdr:to>
    <xdr:pic>
      <xdr:nvPicPr>
        <xdr:cNvPr id="79" name="Image 80" descr="Picture"/>
        <xdr:cNvPicPr/>
      </xdr:nvPicPr>
      <xdr:blipFill>
        <a:blip r:embed="rId80"/>
        <a:stretch/>
      </xdr:blipFill>
      <xdr:spPr>
        <a:xfrm>
          <a:off x="0" y="51501600"/>
          <a:ext cx="856800" cy="409320"/>
        </a:xfrm>
        <a:prstGeom prst="rect">
          <a:avLst/>
        </a:prstGeom>
        <a:ln w="0">
          <a:noFill/>
        </a:ln>
      </xdr:spPr>
    </xdr:pic>
    <xdr:clientData/>
  </xdr:twoCellAnchor>
  <xdr:twoCellAnchor editAs="oneCell">
    <xdr:from>
      <xdr:col>0</xdr:col>
      <xdr:colOff>0</xdr:colOff>
      <xdr:row>91</xdr:row>
      <xdr:rowOff>490320</xdr:rowOff>
    </xdr:from>
    <xdr:to>
      <xdr:col>0</xdr:col>
      <xdr:colOff>475920</xdr:colOff>
      <xdr:row>92</xdr:row>
      <xdr:rowOff>442440</xdr:rowOff>
    </xdr:to>
    <xdr:pic>
      <xdr:nvPicPr>
        <xdr:cNvPr id="80" name="Image 81" descr="Picture"/>
        <xdr:cNvPicPr/>
      </xdr:nvPicPr>
      <xdr:blipFill>
        <a:blip r:embed="rId81"/>
        <a:stretch/>
      </xdr:blipFill>
      <xdr:spPr>
        <a:xfrm>
          <a:off x="0" y="52082640"/>
          <a:ext cx="475920" cy="533160"/>
        </a:xfrm>
        <a:prstGeom prst="rect">
          <a:avLst/>
        </a:prstGeom>
        <a:ln w="0">
          <a:noFill/>
        </a:ln>
      </xdr:spPr>
    </xdr:pic>
    <xdr:clientData/>
  </xdr:twoCellAnchor>
  <xdr:twoCellAnchor editAs="oneCell">
    <xdr:from>
      <xdr:col>0</xdr:col>
      <xdr:colOff>0</xdr:colOff>
      <xdr:row>92</xdr:row>
      <xdr:rowOff>490320</xdr:rowOff>
    </xdr:from>
    <xdr:to>
      <xdr:col>0</xdr:col>
      <xdr:colOff>828360</xdr:colOff>
      <xdr:row>93</xdr:row>
      <xdr:rowOff>442440</xdr:rowOff>
    </xdr:to>
    <xdr:pic>
      <xdr:nvPicPr>
        <xdr:cNvPr id="81" name="Image 82" descr="Picture"/>
        <xdr:cNvPicPr/>
      </xdr:nvPicPr>
      <xdr:blipFill>
        <a:blip r:embed="rId82"/>
        <a:stretch/>
      </xdr:blipFill>
      <xdr:spPr>
        <a:xfrm>
          <a:off x="0" y="52663680"/>
          <a:ext cx="828360" cy="533160"/>
        </a:xfrm>
        <a:prstGeom prst="rect">
          <a:avLst/>
        </a:prstGeom>
        <a:ln w="0">
          <a:noFill/>
        </a:ln>
      </xdr:spPr>
    </xdr:pic>
    <xdr:clientData/>
  </xdr:twoCellAnchor>
  <xdr:twoCellAnchor editAs="oneCell">
    <xdr:from>
      <xdr:col>0</xdr:col>
      <xdr:colOff>0</xdr:colOff>
      <xdr:row>95</xdr:row>
      <xdr:rowOff>490320</xdr:rowOff>
    </xdr:from>
    <xdr:to>
      <xdr:col>0</xdr:col>
      <xdr:colOff>742680</xdr:colOff>
      <xdr:row>96</xdr:row>
      <xdr:rowOff>442440</xdr:rowOff>
    </xdr:to>
    <xdr:pic>
      <xdr:nvPicPr>
        <xdr:cNvPr id="82" name="Image 83" descr="Picture"/>
        <xdr:cNvPicPr/>
      </xdr:nvPicPr>
      <xdr:blipFill>
        <a:blip r:embed="rId83"/>
        <a:stretch/>
      </xdr:blipFill>
      <xdr:spPr>
        <a:xfrm>
          <a:off x="0" y="54406800"/>
          <a:ext cx="742680" cy="533160"/>
        </a:xfrm>
        <a:prstGeom prst="rect">
          <a:avLst/>
        </a:prstGeom>
        <a:ln w="0">
          <a:noFill/>
        </a:ln>
      </xdr:spPr>
    </xdr:pic>
    <xdr:clientData/>
  </xdr:twoCellAnchor>
  <xdr:twoCellAnchor editAs="oneCell">
    <xdr:from>
      <xdr:col>0</xdr:col>
      <xdr:colOff>0</xdr:colOff>
      <xdr:row>96</xdr:row>
      <xdr:rowOff>490320</xdr:rowOff>
    </xdr:from>
    <xdr:to>
      <xdr:col>0</xdr:col>
      <xdr:colOff>704520</xdr:colOff>
      <xdr:row>97</xdr:row>
      <xdr:rowOff>442440</xdr:rowOff>
    </xdr:to>
    <xdr:pic>
      <xdr:nvPicPr>
        <xdr:cNvPr id="83" name="Image 84" descr="Picture"/>
        <xdr:cNvPicPr/>
      </xdr:nvPicPr>
      <xdr:blipFill>
        <a:blip r:embed="rId84"/>
        <a:stretch/>
      </xdr:blipFill>
      <xdr:spPr>
        <a:xfrm>
          <a:off x="0" y="54987840"/>
          <a:ext cx="704520" cy="533160"/>
        </a:xfrm>
        <a:prstGeom prst="rect">
          <a:avLst/>
        </a:prstGeom>
        <a:ln w="0">
          <a:noFill/>
        </a:ln>
      </xdr:spPr>
    </xdr:pic>
    <xdr:clientData/>
  </xdr:twoCellAnchor>
  <xdr:twoCellAnchor editAs="oneCell">
    <xdr:from>
      <xdr:col>0</xdr:col>
      <xdr:colOff>0</xdr:colOff>
      <xdr:row>97</xdr:row>
      <xdr:rowOff>490320</xdr:rowOff>
    </xdr:from>
    <xdr:to>
      <xdr:col>0</xdr:col>
      <xdr:colOff>732960</xdr:colOff>
      <xdr:row>98</xdr:row>
      <xdr:rowOff>442440</xdr:rowOff>
    </xdr:to>
    <xdr:pic>
      <xdr:nvPicPr>
        <xdr:cNvPr id="84" name="Image 85" descr="Picture"/>
        <xdr:cNvPicPr/>
      </xdr:nvPicPr>
      <xdr:blipFill>
        <a:blip r:embed="rId85"/>
        <a:stretch/>
      </xdr:blipFill>
      <xdr:spPr>
        <a:xfrm>
          <a:off x="0" y="55568880"/>
          <a:ext cx="732960" cy="533160"/>
        </a:xfrm>
        <a:prstGeom prst="rect">
          <a:avLst/>
        </a:prstGeom>
        <a:ln w="0">
          <a:noFill/>
        </a:ln>
      </xdr:spPr>
    </xdr:pic>
    <xdr:clientData/>
  </xdr:twoCellAnchor>
  <xdr:twoCellAnchor editAs="oneCell">
    <xdr:from>
      <xdr:col>0</xdr:col>
      <xdr:colOff>0</xdr:colOff>
      <xdr:row>99</xdr:row>
      <xdr:rowOff>490320</xdr:rowOff>
    </xdr:from>
    <xdr:to>
      <xdr:col>0</xdr:col>
      <xdr:colOff>771120</xdr:colOff>
      <xdr:row>100</xdr:row>
      <xdr:rowOff>442440</xdr:rowOff>
    </xdr:to>
    <xdr:pic>
      <xdr:nvPicPr>
        <xdr:cNvPr id="85" name="Image 86" descr="Picture"/>
        <xdr:cNvPicPr/>
      </xdr:nvPicPr>
      <xdr:blipFill>
        <a:blip r:embed="rId86"/>
        <a:stretch/>
      </xdr:blipFill>
      <xdr:spPr>
        <a:xfrm>
          <a:off x="0" y="56730960"/>
          <a:ext cx="771120" cy="533160"/>
        </a:xfrm>
        <a:prstGeom prst="rect">
          <a:avLst/>
        </a:prstGeom>
        <a:ln w="0">
          <a:noFill/>
        </a:ln>
      </xdr:spPr>
    </xdr:pic>
    <xdr:clientData/>
  </xdr:twoCellAnchor>
  <xdr:twoCellAnchor editAs="oneCell">
    <xdr:from>
      <xdr:col>0</xdr:col>
      <xdr:colOff>0</xdr:colOff>
      <xdr:row>105</xdr:row>
      <xdr:rowOff>490320</xdr:rowOff>
    </xdr:from>
    <xdr:to>
      <xdr:col>0</xdr:col>
      <xdr:colOff>380520</xdr:colOff>
      <xdr:row>106</xdr:row>
      <xdr:rowOff>442440</xdr:rowOff>
    </xdr:to>
    <xdr:pic>
      <xdr:nvPicPr>
        <xdr:cNvPr id="86" name="Image 87" descr="Picture"/>
        <xdr:cNvPicPr/>
      </xdr:nvPicPr>
      <xdr:blipFill>
        <a:blip r:embed="rId87"/>
        <a:stretch/>
      </xdr:blipFill>
      <xdr:spPr>
        <a:xfrm>
          <a:off x="0" y="60217200"/>
          <a:ext cx="380520" cy="533160"/>
        </a:xfrm>
        <a:prstGeom prst="rect">
          <a:avLst/>
        </a:prstGeom>
        <a:ln w="0">
          <a:noFill/>
        </a:ln>
      </xdr:spPr>
    </xdr:pic>
    <xdr:clientData/>
  </xdr:twoCellAnchor>
  <xdr:twoCellAnchor editAs="oneCell">
    <xdr:from>
      <xdr:col>0</xdr:col>
      <xdr:colOff>0</xdr:colOff>
      <xdr:row>111</xdr:row>
      <xdr:rowOff>489960</xdr:rowOff>
    </xdr:from>
    <xdr:to>
      <xdr:col>0</xdr:col>
      <xdr:colOff>713880</xdr:colOff>
      <xdr:row>112</xdr:row>
      <xdr:rowOff>442080</xdr:rowOff>
    </xdr:to>
    <xdr:pic>
      <xdr:nvPicPr>
        <xdr:cNvPr id="87" name="Image 88" descr="Picture"/>
        <xdr:cNvPicPr/>
      </xdr:nvPicPr>
      <xdr:blipFill>
        <a:blip r:embed="rId88"/>
        <a:stretch/>
      </xdr:blipFill>
      <xdr:spPr>
        <a:xfrm>
          <a:off x="0" y="63703080"/>
          <a:ext cx="713880" cy="533160"/>
        </a:xfrm>
        <a:prstGeom prst="rect">
          <a:avLst/>
        </a:prstGeom>
        <a:ln w="0">
          <a:noFill/>
        </a:ln>
      </xdr:spPr>
    </xdr:pic>
    <xdr:clientData/>
  </xdr:twoCellAnchor>
  <xdr:twoCellAnchor editAs="oneCell">
    <xdr:from>
      <xdr:col>0</xdr:col>
      <xdr:colOff>0</xdr:colOff>
      <xdr:row>112</xdr:row>
      <xdr:rowOff>489960</xdr:rowOff>
    </xdr:from>
    <xdr:to>
      <xdr:col>0</xdr:col>
      <xdr:colOff>761760</xdr:colOff>
      <xdr:row>113</xdr:row>
      <xdr:rowOff>442080</xdr:rowOff>
    </xdr:to>
    <xdr:pic>
      <xdr:nvPicPr>
        <xdr:cNvPr id="88" name="Image 89" descr="Picture"/>
        <xdr:cNvPicPr/>
      </xdr:nvPicPr>
      <xdr:blipFill>
        <a:blip r:embed="rId89"/>
        <a:stretch/>
      </xdr:blipFill>
      <xdr:spPr>
        <a:xfrm>
          <a:off x="0" y="64284120"/>
          <a:ext cx="761760" cy="533160"/>
        </a:xfrm>
        <a:prstGeom prst="rect">
          <a:avLst/>
        </a:prstGeom>
        <a:ln w="0">
          <a:noFill/>
        </a:ln>
      </xdr:spPr>
    </xdr:pic>
    <xdr:clientData/>
  </xdr:twoCellAnchor>
  <xdr:twoCellAnchor editAs="oneCell">
    <xdr:from>
      <xdr:col>0</xdr:col>
      <xdr:colOff>0</xdr:colOff>
      <xdr:row>113</xdr:row>
      <xdr:rowOff>489960</xdr:rowOff>
    </xdr:from>
    <xdr:to>
      <xdr:col>0</xdr:col>
      <xdr:colOff>790200</xdr:colOff>
      <xdr:row>114</xdr:row>
      <xdr:rowOff>442440</xdr:rowOff>
    </xdr:to>
    <xdr:pic>
      <xdr:nvPicPr>
        <xdr:cNvPr id="89" name="Image 90" descr="Picture"/>
        <xdr:cNvPicPr/>
      </xdr:nvPicPr>
      <xdr:blipFill>
        <a:blip r:embed="rId90"/>
        <a:stretch/>
      </xdr:blipFill>
      <xdr:spPr>
        <a:xfrm>
          <a:off x="0" y="64865160"/>
          <a:ext cx="790200" cy="533160"/>
        </a:xfrm>
        <a:prstGeom prst="rect">
          <a:avLst/>
        </a:prstGeom>
        <a:ln w="0">
          <a:noFill/>
        </a:ln>
      </xdr:spPr>
    </xdr:pic>
    <xdr:clientData/>
  </xdr:twoCellAnchor>
  <xdr:twoCellAnchor editAs="oneCell">
    <xdr:from>
      <xdr:col>0</xdr:col>
      <xdr:colOff>0</xdr:colOff>
      <xdr:row>114</xdr:row>
      <xdr:rowOff>490320</xdr:rowOff>
    </xdr:from>
    <xdr:to>
      <xdr:col>0</xdr:col>
      <xdr:colOff>856800</xdr:colOff>
      <xdr:row>115</xdr:row>
      <xdr:rowOff>42120</xdr:rowOff>
    </xdr:to>
    <xdr:pic>
      <xdr:nvPicPr>
        <xdr:cNvPr id="90" name="Image 91" descr="Picture"/>
        <xdr:cNvPicPr/>
      </xdr:nvPicPr>
      <xdr:blipFill>
        <a:blip r:embed="rId91"/>
        <a:stretch/>
      </xdr:blipFill>
      <xdr:spPr>
        <a:xfrm>
          <a:off x="0" y="65446200"/>
          <a:ext cx="856800" cy="132840"/>
        </a:xfrm>
        <a:prstGeom prst="rect">
          <a:avLst/>
        </a:prstGeom>
        <a:ln w="0">
          <a:noFill/>
        </a:ln>
      </xdr:spPr>
    </xdr:pic>
    <xdr:clientData/>
  </xdr:twoCellAnchor>
  <xdr:twoCellAnchor editAs="oneCell">
    <xdr:from>
      <xdr:col>0</xdr:col>
      <xdr:colOff>0</xdr:colOff>
      <xdr:row>123</xdr:row>
      <xdr:rowOff>490320</xdr:rowOff>
    </xdr:from>
    <xdr:to>
      <xdr:col>0</xdr:col>
      <xdr:colOff>856800</xdr:colOff>
      <xdr:row>124</xdr:row>
      <xdr:rowOff>413640</xdr:rowOff>
    </xdr:to>
    <xdr:pic>
      <xdr:nvPicPr>
        <xdr:cNvPr id="91" name="Image 92" descr="Picture"/>
        <xdr:cNvPicPr/>
      </xdr:nvPicPr>
      <xdr:blipFill>
        <a:blip r:embed="rId92"/>
        <a:stretch/>
      </xdr:blipFill>
      <xdr:spPr>
        <a:xfrm>
          <a:off x="0" y="70675560"/>
          <a:ext cx="856800" cy="504360"/>
        </a:xfrm>
        <a:prstGeom prst="rect">
          <a:avLst/>
        </a:prstGeom>
        <a:ln w="0">
          <a:noFill/>
        </a:ln>
      </xdr:spPr>
    </xdr:pic>
    <xdr:clientData/>
  </xdr:twoCellAnchor>
  <xdr:twoCellAnchor editAs="oneCell">
    <xdr:from>
      <xdr:col>0</xdr:col>
      <xdr:colOff>0</xdr:colOff>
      <xdr:row>124</xdr:row>
      <xdr:rowOff>490320</xdr:rowOff>
    </xdr:from>
    <xdr:to>
      <xdr:col>0</xdr:col>
      <xdr:colOff>304560</xdr:colOff>
      <xdr:row>125</xdr:row>
      <xdr:rowOff>442440</xdr:rowOff>
    </xdr:to>
    <xdr:pic>
      <xdr:nvPicPr>
        <xdr:cNvPr id="92" name="Image 93" descr="Picture"/>
        <xdr:cNvPicPr/>
      </xdr:nvPicPr>
      <xdr:blipFill>
        <a:blip r:embed="rId93"/>
        <a:stretch/>
      </xdr:blipFill>
      <xdr:spPr>
        <a:xfrm>
          <a:off x="0" y="71256600"/>
          <a:ext cx="304560" cy="533160"/>
        </a:xfrm>
        <a:prstGeom prst="rect">
          <a:avLst/>
        </a:prstGeom>
        <a:ln w="0">
          <a:noFill/>
        </a:ln>
      </xdr:spPr>
    </xdr:pic>
    <xdr:clientData/>
  </xdr:twoCellAnchor>
  <xdr:twoCellAnchor editAs="oneCell">
    <xdr:from>
      <xdr:col>0</xdr:col>
      <xdr:colOff>0</xdr:colOff>
      <xdr:row>125</xdr:row>
      <xdr:rowOff>490320</xdr:rowOff>
    </xdr:from>
    <xdr:to>
      <xdr:col>0</xdr:col>
      <xdr:colOff>856800</xdr:colOff>
      <xdr:row>126</xdr:row>
      <xdr:rowOff>308880</xdr:rowOff>
    </xdr:to>
    <xdr:pic>
      <xdr:nvPicPr>
        <xdr:cNvPr id="93" name="Image 94" descr="Picture"/>
        <xdr:cNvPicPr/>
      </xdr:nvPicPr>
      <xdr:blipFill>
        <a:blip r:embed="rId94"/>
        <a:stretch/>
      </xdr:blipFill>
      <xdr:spPr>
        <a:xfrm>
          <a:off x="0" y="71837640"/>
          <a:ext cx="856800" cy="3996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www.horn-eshop.us/en-US/229030010k10?query_id=632b0892eb9d01a52d08c5abc0ff73ad&amp;position=20" TargetMode="External"/><Relationship Id="rId2" Type="http://schemas.openxmlformats.org/officeDocument/2006/relationships/hyperlink" Target="https://webshop.iscarusa.com/catalogue/product/1952504" TargetMode="External"/><Relationship Id="rId3" Type="http://schemas.openxmlformats.org/officeDocument/2006/relationships/hyperlink" Target="https://www.mmc-carbide.com/us/webcatalog/product/106854" TargetMode="External"/><Relationship Id="rId4" Type="http://schemas.openxmlformats.org/officeDocument/2006/relationships/hyperlink" Target="https://www.sandvik.coromant.com/en-us/product-details?c=DCGX%202(1.5)1-AL%20H10&amp;m=5730518&amp;listName=autocomplete&amp;listIndex=0" TargetMode="External"/><Relationship Id="rId5" Type="http://schemas.openxmlformats.org/officeDocument/2006/relationships/hyperlink" Target="https://www.mmc-carbide.com/us/webcatalog/product/101573" TargetMode="External"/><Relationship Id="rId6" Type="http://schemas.openxmlformats.org/officeDocument/2006/relationships/hyperlink" Target="https://www.horn-eshop.us/en-US/r105471934ti25?query_id=ef240c255168ade5a98057d1d69517a5&amp;position=18" TargetMode="External"/><Relationship Id="rId7" Type="http://schemas.openxmlformats.org/officeDocument/2006/relationships/hyperlink" Target="https://www.horn-eshop.us/en-US/s2240200wa2k10?query_id=2d1a82045096f3456530ca15c5bd50e9&amp;position=16" TargetMode="External"/><Relationship Id="rId8" Type="http://schemas.openxmlformats.org/officeDocument/2006/relationships/hyperlink" Target="https://www.sandvik.coromant.com/en-us/product-details?c=CXS-05T098A20-5220R%201025" TargetMode="External"/><Relationship Id="rId9" Type="http://schemas.openxmlformats.org/officeDocument/2006/relationships/hyperlink" Target="https://www.sandvik.coromant.com/en-us/product-details?c=TCMT%2006%20T1%2008-KF%20%20%20%20H13A&amp;m=5752032" TargetMode="External"/><Relationship Id="rId10" Type="http://schemas.openxmlformats.org/officeDocument/2006/relationships/hyperlink" Target="-" TargetMode="External"/><Relationship Id="rId11" Type="http://schemas.openxmlformats.org/officeDocument/2006/relationships/hyperlink" Target="https://www.sandvik.coromant.com/en-us/product-details?c=CCMT%2006%2002%2004-UM%20%20%20%204425&amp;m=7860865" TargetMode="External"/><Relationship Id="rId12" Type="http://schemas.openxmlformats.org/officeDocument/2006/relationships/hyperlink" Target="https://www.kennametal.com/us/en/products/p.fix-perfect-aluminum-series-carbide-wiper-insert-bghx-gg1w-fine-finishing.1794656.html" TargetMode="External"/><Relationship Id="rId13" Type="http://schemas.openxmlformats.org/officeDocument/2006/relationships/hyperlink" Target="https://www.kennametal.com/us/en/products/p.mill-1-18-carbide-insert-edct-fldj-light-machining-of-aluminum.2271088.html?pdpQuery=EDCT180504pdfrldj%3Arelevance%3AobsoleteFacet%3Afalse&amp;uom=inch" TargetMode="External"/><Relationship Id="rId14" Type="http://schemas.openxmlformats.org/officeDocument/2006/relationships/hyperlink" Target="https://www.kennametal.com/us/en/products/p.cpmt-fp.3769056.html" TargetMode="External"/><Relationship Id="rId15" Type="http://schemas.openxmlformats.org/officeDocument/2006/relationships/hyperlink" Target="https://www.kennametal.com/ca/en/products/p.-ccmt-fp.7167775.html" TargetMode="External"/><Relationship Id="rId16" Type="http://schemas.openxmlformats.org/officeDocument/2006/relationships/hyperlink" Target="https://www.harveytool.com/products-en-ca/en-ca-tool-details-49839" TargetMode="External"/><Relationship Id="rId17" Type="http://schemas.openxmlformats.org/officeDocument/2006/relationships/hyperlink" Target="https://onsrud.com/Products/63763.asp" TargetMode="External"/><Relationship Id="rId18" Type="http://schemas.openxmlformats.org/officeDocument/2006/relationships/hyperlink" Target="https://onsrud.com/Products/63774.asp" TargetMode="External"/><Relationship Id="rId19" Type="http://schemas.openxmlformats.org/officeDocument/2006/relationships/hyperlink" Target="https://onsrud.com/Products/63712.asp" TargetMode="External"/><Relationship Id="rId20" Type="http://schemas.openxmlformats.org/officeDocument/2006/relationships/hyperlink" Target="https://onsrud.com/Products/63717.asp" TargetMode="External"/><Relationship Id="rId21" Type="http://schemas.openxmlformats.org/officeDocument/2006/relationships/hyperlink" Target="https://onsrud.com/Products/63767.asp" TargetMode="External"/><Relationship Id="rId22" Type="http://schemas.openxmlformats.org/officeDocument/2006/relationships/hyperlink" Target="https://onsrud.com/Products/63725.asp" TargetMode="External"/><Relationship Id="rId23" Type="http://schemas.openxmlformats.org/officeDocument/2006/relationships/hyperlink" Target="https://onsrud.com/Products/62718.asp" TargetMode="External"/><Relationship Id="rId24" Type="http://schemas.openxmlformats.org/officeDocument/2006/relationships/hyperlink" Target="https://onsrud.com/Products/63718.asp" TargetMode="External"/><Relationship Id="rId25" Type="http://schemas.openxmlformats.org/officeDocument/2006/relationships/hyperlink" Target="https://onsrud.com/Products/66321.asp" TargetMode="External"/><Relationship Id="rId26" Type="http://schemas.openxmlformats.org/officeDocument/2006/relationships/hyperlink" Target="https://onsrud.com/Products/62727.asp" TargetMode="External"/><Relationship Id="rId27" Type="http://schemas.openxmlformats.org/officeDocument/2006/relationships/hyperlink" Target="https://onsrud.com/Products/65109.asp" TargetMode="External"/><Relationship Id="rId28" Type="http://schemas.openxmlformats.org/officeDocument/2006/relationships/hyperlink" Target="https://onsrud.com/Products/62712.asp" TargetMode="External"/><Relationship Id="rId29" Type="http://schemas.openxmlformats.org/officeDocument/2006/relationships/hyperlink" Target="https://onsrud.com/Products/63775.asp" TargetMode="External"/><Relationship Id="rId30" Type="http://schemas.openxmlformats.org/officeDocument/2006/relationships/hyperlink" Target="https://onsrud.com/Products/63776.asp" TargetMode="External"/><Relationship Id="rId31" Type="http://schemas.openxmlformats.org/officeDocument/2006/relationships/hyperlink" Target="https://onsrud.com/Products/63777.asp" TargetMode="External"/><Relationship Id="rId32" Type="http://schemas.openxmlformats.org/officeDocument/2006/relationships/hyperlink" Target="https://onsrud.com/Products/63707.asp" TargetMode="External"/><Relationship Id="rId33" Type="http://schemas.openxmlformats.org/officeDocument/2006/relationships/hyperlink" Target="https://onsrud.com/Products/63731.asp" TargetMode="External"/><Relationship Id="rId34" Type="http://schemas.openxmlformats.org/officeDocument/2006/relationships/hyperlink" Target="https://onsrud.com/Products/63740.asp" TargetMode="External"/><Relationship Id="rId35" Type="http://schemas.openxmlformats.org/officeDocument/2006/relationships/hyperlink" Target="https://www.harveytool.com/products-en-ca/en-ca-tool-details-897424" TargetMode="External"/><Relationship Id="rId36" Type="http://schemas.openxmlformats.org/officeDocument/2006/relationships/hyperlink" Target="https://osgcanada.com/88300409/" TargetMode="External"/><Relationship Id="rId37" Type="http://schemas.openxmlformats.org/officeDocument/2006/relationships/hyperlink" Target="https://osgcanada.com/86300909/" TargetMode="External"/><Relationship Id="rId38" Type="http://schemas.openxmlformats.org/officeDocument/2006/relationships/hyperlink" Target="https://osgcanada.com/86301109/" TargetMode="External"/><Relationship Id="rId39" Type="http://schemas.openxmlformats.org/officeDocument/2006/relationships/hyperlink" Target="https://osgcanada.com/88300209/" TargetMode="External"/><Relationship Id="rId40" Type="http://schemas.openxmlformats.org/officeDocument/2006/relationships/hyperlink" Target="https://www.harveytool.com/products-en-ca/en-ca-tool-details-709508" TargetMode="External"/><Relationship Id="rId41" Type="http://schemas.openxmlformats.org/officeDocument/2006/relationships/hyperlink" Target="https://onsrud.com/Products/52706.asp" TargetMode="External"/><Relationship Id="rId42" Type="http://schemas.openxmlformats.org/officeDocument/2006/relationships/hyperlink" Target="https://onsrud.com/Products/3761.asp" TargetMode="External"/><Relationship Id="rId43" Type="http://schemas.openxmlformats.org/officeDocument/2006/relationships/hyperlink" Target="https://onsrud.com/Products/52280B.asp" TargetMode="External"/><Relationship Id="rId44" Type="http://schemas.openxmlformats.org/officeDocument/2006/relationships/hyperlink" Target="https://onsrud.com/Products/52240B.asp" TargetMode="External"/><Relationship Id="rId45" Type="http://schemas.openxmlformats.org/officeDocument/2006/relationships/hyperlink" Target="https://www.maford.com/product-details/61025002" TargetMode="External"/><Relationship Id="rId46" Type="http://schemas.openxmlformats.org/officeDocument/2006/relationships/hyperlink" Target="https://store.allstarcnc.com/products/bit-425-eb30?_pos=1&amp;_sid=5ab58ebc9&amp;_ss=r" TargetMode="External"/><Relationship Id="rId47" Type="http://schemas.openxmlformats.org/officeDocument/2006/relationships/hyperlink" Target="https://osgcanada.com/700-1251/" TargetMode="External"/><Relationship Id="rId48" Type="http://schemas.openxmlformats.org/officeDocument/2006/relationships/hyperlink" Target="https://onsrudtooling.com/product/60-163plr-1-2-inch-2-flute-polaris-compression-spiral/" TargetMode="External"/><Relationship Id="rId49" Type="http://schemas.openxmlformats.org/officeDocument/2006/relationships/hyperlink" Target="https://www.harveytool.com/products-en-ca/en-ca-tool-details-899840" TargetMode="External"/><Relationship Id="rId50" Type="http://schemas.openxmlformats.org/officeDocument/2006/relationships/hyperlink" Target="https://www.harveytool.com/products-en-ca/en-ca-tool-details-71020-c3" TargetMode="External"/><Relationship Id="rId51" Type="http://schemas.openxmlformats.org/officeDocument/2006/relationships/hyperlink" Target="https://www.harveytool.com/products-en-ca/en-ca-tool-details-71050" TargetMode="External"/><Relationship Id="rId52" Type="http://schemas.openxmlformats.org/officeDocument/2006/relationships/hyperlink" Target="https://onsrud.com/Products/66123.asp" TargetMode="External"/><Relationship Id="rId53" Type="http://schemas.openxmlformats.org/officeDocument/2006/relationships/hyperlink" Target="https://www.harveytool.com/products-en-ca/en-ca-tool-details-887050" TargetMode="External"/><Relationship Id="rId54" Type="http://schemas.openxmlformats.org/officeDocument/2006/relationships/hyperlink" Target="https://onsrud.com/Products/63783.asp" TargetMode="External"/><Relationship Id="rId55" Type="http://schemas.openxmlformats.org/officeDocument/2006/relationships/hyperlink" Target="https://onsrud.com/Products/63735.asp" TargetMode="External"/><Relationship Id="rId56" Type="http://schemas.openxmlformats.org/officeDocument/2006/relationships/hyperlink" Target="https://onsrud.com/Products/63701.asp" TargetMode="External"/><Relationship Id="rId57" Type="http://schemas.openxmlformats.org/officeDocument/2006/relationships/hyperlink" Target="https://onsrud.com/Products/66327.asp" TargetMode="External"/><Relationship Id="rId58" Type="http://schemas.openxmlformats.org/officeDocument/2006/relationships/hyperlink" Target="https://onsrud.com/Products/52704.asp" TargetMode="External"/><Relationship Id="rId59" Type="http://schemas.openxmlformats.org/officeDocument/2006/relationships/hyperlink" Target="https://osgcanada.com/700-5002/" TargetMode="External"/><Relationship Id="rId60" Type="http://schemas.openxmlformats.org/officeDocument/2006/relationships/hyperlink" Target="https://osgcanada.com/700-5001/" TargetMode="External"/><Relationship Id="rId61" Type="http://schemas.openxmlformats.org/officeDocument/2006/relationships/hyperlink" Target="https://onsrud.com/Products/63762.asp" TargetMode="External"/><Relationship Id="rId62" Type="http://schemas.openxmlformats.org/officeDocument/2006/relationships/hyperlink" Target="https://www.harveytool.com/products-en-ca/en-ca-tool-details-17197" TargetMode="External"/><Relationship Id="rId63" Type="http://schemas.openxmlformats.org/officeDocument/2006/relationships/hyperlink" Target="https://onsrud.com/Products/65020.asp" TargetMode="External"/><Relationship Id="rId64" Type="http://schemas.openxmlformats.org/officeDocument/2006/relationships/hyperlink" Target="https://osgcanada.com/86300409/" TargetMode="External"/><Relationship Id="rId65" Type="http://schemas.openxmlformats.org/officeDocument/2006/relationships/hyperlink" Target="https://onsrud.com/Products/63700.asp" TargetMode="External"/><Relationship Id="rId66" Type="http://schemas.openxmlformats.org/officeDocument/2006/relationships/hyperlink" Target="https://osgcanada.com/859751111/" TargetMode="External"/><Relationship Id="rId67" Type="http://schemas.openxmlformats.org/officeDocument/2006/relationships/hyperlink" Target="https://www.sandvik.coromant.com/en-us/product-details?c=462.1-0400-020A1-XM%20X2BM&amp;m=8653527" TargetMode="External"/><Relationship Id="rId68" Type="http://schemas.openxmlformats.org/officeDocument/2006/relationships/hyperlink" Target="https://www.mmc-carbide.com/us/webcatalog/product/106484" TargetMode="External"/><Relationship Id="rId69" Type="http://schemas.openxmlformats.org/officeDocument/2006/relationships/hyperlink" Target="https://www.horn-eshop.us/en-US/ru226100003?query_id=c8a1f07c52d38903e20eb088adfa6443&amp;position=16" TargetMode="External"/><Relationship Id="rId70" Type="http://schemas.openxmlformats.org/officeDocument/2006/relationships/hyperlink" Target="https://www.iscar.com/eCatalog/Item.aspx?cat=2800606&amp;fnum=170&amp;mapp=TG&amp;GFSTYP=I&amp;srch=1" TargetMode="External"/><Relationship Id="rId71" Type="http://schemas.openxmlformats.org/officeDocument/2006/relationships/hyperlink" Target="https://www.mmc-carbide.com/us/webcatalog/product/30008075" TargetMode="External"/><Relationship Id="rId72" Type="http://schemas.openxmlformats.org/officeDocument/2006/relationships/hyperlink" Target="https://www.sandvik.coromant.com/en-us/product-details?c=C4-SDJCR-27050-11C1&amp;m=8442452" TargetMode="External"/><Relationship Id="rId73" Type="http://schemas.openxmlformats.org/officeDocument/2006/relationships/hyperlink" Target="https://www.iscar.com/eCatalog/Item.aspx?cat=2800450&amp;fnum=180&amp;mapp=TG&amp;GFSTYP=I&amp;srch=1" TargetMode="External"/><Relationship Id="rId74" Type="http://schemas.openxmlformats.org/officeDocument/2006/relationships/hyperlink" Target="https://www.horn-eshop.us/en-US/bu105062501" TargetMode="External"/><Relationship Id="rId75" Type="http://schemas.openxmlformats.org/officeDocument/2006/relationships/hyperlink" Target="https://www.kennametal.com/us/en/products/p.l-sclp-5.3331042.html" TargetMode="External"/><Relationship Id="rId76" Type="http://schemas.openxmlformats.org/officeDocument/2006/relationships/hyperlink" Target="https://www.horn-eshop.us/en-US/rhu224100002?query_id=421810deb915c85bc2c1fc0dad6cd0f5&amp;position=16" TargetMode="External"/><Relationship Id="rId77" Type="http://schemas.openxmlformats.org/officeDocument/2006/relationships/hyperlink" Target="https://www.sandvik.coromant.com/en-us/product-details?c=CXS-A0625-05&amp;m=5726323&amp;listName=search%20result&amp;listIndex=1" TargetMode="External"/><Relationship Id="rId78" Type="http://schemas.openxmlformats.org/officeDocument/2006/relationships/hyperlink" Target="https://www.sandvik.coromant.com/en-us/product-details?c=A393.14-26%2032%20203&amp;m=5722984&amp;listName=search%20result&amp;listIndex=0" TargetMode="External"/><Relationship Id="rId79" Type="http://schemas.openxmlformats.org/officeDocument/2006/relationships/hyperlink" Target="https://exacttooling.com/products/rh2180183" TargetMode="External"/><Relationship Id="rId80" Type="http://schemas.openxmlformats.org/officeDocument/2006/relationships/hyperlink" Target="https://omatei.com/content/61/2295.html" TargetMode="External"/><Relationship Id="rId81" Type="http://schemas.openxmlformats.org/officeDocument/2006/relationships/hyperlink" Target="https://www.taiki-jaws.com/en-US/p140-soft-jaw-boring-rings" TargetMode="External"/><Relationship Id="rId82" Type="http://schemas.openxmlformats.org/officeDocument/2006/relationships/hyperlink" Target="https://www.weratools.com/en-ca/tools/belt-c-2-zyklop-in-hex-plus-bit-socket-set-with-holding-function-1-2-drive" TargetMode="External"/><Relationship Id="rId83" Type="http://schemas.openxmlformats.org/officeDocument/2006/relationships/hyperlink" Target="https://www.weratools.com/en-ca/tools/belt-b-2-zyklop-hex-plus-bit-socket-set-with-holding-function-for-hexagon-socket-screws-3-8-drive" TargetMode="External"/><Relationship Id="rId84" Type="http://schemas.openxmlformats.org/officeDocument/2006/relationships/hyperlink" Target="https://www.wera.de/en/tools/click-torque-b-2-torque-wrench-with-reversible-ratchet-20-100-nm" TargetMode="External"/><Relationship Id="rId85" Type="http://schemas.openxmlformats.org/officeDocument/2006/relationships/hyperlink" Target="https://www.amazon.ca/Refractometer-Measuring-Equipment-Temperature-Compensation/dp/B01LW4HHRC" TargetMode="External"/><Relationship Id="rId86" Type="http://schemas.openxmlformats.org/officeDocument/2006/relationships/hyperlink" Target="https://www.mitutoyo.com/benchmark/products/digimatic-micrometers.html" TargetMode="External"/><Relationship Id="rId87" Type="http://schemas.openxmlformats.org/officeDocument/2006/relationships/hyperlink" Target="https://www.mitutoyo.com/benchmark/products/digimatic-micrometers.html" TargetMode="External"/><Relationship Id="rId88"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34"/>
    <col collapsed="false" customWidth="true" hidden="false" outlineLevel="0" max="4" min="4" style="0" width="30"/>
    <col collapsed="false" customWidth="true" hidden="false" outlineLevel="0" max="5" min="5" style="0" width="13"/>
    <col collapsed="false" customWidth="true" hidden="false" outlineLevel="0" max="6" min="6" style="0" width="20"/>
    <col collapsed="false" customWidth="true" hidden="false" outlineLevel="0" max="7" min="7" style="0" width="3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c r="C4" s="2" t="s">
        <v>4</v>
      </c>
    </row>
    <row r="5" customFormat="false" ht="15" hidden="false" customHeight="false" outlineLevel="0" collapsed="false">
      <c r="A5" s="3" t="s">
        <v>5</v>
      </c>
      <c r="B5" s="5" t="s">
        <v>6</v>
      </c>
      <c r="C5" s="2" t="s">
        <v>7</v>
      </c>
    </row>
    <row r="6" customFormat="false" ht="15" hidden="false" customHeight="false" outlineLevel="0" collapsed="false">
      <c r="A6" s="3" t="s">
        <v>8</v>
      </c>
      <c r="B6" s="5" t="s">
        <v>9</v>
      </c>
      <c r="C6" s="2" t="s">
        <v>10</v>
      </c>
    </row>
    <row r="8" customFormat="false" ht="15" hidden="false" customHeight="false" outlineLevel="0" collapsed="false">
      <c r="A8" s="6" t="s">
        <v>11</v>
      </c>
    </row>
    <row r="9" customFormat="false" ht="15" hidden="false" customHeight="false" outlineLevel="0" collapsed="false">
      <c r="A9" s="7" t="s">
        <v>12</v>
      </c>
      <c r="B9" s="8" t="n">
        <f aca="false">IF(ISNUMBER(Calcul!$C$11),Calcul!$C$11,"Cote invalide")</f>
        <v>0.3125</v>
      </c>
      <c r="C9" s="7" t="s">
        <v>13</v>
      </c>
      <c r="D9" s="9" t="n">
        <f aca="false">IF(ISNUMBER(Calcul!$C$11),Calcul!$C$11*25.4,"")</f>
        <v>7.9375</v>
      </c>
    </row>
    <row r="10" customFormat="false" ht="15" hidden="false" customHeight="false" outlineLevel="0" collapsed="false">
      <c r="A10" s="7" t="s">
        <v>14</v>
      </c>
      <c r="B10" s="10" t="n">
        <f aca="false">IF(ISNUMBER(Calcul!$C$11),Calcul!$C$11/2,"")</f>
        <v>0.15625</v>
      </c>
      <c r="C10" s="7" t="s">
        <v>15</v>
      </c>
      <c r="D10" s="9" t="n">
        <f aca="false">IF(ISNUMBER(Calcul!$C$11),Calcul!$C$11*25.4/2,"")</f>
        <v>3.96875</v>
      </c>
    </row>
    <row r="11" customFormat="false" ht="15" hidden="false" customHeight="false" outlineLevel="0" collapsed="false">
      <c r="A11" s="3" t="s">
        <v>16</v>
      </c>
      <c r="B11" s="11" t="str">
        <f aca="false">IF(NOT(ISNUMBER(Calcul!$C$11)),"Cote invalide : vérifie la saisie",IF(Calcul!$C$14&lt;1,"Plus petit que "&amp;Convertisseur!$B$6&amp;" po : aucun outil",IF(ABS(Calcul!$C$11*Calcul!$C$13-ROUND(Calcul!$C$11*Calcul!$C$13,0))&lt;0.0001,"Multiple exact de "&amp;Convertisseur!$B$6,"Pas un multiple de "&amp;Convertisseur!$B$6&amp;" : arrondi au cran en dessous")))</f>
        <v>Multiple exact de 1/16</v>
      </c>
      <c r="C11" s="11"/>
      <c r="D11" s="11"/>
      <c r="E11" s="11"/>
      <c r="F11" s="11"/>
    </row>
    <row r="13" customFormat="false" ht="15" hidden="false" customHeight="false" outlineLevel="0" collapsed="false">
      <c r="A13" s="12" t="s">
        <v>17</v>
      </c>
      <c r="B13" s="12" t="s">
        <v>6</v>
      </c>
      <c r="C13" s="12" t="s">
        <v>18</v>
      </c>
      <c r="D13" s="12" t="s">
        <v>19</v>
      </c>
      <c r="E13" s="12" t="s">
        <v>20</v>
      </c>
      <c r="F13" s="12" t="s">
        <v>21</v>
      </c>
      <c r="G13" s="12" t="s">
        <v>22</v>
      </c>
    </row>
    <row r="14" customFormat="false" ht="16.15" hidden="false" customHeight="false" outlineLevel="0" collapsed="false">
      <c r="A14" s="13" t="s">
        <v>23</v>
      </c>
      <c r="B14" s="14" t="str">
        <f aca="false">IF(C14&lt;=0,"—",IF(NOT(ISNUMBER(C14)),"",IF(C14&lt;=0,"",IF(ABS(C14*64-ROUND(C14*64,0))&gt;0.0005,"≈ ","")&amp;IF(INT(ROUND(C14*64,0)/64)&gt;0,INT(ROUND(C14*64,0)/64)&amp;IF(MOD(ROUND(C14*64,0),64)&gt;0," ",""),"")&amp;IF(MOD(ROUND(C14*64,0),64)&gt;0,MOD(ROUND(C14*64,0),64)/GCD(MOD(ROUND(C14*64,0),64),64)&amp;"/"&amp;64/GCD(MOD(ROUND(C14*64,0),64),64),IF(ROUND(C14*64,0)=0,"0",""))&amp;"""")))</f>
        <v>5/16"</v>
      </c>
      <c r="C14" s="15" t="n">
        <f aca="false">IF(ISNUMBER(Calcul!$C$11),MAX(0,(Calcul!$C$14-0)/Calcul!$C$13),0)</f>
        <v>0.3125</v>
      </c>
      <c r="D14" s="16" t="n">
        <f aca="false">IF(C14&lt;=0,"—",C14*25.4)</f>
        <v>7.9375</v>
      </c>
      <c r="E14" s="15" t="n">
        <f aca="false">IF(C14&lt;=0,"—",C14/2)</f>
        <v>0.15625</v>
      </c>
      <c r="F14" s="16" t="n">
        <f aca="false">IF(C14&lt;=0,"—",C14*25.4/2)</f>
        <v>3.96875</v>
      </c>
      <c r="G14" s="17" t="n">
        <f aca="false">IF(C14&lt;=0,"—",C14-Calcul!$C$11)</f>
        <v>0</v>
      </c>
    </row>
    <row r="15" customFormat="false" ht="16.15" hidden="false" customHeight="false" outlineLevel="0" collapsed="false">
      <c r="A15" s="18" t="s">
        <v>24</v>
      </c>
      <c r="B15" s="19" t="str">
        <f aca="false">IF(C15&lt;=0,"—",IF(NOT(ISNUMBER(C15)),"",IF(C15&lt;=0,"",IF(ABS(C15*64-ROUND(C15*64,0))&gt;0.0005,"≈ ","")&amp;IF(INT(ROUND(C15*64,0)/64)&gt;0,INT(ROUND(C15*64,0)/64)&amp;IF(MOD(ROUND(C15*64,0),64)&gt;0," ",""),"")&amp;IF(MOD(ROUND(C15*64,0),64)&gt;0,MOD(ROUND(C15*64,0),64)/GCD(MOD(ROUND(C15*64,0),64),64)&amp;"/"&amp;64/GCD(MOD(ROUND(C15*64,0),64),64),IF(ROUND(C15*64,0)=0,"0",""))&amp;"""")))</f>
        <v>1/4"</v>
      </c>
      <c r="C15" s="20" t="n">
        <f aca="false">IF(ISNUMBER(Calcul!$C$11),MAX(0,(Calcul!$C$14-1)/Calcul!$C$13),0)</f>
        <v>0.25</v>
      </c>
      <c r="D15" s="21" t="n">
        <f aca="false">IF(C15&lt;=0,"—",C15*25.4)</f>
        <v>6.35</v>
      </c>
      <c r="E15" s="20" t="n">
        <f aca="false">IF(C15&lt;=0,"—",C15/2)</f>
        <v>0.125</v>
      </c>
      <c r="F15" s="21" t="n">
        <f aca="false">IF(C15&lt;=0,"—",C15*25.4/2)</f>
        <v>3.175</v>
      </c>
      <c r="G15" s="22" t="n">
        <f aca="false">IF(C15&lt;=0,"—",C15-Calcul!$C$11)</f>
        <v>-0.0625</v>
      </c>
    </row>
    <row r="16" customFormat="false" ht="16.15" hidden="false" customHeight="false" outlineLevel="0" collapsed="false">
      <c r="A16" s="18" t="s">
        <v>25</v>
      </c>
      <c r="B16" s="19" t="str">
        <f aca="false">IF(C16&lt;=0,"—",IF(NOT(ISNUMBER(C16)),"",IF(C16&lt;=0,"",IF(ABS(C16*64-ROUND(C16*64,0))&gt;0.0005,"≈ ","")&amp;IF(INT(ROUND(C16*64,0)/64)&gt;0,INT(ROUND(C16*64,0)/64)&amp;IF(MOD(ROUND(C16*64,0),64)&gt;0," ",""),"")&amp;IF(MOD(ROUND(C16*64,0),64)&gt;0,MOD(ROUND(C16*64,0),64)/GCD(MOD(ROUND(C16*64,0),64),64)&amp;"/"&amp;64/GCD(MOD(ROUND(C16*64,0),64),64),IF(ROUND(C16*64,0)=0,"0",""))&amp;"""")))</f>
        <v>3/16"</v>
      </c>
      <c r="C16" s="20" t="n">
        <f aca="false">IF(ISNUMBER(Calcul!$C$11),MAX(0,(Calcul!$C$14-2)/Calcul!$C$13),0)</f>
        <v>0.1875</v>
      </c>
      <c r="D16" s="21" t="n">
        <f aca="false">IF(C16&lt;=0,"—",C16*25.4)</f>
        <v>4.7625</v>
      </c>
      <c r="E16" s="20" t="n">
        <f aca="false">IF(C16&lt;=0,"—",C16/2)</f>
        <v>0.09375</v>
      </c>
      <c r="F16" s="21" t="n">
        <f aca="false">IF(C16&lt;=0,"—",C16*25.4/2)</f>
        <v>2.38125</v>
      </c>
      <c r="G16" s="22" t="n">
        <f aca="false">IF(C16&lt;=0,"—",C16-Calcul!$C$11)</f>
        <v>-0.125</v>
      </c>
    </row>
    <row r="19" customFormat="false" ht="15" hidden="false" customHeight="false" outlineLevel="0" collapsed="false">
      <c r="A19" s="23" t="str">
        <f aca="false">"Outils de ta liste pour "&amp;IF(C14&lt;=0,"—",B14)&amp;"  ("&amp;A14&amp;")"</f>
        <v>Outils de ta liste pour 5/16"  (Valeur correcte)</v>
      </c>
    </row>
    <row r="20" customFormat="false" ht="15" hidden="false" customHeight="false" outlineLevel="0" collapsed="false">
      <c r="A20" s="2" t="str">
        <f aca="false">IF(C14&lt;=0,"",COUNT(Calcul!$M$60:$M$184)&amp;" outil(s) de ce diamètre")</f>
        <v>0 outil(s) de ce diamètre</v>
      </c>
    </row>
    <row r="21" customFormat="false" ht="26.85" hidden="false" customHeight="false" outlineLevel="0" collapsed="false">
      <c r="A21" s="12" t="s">
        <v>26</v>
      </c>
      <c r="B21" s="12" t="s">
        <v>27</v>
      </c>
      <c r="C21" s="12" t="s">
        <v>28</v>
      </c>
      <c r="D21" s="12" t="s">
        <v>29</v>
      </c>
      <c r="E21" s="12" t="s">
        <v>30</v>
      </c>
      <c r="F21" s="12" t="s">
        <v>31</v>
      </c>
      <c r="G21" s="12" t="s">
        <v>32</v>
      </c>
    </row>
    <row r="22" customFormat="false" ht="15" hidden="false" customHeight="false" outlineLevel="0" collapsed="false">
      <c r="A22" s="24" t="str">
        <f aca="false">IF(IFERROR(MATCH(1,Calcul!$M$60:$M$184,0),0)=0,"",INDEX('Liste outils'!$B$6:$B$130,IFERROR(MATCH(1,Calcul!$M$60:$M$184,0),0))&amp;"")</f>
        <v/>
      </c>
      <c r="B22" s="25" t="str">
        <f aca="false">IF(IFERROR(MATCH(1,Calcul!$M$60:$M$184,0),0)=0,"",INDEX('Liste outils'!$C$6:$C$130,IFERROR(MATCH(1,Calcul!$M$60:$M$184,0),0))&amp;"")</f>
        <v/>
      </c>
      <c r="C22" s="25" t="str">
        <f aca="false">IF(IFERROR(MATCH(1,Calcul!$M$60:$M$184,0),0)=0,"",INDEX('Liste outils'!$J$6:$J$130,IFERROR(MATCH(1,Calcul!$M$60:$M$184,0),0))&amp;"")</f>
        <v/>
      </c>
      <c r="D22" s="25" t="str">
        <f aca="false">IF(IFERROR(MATCH(1,Calcul!$M$60:$M$184,0),0)=0,"",IF(ISNUMBER(INDEX('Liste outils'!$H$6:$H$130,IFERROR(MATCH(1,Calcul!$M$60:$M$184,0),0))),IF(NOT(ISNUMBER(INDEX('Liste outils'!$H$6:$H$130,IFERROR(MATCH(1,Calcul!$M$60:$M$184,0),0)))),"",IF(NOT(ISNUMBER(INDEX('Liste outils'!$H$6:$H$130,IFERROR(MATCH(1,Calcul!$M$60:$M$184,0),0)))),"",IF(INDEX('Liste outils'!$H$6:$H$130,IFERROR(MATCH(1,Calcul!$M$60:$M$184,0),0))&lt;=0,"",IF(ABS(INDEX('Liste outils'!$H$6:$H$130,IFERROR(MATCH(1,Calcul!$M$60:$M$184,0),0))*64-ROUND(INDEX('Liste outils'!$H$6:$H$130,IFERROR(MATCH(1,Calcul!$M$60:$M$184,0),0))*64,0))&gt;0.0005,"≈ ","")&amp;IF(INT(ROUND(INDEX('Liste outils'!$H$6:$H$130,IFERROR(MATCH(1,Calcul!$M$60:$M$184,0),0))*64,0)/64)&gt;0,INT(ROUND(INDEX('Liste outils'!$H$6:$H$130,IFERROR(MATCH(1,Calcul!$M$60:$M$184,0),0))*64,0)/64)&amp;IF(MOD(ROUND(INDEX('Liste outils'!$H$6:$H$130,IFERROR(MATCH(1,Calcul!$M$60:$M$184,0),0))*64,0),64)&gt;0," ",""),"")&amp;IF(MOD(ROUND(INDEX('Liste outils'!$H$6:$H$130,IFERROR(MATCH(1,Calcul!$M$60:$M$184,0),0))*64,0),64)&gt;0,MOD(ROUND(INDEX('Liste outils'!$H$6:$H$130,IFERROR(MATCH(1,Calcul!$M$60:$M$184,0),0))*64,0),64)/GCD(MOD(ROUND(INDEX('Liste outils'!$H$6:$H$130,IFERROR(MATCH(1,Calcul!$M$60:$M$184,0),0))*64,0),64),64)&amp;"/"&amp;64/GCD(MOD(ROUND(INDEX('Liste outils'!$H$6:$H$130,IFERROR(MATCH(1,Calcul!$M$60:$M$184,0),0))*64,0),64),64),IF(ROUND(INDEX('Liste outils'!$H$6:$H$130,IFERROR(MATCH(1,Calcul!$M$60:$M$184,0),0))*64,0)=0,"0",""))&amp;""""))&amp;" · "&amp;FIXED(INDEX('Liste outils'!$H$6:$H$130,IFERROR(MATCH(1,Calcul!$M$60:$M$184,0),0)),4,TRUE())&amp;" po · "&amp;FIXED(INDEX('Liste outils'!$H$6:$H$130,IFERROR(MATCH(1,Calcul!$M$60:$M$184,0),0))*25.4,3,TRUE())&amp;" mm"),""))</f>
        <v/>
      </c>
      <c r="E22" s="25" t="str">
        <f aca="false">IF(IFERROR(MATCH(1,Calcul!$M$60:$M$184,0),0)=0,"",INDEX('Liste outils'!$AB$6:$AB$130,IFERROR(MATCH(1,Calcul!$M$60:$M$184,0),0))&amp;"")</f>
        <v/>
      </c>
      <c r="F22" s="25" t="str">
        <f aca="false">IF(IFERROR(MATCH(1,Calcul!$M$60:$M$184,0),0)=0,"",INDEX('Liste outils'!$O$6:$O$130,IFERROR(MATCH(1,Calcul!$M$60:$M$184,0),0))&amp;"")</f>
        <v/>
      </c>
      <c r="G22" s="25" t="str">
        <f aca="false">IF(IFERROR(MATCH(1,Calcul!$M$60:$M$184,0),0)=0,"",INDEX('Liste outils'!$AC$6:$AC$130,IFERROR(MATCH(1,Calcul!$M$60:$M$184,0),0))&amp;"")</f>
        <v/>
      </c>
    </row>
    <row r="23" customFormat="false" ht="15" hidden="false" customHeight="false" outlineLevel="0" collapsed="false">
      <c r="A23" s="24" t="str">
        <f aca="false">IF(IFERROR(MATCH(2,Calcul!$M$60:$M$184,0),0)=0,"",INDEX('Liste outils'!$B$6:$B$130,IFERROR(MATCH(2,Calcul!$M$60:$M$184,0),0))&amp;"")</f>
        <v/>
      </c>
      <c r="B23" s="25" t="str">
        <f aca="false">IF(IFERROR(MATCH(2,Calcul!$M$60:$M$184,0),0)=0,"",INDEX('Liste outils'!$C$6:$C$130,IFERROR(MATCH(2,Calcul!$M$60:$M$184,0),0))&amp;"")</f>
        <v/>
      </c>
      <c r="C23" s="25" t="str">
        <f aca="false">IF(IFERROR(MATCH(2,Calcul!$M$60:$M$184,0),0)=0,"",INDEX('Liste outils'!$J$6:$J$130,IFERROR(MATCH(2,Calcul!$M$60:$M$184,0),0))&amp;"")</f>
        <v/>
      </c>
      <c r="D23" s="25" t="str">
        <f aca="false">IF(IFERROR(MATCH(2,Calcul!$M$60:$M$184,0),0)=0,"",IF(ISNUMBER(INDEX('Liste outils'!$H$6:$H$130,IFERROR(MATCH(2,Calcul!$M$60:$M$184,0),0))),IF(NOT(ISNUMBER(INDEX('Liste outils'!$H$6:$H$130,IFERROR(MATCH(2,Calcul!$M$60:$M$184,0),0)))),"",IF(NOT(ISNUMBER(INDEX('Liste outils'!$H$6:$H$130,IFERROR(MATCH(2,Calcul!$M$60:$M$184,0),0)))),"",IF(INDEX('Liste outils'!$H$6:$H$130,IFERROR(MATCH(2,Calcul!$M$60:$M$184,0),0))&lt;=0,"",IF(ABS(INDEX('Liste outils'!$H$6:$H$130,IFERROR(MATCH(2,Calcul!$M$60:$M$184,0),0))*64-ROUND(INDEX('Liste outils'!$H$6:$H$130,IFERROR(MATCH(2,Calcul!$M$60:$M$184,0),0))*64,0))&gt;0.0005,"≈ ","")&amp;IF(INT(ROUND(INDEX('Liste outils'!$H$6:$H$130,IFERROR(MATCH(2,Calcul!$M$60:$M$184,0),0))*64,0)/64)&gt;0,INT(ROUND(INDEX('Liste outils'!$H$6:$H$130,IFERROR(MATCH(2,Calcul!$M$60:$M$184,0),0))*64,0)/64)&amp;IF(MOD(ROUND(INDEX('Liste outils'!$H$6:$H$130,IFERROR(MATCH(2,Calcul!$M$60:$M$184,0),0))*64,0),64)&gt;0," ",""),"")&amp;IF(MOD(ROUND(INDEX('Liste outils'!$H$6:$H$130,IFERROR(MATCH(2,Calcul!$M$60:$M$184,0),0))*64,0),64)&gt;0,MOD(ROUND(INDEX('Liste outils'!$H$6:$H$130,IFERROR(MATCH(2,Calcul!$M$60:$M$184,0),0))*64,0),64)/GCD(MOD(ROUND(INDEX('Liste outils'!$H$6:$H$130,IFERROR(MATCH(2,Calcul!$M$60:$M$184,0),0))*64,0),64),64)&amp;"/"&amp;64/GCD(MOD(ROUND(INDEX('Liste outils'!$H$6:$H$130,IFERROR(MATCH(2,Calcul!$M$60:$M$184,0),0))*64,0),64),64),IF(ROUND(INDEX('Liste outils'!$H$6:$H$130,IFERROR(MATCH(2,Calcul!$M$60:$M$184,0),0))*64,0)=0,"0",""))&amp;""""))&amp;" · "&amp;FIXED(INDEX('Liste outils'!$H$6:$H$130,IFERROR(MATCH(2,Calcul!$M$60:$M$184,0),0)),4,TRUE())&amp;" po · "&amp;FIXED(INDEX('Liste outils'!$H$6:$H$130,IFERROR(MATCH(2,Calcul!$M$60:$M$184,0),0))*25.4,3,TRUE())&amp;" mm"),""))</f>
        <v/>
      </c>
      <c r="E23" s="25" t="str">
        <f aca="false">IF(IFERROR(MATCH(2,Calcul!$M$60:$M$184,0),0)=0,"",INDEX('Liste outils'!$AB$6:$AB$130,IFERROR(MATCH(2,Calcul!$M$60:$M$184,0),0))&amp;"")</f>
        <v/>
      </c>
      <c r="F23" s="25" t="str">
        <f aca="false">IF(IFERROR(MATCH(2,Calcul!$M$60:$M$184,0),0)=0,"",INDEX('Liste outils'!$O$6:$O$130,IFERROR(MATCH(2,Calcul!$M$60:$M$184,0),0))&amp;"")</f>
        <v/>
      </c>
      <c r="G23" s="25" t="str">
        <f aca="false">IF(IFERROR(MATCH(2,Calcul!$M$60:$M$184,0),0)=0,"",INDEX('Liste outils'!$AC$6:$AC$130,IFERROR(MATCH(2,Calcul!$M$60:$M$184,0),0))&amp;"")</f>
        <v/>
      </c>
    </row>
    <row r="24" customFormat="false" ht="15" hidden="false" customHeight="false" outlineLevel="0" collapsed="false">
      <c r="A24" s="24" t="str">
        <f aca="false">IF(IFERROR(MATCH(3,Calcul!$M$60:$M$184,0),0)=0,"",INDEX('Liste outils'!$B$6:$B$130,IFERROR(MATCH(3,Calcul!$M$60:$M$184,0),0))&amp;"")</f>
        <v/>
      </c>
      <c r="B24" s="25" t="str">
        <f aca="false">IF(IFERROR(MATCH(3,Calcul!$M$60:$M$184,0),0)=0,"",INDEX('Liste outils'!$C$6:$C$130,IFERROR(MATCH(3,Calcul!$M$60:$M$184,0),0))&amp;"")</f>
        <v/>
      </c>
      <c r="C24" s="25" t="str">
        <f aca="false">IF(IFERROR(MATCH(3,Calcul!$M$60:$M$184,0),0)=0,"",INDEX('Liste outils'!$J$6:$J$130,IFERROR(MATCH(3,Calcul!$M$60:$M$184,0),0))&amp;"")</f>
        <v/>
      </c>
      <c r="D24" s="25" t="str">
        <f aca="false">IF(IFERROR(MATCH(3,Calcul!$M$60:$M$184,0),0)=0,"",IF(ISNUMBER(INDEX('Liste outils'!$H$6:$H$130,IFERROR(MATCH(3,Calcul!$M$60:$M$184,0),0))),IF(NOT(ISNUMBER(INDEX('Liste outils'!$H$6:$H$130,IFERROR(MATCH(3,Calcul!$M$60:$M$184,0),0)))),"",IF(NOT(ISNUMBER(INDEX('Liste outils'!$H$6:$H$130,IFERROR(MATCH(3,Calcul!$M$60:$M$184,0),0)))),"",IF(INDEX('Liste outils'!$H$6:$H$130,IFERROR(MATCH(3,Calcul!$M$60:$M$184,0),0))&lt;=0,"",IF(ABS(INDEX('Liste outils'!$H$6:$H$130,IFERROR(MATCH(3,Calcul!$M$60:$M$184,0),0))*64-ROUND(INDEX('Liste outils'!$H$6:$H$130,IFERROR(MATCH(3,Calcul!$M$60:$M$184,0),0))*64,0))&gt;0.0005,"≈ ","")&amp;IF(INT(ROUND(INDEX('Liste outils'!$H$6:$H$130,IFERROR(MATCH(3,Calcul!$M$60:$M$184,0),0))*64,0)/64)&gt;0,INT(ROUND(INDEX('Liste outils'!$H$6:$H$130,IFERROR(MATCH(3,Calcul!$M$60:$M$184,0),0))*64,0)/64)&amp;IF(MOD(ROUND(INDEX('Liste outils'!$H$6:$H$130,IFERROR(MATCH(3,Calcul!$M$60:$M$184,0),0))*64,0),64)&gt;0," ",""),"")&amp;IF(MOD(ROUND(INDEX('Liste outils'!$H$6:$H$130,IFERROR(MATCH(3,Calcul!$M$60:$M$184,0),0))*64,0),64)&gt;0,MOD(ROUND(INDEX('Liste outils'!$H$6:$H$130,IFERROR(MATCH(3,Calcul!$M$60:$M$184,0),0))*64,0),64)/GCD(MOD(ROUND(INDEX('Liste outils'!$H$6:$H$130,IFERROR(MATCH(3,Calcul!$M$60:$M$184,0),0))*64,0),64),64)&amp;"/"&amp;64/GCD(MOD(ROUND(INDEX('Liste outils'!$H$6:$H$130,IFERROR(MATCH(3,Calcul!$M$60:$M$184,0),0))*64,0),64),64),IF(ROUND(INDEX('Liste outils'!$H$6:$H$130,IFERROR(MATCH(3,Calcul!$M$60:$M$184,0),0))*64,0)=0,"0",""))&amp;""""))&amp;" · "&amp;FIXED(INDEX('Liste outils'!$H$6:$H$130,IFERROR(MATCH(3,Calcul!$M$60:$M$184,0),0)),4,TRUE())&amp;" po · "&amp;FIXED(INDEX('Liste outils'!$H$6:$H$130,IFERROR(MATCH(3,Calcul!$M$60:$M$184,0),0))*25.4,3,TRUE())&amp;" mm"),""))</f>
        <v/>
      </c>
      <c r="E24" s="25" t="str">
        <f aca="false">IF(IFERROR(MATCH(3,Calcul!$M$60:$M$184,0),0)=0,"",INDEX('Liste outils'!$AB$6:$AB$130,IFERROR(MATCH(3,Calcul!$M$60:$M$184,0),0))&amp;"")</f>
        <v/>
      </c>
      <c r="F24" s="25" t="str">
        <f aca="false">IF(IFERROR(MATCH(3,Calcul!$M$60:$M$184,0),0)=0,"",INDEX('Liste outils'!$O$6:$O$130,IFERROR(MATCH(3,Calcul!$M$60:$M$184,0),0))&amp;"")</f>
        <v/>
      </c>
      <c r="G24" s="25" t="str">
        <f aca="false">IF(IFERROR(MATCH(3,Calcul!$M$60:$M$184,0),0)=0,"",INDEX('Liste outils'!$AC$6:$AC$130,IFERROR(MATCH(3,Calcul!$M$60:$M$184,0),0))&amp;"")</f>
        <v/>
      </c>
    </row>
    <row r="25" customFormat="false" ht="15" hidden="false" customHeight="false" outlineLevel="0" collapsed="false">
      <c r="A25" s="24" t="str">
        <f aca="false">IF(IFERROR(MATCH(4,Calcul!$M$60:$M$184,0),0)=0,"",INDEX('Liste outils'!$B$6:$B$130,IFERROR(MATCH(4,Calcul!$M$60:$M$184,0),0))&amp;"")</f>
        <v/>
      </c>
      <c r="B25" s="25" t="str">
        <f aca="false">IF(IFERROR(MATCH(4,Calcul!$M$60:$M$184,0),0)=0,"",INDEX('Liste outils'!$C$6:$C$130,IFERROR(MATCH(4,Calcul!$M$60:$M$184,0),0))&amp;"")</f>
        <v/>
      </c>
      <c r="C25" s="25" t="str">
        <f aca="false">IF(IFERROR(MATCH(4,Calcul!$M$60:$M$184,0),0)=0,"",INDEX('Liste outils'!$J$6:$J$130,IFERROR(MATCH(4,Calcul!$M$60:$M$184,0),0))&amp;"")</f>
        <v/>
      </c>
      <c r="D25" s="25" t="str">
        <f aca="false">IF(IFERROR(MATCH(4,Calcul!$M$60:$M$184,0),0)=0,"",IF(ISNUMBER(INDEX('Liste outils'!$H$6:$H$130,IFERROR(MATCH(4,Calcul!$M$60:$M$184,0),0))),IF(NOT(ISNUMBER(INDEX('Liste outils'!$H$6:$H$130,IFERROR(MATCH(4,Calcul!$M$60:$M$184,0),0)))),"",IF(NOT(ISNUMBER(INDEX('Liste outils'!$H$6:$H$130,IFERROR(MATCH(4,Calcul!$M$60:$M$184,0),0)))),"",IF(INDEX('Liste outils'!$H$6:$H$130,IFERROR(MATCH(4,Calcul!$M$60:$M$184,0),0))&lt;=0,"",IF(ABS(INDEX('Liste outils'!$H$6:$H$130,IFERROR(MATCH(4,Calcul!$M$60:$M$184,0),0))*64-ROUND(INDEX('Liste outils'!$H$6:$H$130,IFERROR(MATCH(4,Calcul!$M$60:$M$184,0),0))*64,0))&gt;0.0005,"≈ ","")&amp;IF(INT(ROUND(INDEX('Liste outils'!$H$6:$H$130,IFERROR(MATCH(4,Calcul!$M$60:$M$184,0),0))*64,0)/64)&gt;0,INT(ROUND(INDEX('Liste outils'!$H$6:$H$130,IFERROR(MATCH(4,Calcul!$M$60:$M$184,0),0))*64,0)/64)&amp;IF(MOD(ROUND(INDEX('Liste outils'!$H$6:$H$130,IFERROR(MATCH(4,Calcul!$M$60:$M$184,0),0))*64,0),64)&gt;0," ",""),"")&amp;IF(MOD(ROUND(INDEX('Liste outils'!$H$6:$H$130,IFERROR(MATCH(4,Calcul!$M$60:$M$184,0),0))*64,0),64)&gt;0,MOD(ROUND(INDEX('Liste outils'!$H$6:$H$130,IFERROR(MATCH(4,Calcul!$M$60:$M$184,0),0))*64,0),64)/GCD(MOD(ROUND(INDEX('Liste outils'!$H$6:$H$130,IFERROR(MATCH(4,Calcul!$M$60:$M$184,0),0))*64,0),64),64)&amp;"/"&amp;64/GCD(MOD(ROUND(INDEX('Liste outils'!$H$6:$H$130,IFERROR(MATCH(4,Calcul!$M$60:$M$184,0),0))*64,0),64),64),IF(ROUND(INDEX('Liste outils'!$H$6:$H$130,IFERROR(MATCH(4,Calcul!$M$60:$M$184,0),0))*64,0)=0,"0",""))&amp;""""))&amp;" · "&amp;FIXED(INDEX('Liste outils'!$H$6:$H$130,IFERROR(MATCH(4,Calcul!$M$60:$M$184,0),0)),4,TRUE())&amp;" po · "&amp;FIXED(INDEX('Liste outils'!$H$6:$H$130,IFERROR(MATCH(4,Calcul!$M$60:$M$184,0),0))*25.4,3,TRUE())&amp;" mm"),""))</f>
        <v/>
      </c>
      <c r="E25" s="25" t="str">
        <f aca="false">IF(IFERROR(MATCH(4,Calcul!$M$60:$M$184,0),0)=0,"",INDEX('Liste outils'!$AB$6:$AB$130,IFERROR(MATCH(4,Calcul!$M$60:$M$184,0),0))&amp;"")</f>
        <v/>
      </c>
      <c r="F25" s="25" t="str">
        <f aca="false">IF(IFERROR(MATCH(4,Calcul!$M$60:$M$184,0),0)=0,"",INDEX('Liste outils'!$O$6:$O$130,IFERROR(MATCH(4,Calcul!$M$60:$M$184,0),0))&amp;"")</f>
        <v/>
      </c>
      <c r="G25" s="25" t="str">
        <f aca="false">IF(IFERROR(MATCH(4,Calcul!$M$60:$M$184,0),0)=0,"",INDEX('Liste outils'!$AC$6:$AC$130,IFERROR(MATCH(4,Calcul!$M$60:$M$184,0),0))&amp;"")</f>
        <v/>
      </c>
    </row>
    <row r="26" customFormat="false" ht="15" hidden="false" customHeight="false" outlineLevel="0" collapsed="false">
      <c r="A26" s="24" t="str">
        <f aca="false">IF(IFERROR(MATCH(5,Calcul!$M$60:$M$184,0),0)=0,"",INDEX('Liste outils'!$B$6:$B$130,IFERROR(MATCH(5,Calcul!$M$60:$M$184,0),0))&amp;"")</f>
        <v/>
      </c>
      <c r="B26" s="25" t="str">
        <f aca="false">IF(IFERROR(MATCH(5,Calcul!$M$60:$M$184,0),0)=0,"",INDEX('Liste outils'!$C$6:$C$130,IFERROR(MATCH(5,Calcul!$M$60:$M$184,0),0))&amp;"")</f>
        <v/>
      </c>
      <c r="C26" s="25" t="str">
        <f aca="false">IF(IFERROR(MATCH(5,Calcul!$M$60:$M$184,0),0)=0,"",INDEX('Liste outils'!$J$6:$J$130,IFERROR(MATCH(5,Calcul!$M$60:$M$184,0),0))&amp;"")</f>
        <v/>
      </c>
      <c r="D26" s="25" t="str">
        <f aca="false">IF(IFERROR(MATCH(5,Calcul!$M$60:$M$184,0),0)=0,"",IF(ISNUMBER(INDEX('Liste outils'!$H$6:$H$130,IFERROR(MATCH(5,Calcul!$M$60:$M$184,0),0))),IF(NOT(ISNUMBER(INDEX('Liste outils'!$H$6:$H$130,IFERROR(MATCH(5,Calcul!$M$60:$M$184,0),0)))),"",IF(NOT(ISNUMBER(INDEX('Liste outils'!$H$6:$H$130,IFERROR(MATCH(5,Calcul!$M$60:$M$184,0),0)))),"",IF(INDEX('Liste outils'!$H$6:$H$130,IFERROR(MATCH(5,Calcul!$M$60:$M$184,0),0))&lt;=0,"",IF(ABS(INDEX('Liste outils'!$H$6:$H$130,IFERROR(MATCH(5,Calcul!$M$60:$M$184,0),0))*64-ROUND(INDEX('Liste outils'!$H$6:$H$130,IFERROR(MATCH(5,Calcul!$M$60:$M$184,0),0))*64,0))&gt;0.0005,"≈ ","")&amp;IF(INT(ROUND(INDEX('Liste outils'!$H$6:$H$130,IFERROR(MATCH(5,Calcul!$M$60:$M$184,0),0))*64,0)/64)&gt;0,INT(ROUND(INDEX('Liste outils'!$H$6:$H$130,IFERROR(MATCH(5,Calcul!$M$60:$M$184,0),0))*64,0)/64)&amp;IF(MOD(ROUND(INDEX('Liste outils'!$H$6:$H$130,IFERROR(MATCH(5,Calcul!$M$60:$M$184,0),0))*64,0),64)&gt;0," ",""),"")&amp;IF(MOD(ROUND(INDEX('Liste outils'!$H$6:$H$130,IFERROR(MATCH(5,Calcul!$M$60:$M$184,0),0))*64,0),64)&gt;0,MOD(ROUND(INDEX('Liste outils'!$H$6:$H$130,IFERROR(MATCH(5,Calcul!$M$60:$M$184,0),0))*64,0),64)/GCD(MOD(ROUND(INDEX('Liste outils'!$H$6:$H$130,IFERROR(MATCH(5,Calcul!$M$60:$M$184,0),0))*64,0),64),64)&amp;"/"&amp;64/GCD(MOD(ROUND(INDEX('Liste outils'!$H$6:$H$130,IFERROR(MATCH(5,Calcul!$M$60:$M$184,0),0))*64,0),64),64),IF(ROUND(INDEX('Liste outils'!$H$6:$H$130,IFERROR(MATCH(5,Calcul!$M$60:$M$184,0),0))*64,0)=0,"0",""))&amp;""""))&amp;" · "&amp;FIXED(INDEX('Liste outils'!$H$6:$H$130,IFERROR(MATCH(5,Calcul!$M$60:$M$184,0),0)),4,TRUE())&amp;" po · "&amp;FIXED(INDEX('Liste outils'!$H$6:$H$130,IFERROR(MATCH(5,Calcul!$M$60:$M$184,0),0))*25.4,3,TRUE())&amp;" mm"),""))</f>
        <v/>
      </c>
      <c r="E26" s="25" t="str">
        <f aca="false">IF(IFERROR(MATCH(5,Calcul!$M$60:$M$184,0),0)=0,"",INDEX('Liste outils'!$AB$6:$AB$130,IFERROR(MATCH(5,Calcul!$M$60:$M$184,0),0))&amp;"")</f>
        <v/>
      </c>
      <c r="F26" s="25" t="str">
        <f aca="false">IF(IFERROR(MATCH(5,Calcul!$M$60:$M$184,0),0)=0,"",INDEX('Liste outils'!$O$6:$O$130,IFERROR(MATCH(5,Calcul!$M$60:$M$184,0),0))&amp;"")</f>
        <v/>
      </c>
      <c r="G26" s="25" t="str">
        <f aca="false">IF(IFERROR(MATCH(5,Calcul!$M$60:$M$184,0),0)=0,"",INDEX('Liste outils'!$AC$6:$AC$130,IFERROR(MATCH(5,Calcul!$M$60:$M$184,0),0))&amp;"")</f>
        <v/>
      </c>
    </row>
    <row r="27" customFormat="false" ht="15" hidden="false" customHeight="false" outlineLevel="0" collapsed="false">
      <c r="A27" s="24" t="str">
        <f aca="false">IF(IFERROR(MATCH(6,Calcul!$M$60:$M$184,0),0)=0,"",INDEX('Liste outils'!$B$6:$B$130,IFERROR(MATCH(6,Calcul!$M$60:$M$184,0),0))&amp;"")</f>
        <v/>
      </c>
      <c r="B27" s="25" t="str">
        <f aca="false">IF(IFERROR(MATCH(6,Calcul!$M$60:$M$184,0),0)=0,"",INDEX('Liste outils'!$C$6:$C$130,IFERROR(MATCH(6,Calcul!$M$60:$M$184,0),0))&amp;"")</f>
        <v/>
      </c>
      <c r="C27" s="25" t="str">
        <f aca="false">IF(IFERROR(MATCH(6,Calcul!$M$60:$M$184,0),0)=0,"",INDEX('Liste outils'!$J$6:$J$130,IFERROR(MATCH(6,Calcul!$M$60:$M$184,0),0))&amp;"")</f>
        <v/>
      </c>
      <c r="D27" s="25" t="str">
        <f aca="false">IF(IFERROR(MATCH(6,Calcul!$M$60:$M$184,0),0)=0,"",IF(ISNUMBER(INDEX('Liste outils'!$H$6:$H$130,IFERROR(MATCH(6,Calcul!$M$60:$M$184,0),0))),IF(NOT(ISNUMBER(INDEX('Liste outils'!$H$6:$H$130,IFERROR(MATCH(6,Calcul!$M$60:$M$184,0),0)))),"",IF(NOT(ISNUMBER(INDEX('Liste outils'!$H$6:$H$130,IFERROR(MATCH(6,Calcul!$M$60:$M$184,0),0)))),"",IF(INDEX('Liste outils'!$H$6:$H$130,IFERROR(MATCH(6,Calcul!$M$60:$M$184,0),0))&lt;=0,"",IF(ABS(INDEX('Liste outils'!$H$6:$H$130,IFERROR(MATCH(6,Calcul!$M$60:$M$184,0),0))*64-ROUND(INDEX('Liste outils'!$H$6:$H$130,IFERROR(MATCH(6,Calcul!$M$60:$M$184,0),0))*64,0))&gt;0.0005,"≈ ","")&amp;IF(INT(ROUND(INDEX('Liste outils'!$H$6:$H$130,IFERROR(MATCH(6,Calcul!$M$60:$M$184,0),0))*64,0)/64)&gt;0,INT(ROUND(INDEX('Liste outils'!$H$6:$H$130,IFERROR(MATCH(6,Calcul!$M$60:$M$184,0),0))*64,0)/64)&amp;IF(MOD(ROUND(INDEX('Liste outils'!$H$6:$H$130,IFERROR(MATCH(6,Calcul!$M$60:$M$184,0),0))*64,0),64)&gt;0," ",""),"")&amp;IF(MOD(ROUND(INDEX('Liste outils'!$H$6:$H$130,IFERROR(MATCH(6,Calcul!$M$60:$M$184,0),0))*64,0),64)&gt;0,MOD(ROUND(INDEX('Liste outils'!$H$6:$H$130,IFERROR(MATCH(6,Calcul!$M$60:$M$184,0),0))*64,0),64)/GCD(MOD(ROUND(INDEX('Liste outils'!$H$6:$H$130,IFERROR(MATCH(6,Calcul!$M$60:$M$184,0),0))*64,0),64),64)&amp;"/"&amp;64/GCD(MOD(ROUND(INDEX('Liste outils'!$H$6:$H$130,IFERROR(MATCH(6,Calcul!$M$60:$M$184,0),0))*64,0),64),64),IF(ROUND(INDEX('Liste outils'!$H$6:$H$130,IFERROR(MATCH(6,Calcul!$M$60:$M$184,0),0))*64,0)=0,"0",""))&amp;""""))&amp;" · "&amp;FIXED(INDEX('Liste outils'!$H$6:$H$130,IFERROR(MATCH(6,Calcul!$M$60:$M$184,0),0)),4,TRUE())&amp;" po · "&amp;FIXED(INDEX('Liste outils'!$H$6:$H$130,IFERROR(MATCH(6,Calcul!$M$60:$M$184,0),0))*25.4,3,TRUE())&amp;" mm"),""))</f>
        <v/>
      </c>
      <c r="E27" s="25" t="str">
        <f aca="false">IF(IFERROR(MATCH(6,Calcul!$M$60:$M$184,0),0)=0,"",INDEX('Liste outils'!$AB$6:$AB$130,IFERROR(MATCH(6,Calcul!$M$60:$M$184,0),0))&amp;"")</f>
        <v/>
      </c>
      <c r="F27" s="25" t="str">
        <f aca="false">IF(IFERROR(MATCH(6,Calcul!$M$60:$M$184,0),0)=0,"",INDEX('Liste outils'!$O$6:$O$130,IFERROR(MATCH(6,Calcul!$M$60:$M$184,0),0))&amp;"")</f>
        <v/>
      </c>
      <c r="G27" s="25" t="str">
        <f aca="false">IF(IFERROR(MATCH(6,Calcul!$M$60:$M$184,0),0)=0,"",INDEX('Liste outils'!$AC$6:$AC$130,IFERROR(MATCH(6,Calcul!$M$60:$M$184,0),0))&amp;"")</f>
        <v/>
      </c>
    </row>
    <row r="28" customFormat="false" ht="15" hidden="false" customHeight="false" outlineLevel="0" collapsed="false">
      <c r="A28" s="24" t="str">
        <f aca="false">IF(IFERROR(MATCH(7,Calcul!$M$60:$M$184,0),0)=0,"",INDEX('Liste outils'!$B$6:$B$130,IFERROR(MATCH(7,Calcul!$M$60:$M$184,0),0))&amp;"")</f>
        <v/>
      </c>
      <c r="B28" s="25" t="str">
        <f aca="false">IF(IFERROR(MATCH(7,Calcul!$M$60:$M$184,0),0)=0,"",INDEX('Liste outils'!$C$6:$C$130,IFERROR(MATCH(7,Calcul!$M$60:$M$184,0),0))&amp;"")</f>
        <v/>
      </c>
      <c r="C28" s="25" t="str">
        <f aca="false">IF(IFERROR(MATCH(7,Calcul!$M$60:$M$184,0),0)=0,"",INDEX('Liste outils'!$J$6:$J$130,IFERROR(MATCH(7,Calcul!$M$60:$M$184,0),0))&amp;"")</f>
        <v/>
      </c>
      <c r="D28" s="25" t="str">
        <f aca="false">IF(IFERROR(MATCH(7,Calcul!$M$60:$M$184,0),0)=0,"",IF(ISNUMBER(INDEX('Liste outils'!$H$6:$H$130,IFERROR(MATCH(7,Calcul!$M$60:$M$184,0),0))),IF(NOT(ISNUMBER(INDEX('Liste outils'!$H$6:$H$130,IFERROR(MATCH(7,Calcul!$M$60:$M$184,0),0)))),"",IF(NOT(ISNUMBER(INDEX('Liste outils'!$H$6:$H$130,IFERROR(MATCH(7,Calcul!$M$60:$M$184,0),0)))),"",IF(INDEX('Liste outils'!$H$6:$H$130,IFERROR(MATCH(7,Calcul!$M$60:$M$184,0),0))&lt;=0,"",IF(ABS(INDEX('Liste outils'!$H$6:$H$130,IFERROR(MATCH(7,Calcul!$M$60:$M$184,0),0))*64-ROUND(INDEX('Liste outils'!$H$6:$H$130,IFERROR(MATCH(7,Calcul!$M$60:$M$184,0),0))*64,0))&gt;0.0005,"≈ ","")&amp;IF(INT(ROUND(INDEX('Liste outils'!$H$6:$H$130,IFERROR(MATCH(7,Calcul!$M$60:$M$184,0),0))*64,0)/64)&gt;0,INT(ROUND(INDEX('Liste outils'!$H$6:$H$130,IFERROR(MATCH(7,Calcul!$M$60:$M$184,0),0))*64,0)/64)&amp;IF(MOD(ROUND(INDEX('Liste outils'!$H$6:$H$130,IFERROR(MATCH(7,Calcul!$M$60:$M$184,0),0))*64,0),64)&gt;0," ",""),"")&amp;IF(MOD(ROUND(INDEX('Liste outils'!$H$6:$H$130,IFERROR(MATCH(7,Calcul!$M$60:$M$184,0),0))*64,0),64)&gt;0,MOD(ROUND(INDEX('Liste outils'!$H$6:$H$130,IFERROR(MATCH(7,Calcul!$M$60:$M$184,0),0))*64,0),64)/GCD(MOD(ROUND(INDEX('Liste outils'!$H$6:$H$130,IFERROR(MATCH(7,Calcul!$M$60:$M$184,0),0))*64,0),64),64)&amp;"/"&amp;64/GCD(MOD(ROUND(INDEX('Liste outils'!$H$6:$H$130,IFERROR(MATCH(7,Calcul!$M$60:$M$184,0),0))*64,0),64),64),IF(ROUND(INDEX('Liste outils'!$H$6:$H$130,IFERROR(MATCH(7,Calcul!$M$60:$M$184,0),0))*64,0)=0,"0",""))&amp;""""))&amp;" · "&amp;FIXED(INDEX('Liste outils'!$H$6:$H$130,IFERROR(MATCH(7,Calcul!$M$60:$M$184,0),0)),4,TRUE())&amp;" po · "&amp;FIXED(INDEX('Liste outils'!$H$6:$H$130,IFERROR(MATCH(7,Calcul!$M$60:$M$184,0),0))*25.4,3,TRUE())&amp;" mm"),""))</f>
        <v/>
      </c>
      <c r="E28" s="25" t="str">
        <f aca="false">IF(IFERROR(MATCH(7,Calcul!$M$60:$M$184,0),0)=0,"",INDEX('Liste outils'!$AB$6:$AB$130,IFERROR(MATCH(7,Calcul!$M$60:$M$184,0),0))&amp;"")</f>
        <v/>
      </c>
      <c r="F28" s="25" t="str">
        <f aca="false">IF(IFERROR(MATCH(7,Calcul!$M$60:$M$184,0),0)=0,"",INDEX('Liste outils'!$O$6:$O$130,IFERROR(MATCH(7,Calcul!$M$60:$M$184,0),0))&amp;"")</f>
        <v/>
      </c>
      <c r="G28" s="25" t="str">
        <f aca="false">IF(IFERROR(MATCH(7,Calcul!$M$60:$M$184,0),0)=0,"",INDEX('Liste outils'!$AC$6:$AC$130,IFERROR(MATCH(7,Calcul!$M$60:$M$184,0),0))&amp;"")</f>
        <v/>
      </c>
    </row>
    <row r="29" customFormat="false" ht="15" hidden="false" customHeight="false" outlineLevel="0" collapsed="false">
      <c r="A29" s="24" t="str">
        <f aca="false">IF(IFERROR(MATCH(8,Calcul!$M$60:$M$184,0),0)=0,"",INDEX('Liste outils'!$B$6:$B$130,IFERROR(MATCH(8,Calcul!$M$60:$M$184,0),0))&amp;"")</f>
        <v/>
      </c>
      <c r="B29" s="25" t="str">
        <f aca="false">IF(IFERROR(MATCH(8,Calcul!$M$60:$M$184,0),0)=0,"",INDEX('Liste outils'!$C$6:$C$130,IFERROR(MATCH(8,Calcul!$M$60:$M$184,0),0))&amp;"")</f>
        <v/>
      </c>
      <c r="C29" s="25" t="str">
        <f aca="false">IF(IFERROR(MATCH(8,Calcul!$M$60:$M$184,0),0)=0,"",INDEX('Liste outils'!$J$6:$J$130,IFERROR(MATCH(8,Calcul!$M$60:$M$184,0),0))&amp;"")</f>
        <v/>
      </c>
      <c r="D29" s="25" t="str">
        <f aca="false">IF(IFERROR(MATCH(8,Calcul!$M$60:$M$184,0),0)=0,"",IF(ISNUMBER(INDEX('Liste outils'!$H$6:$H$130,IFERROR(MATCH(8,Calcul!$M$60:$M$184,0),0))),IF(NOT(ISNUMBER(INDEX('Liste outils'!$H$6:$H$130,IFERROR(MATCH(8,Calcul!$M$60:$M$184,0),0)))),"",IF(NOT(ISNUMBER(INDEX('Liste outils'!$H$6:$H$130,IFERROR(MATCH(8,Calcul!$M$60:$M$184,0),0)))),"",IF(INDEX('Liste outils'!$H$6:$H$130,IFERROR(MATCH(8,Calcul!$M$60:$M$184,0),0))&lt;=0,"",IF(ABS(INDEX('Liste outils'!$H$6:$H$130,IFERROR(MATCH(8,Calcul!$M$60:$M$184,0),0))*64-ROUND(INDEX('Liste outils'!$H$6:$H$130,IFERROR(MATCH(8,Calcul!$M$60:$M$184,0),0))*64,0))&gt;0.0005,"≈ ","")&amp;IF(INT(ROUND(INDEX('Liste outils'!$H$6:$H$130,IFERROR(MATCH(8,Calcul!$M$60:$M$184,0),0))*64,0)/64)&gt;0,INT(ROUND(INDEX('Liste outils'!$H$6:$H$130,IFERROR(MATCH(8,Calcul!$M$60:$M$184,0),0))*64,0)/64)&amp;IF(MOD(ROUND(INDEX('Liste outils'!$H$6:$H$130,IFERROR(MATCH(8,Calcul!$M$60:$M$184,0),0))*64,0),64)&gt;0," ",""),"")&amp;IF(MOD(ROUND(INDEX('Liste outils'!$H$6:$H$130,IFERROR(MATCH(8,Calcul!$M$60:$M$184,0),0))*64,0),64)&gt;0,MOD(ROUND(INDEX('Liste outils'!$H$6:$H$130,IFERROR(MATCH(8,Calcul!$M$60:$M$184,0),0))*64,0),64)/GCD(MOD(ROUND(INDEX('Liste outils'!$H$6:$H$130,IFERROR(MATCH(8,Calcul!$M$60:$M$184,0),0))*64,0),64),64)&amp;"/"&amp;64/GCD(MOD(ROUND(INDEX('Liste outils'!$H$6:$H$130,IFERROR(MATCH(8,Calcul!$M$60:$M$184,0),0))*64,0),64),64),IF(ROUND(INDEX('Liste outils'!$H$6:$H$130,IFERROR(MATCH(8,Calcul!$M$60:$M$184,0),0))*64,0)=0,"0",""))&amp;""""))&amp;" · "&amp;FIXED(INDEX('Liste outils'!$H$6:$H$130,IFERROR(MATCH(8,Calcul!$M$60:$M$184,0),0)),4,TRUE())&amp;" po · "&amp;FIXED(INDEX('Liste outils'!$H$6:$H$130,IFERROR(MATCH(8,Calcul!$M$60:$M$184,0),0))*25.4,3,TRUE())&amp;" mm"),""))</f>
        <v/>
      </c>
      <c r="E29" s="25" t="str">
        <f aca="false">IF(IFERROR(MATCH(8,Calcul!$M$60:$M$184,0),0)=0,"",INDEX('Liste outils'!$AB$6:$AB$130,IFERROR(MATCH(8,Calcul!$M$60:$M$184,0),0))&amp;"")</f>
        <v/>
      </c>
      <c r="F29" s="25" t="str">
        <f aca="false">IF(IFERROR(MATCH(8,Calcul!$M$60:$M$184,0),0)=0,"",INDEX('Liste outils'!$O$6:$O$130,IFERROR(MATCH(8,Calcul!$M$60:$M$184,0),0))&amp;"")</f>
        <v/>
      </c>
      <c r="G29" s="25" t="str">
        <f aca="false">IF(IFERROR(MATCH(8,Calcul!$M$60:$M$184,0),0)=0,"",INDEX('Liste outils'!$AC$6:$AC$130,IFERROR(MATCH(8,Calcul!$M$60:$M$184,0),0))&amp;"")</f>
        <v/>
      </c>
    </row>
    <row r="30" customFormat="false" ht="15" hidden="false" customHeight="false" outlineLevel="0" collapsed="false">
      <c r="A30" s="24" t="str">
        <f aca="false">IF(IFERROR(MATCH(9,Calcul!$M$60:$M$184,0),0)=0,"",INDEX('Liste outils'!$B$6:$B$130,IFERROR(MATCH(9,Calcul!$M$60:$M$184,0),0))&amp;"")</f>
        <v/>
      </c>
      <c r="B30" s="25" t="str">
        <f aca="false">IF(IFERROR(MATCH(9,Calcul!$M$60:$M$184,0),0)=0,"",INDEX('Liste outils'!$C$6:$C$130,IFERROR(MATCH(9,Calcul!$M$60:$M$184,0),0))&amp;"")</f>
        <v/>
      </c>
      <c r="C30" s="25" t="str">
        <f aca="false">IF(IFERROR(MATCH(9,Calcul!$M$60:$M$184,0),0)=0,"",INDEX('Liste outils'!$J$6:$J$130,IFERROR(MATCH(9,Calcul!$M$60:$M$184,0),0))&amp;"")</f>
        <v/>
      </c>
      <c r="D30" s="25" t="str">
        <f aca="false">IF(IFERROR(MATCH(9,Calcul!$M$60:$M$184,0),0)=0,"",IF(ISNUMBER(INDEX('Liste outils'!$H$6:$H$130,IFERROR(MATCH(9,Calcul!$M$60:$M$184,0),0))),IF(NOT(ISNUMBER(INDEX('Liste outils'!$H$6:$H$130,IFERROR(MATCH(9,Calcul!$M$60:$M$184,0),0)))),"",IF(NOT(ISNUMBER(INDEX('Liste outils'!$H$6:$H$130,IFERROR(MATCH(9,Calcul!$M$60:$M$184,0),0)))),"",IF(INDEX('Liste outils'!$H$6:$H$130,IFERROR(MATCH(9,Calcul!$M$60:$M$184,0),0))&lt;=0,"",IF(ABS(INDEX('Liste outils'!$H$6:$H$130,IFERROR(MATCH(9,Calcul!$M$60:$M$184,0),0))*64-ROUND(INDEX('Liste outils'!$H$6:$H$130,IFERROR(MATCH(9,Calcul!$M$60:$M$184,0),0))*64,0))&gt;0.0005,"≈ ","")&amp;IF(INT(ROUND(INDEX('Liste outils'!$H$6:$H$130,IFERROR(MATCH(9,Calcul!$M$60:$M$184,0),0))*64,0)/64)&gt;0,INT(ROUND(INDEX('Liste outils'!$H$6:$H$130,IFERROR(MATCH(9,Calcul!$M$60:$M$184,0),0))*64,0)/64)&amp;IF(MOD(ROUND(INDEX('Liste outils'!$H$6:$H$130,IFERROR(MATCH(9,Calcul!$M$60:$M$184,0),0))*64,0),64)&gt;0," ",""),"")&amp;IF(MOD(ROUND(INDEX('Liste outils'!$H$6:$H$130,IFERROR(MATCH(9,Calcul!$M$60:$M$184,0),0))*64,0),64)&gt;0,MOD(ROUND(INDEX('Liste outils'!$H$6:$H$130,IFERROR(MATCH(9,Calcul!$M$60:$M$184,0),0))*64,0),64)/GCD(MOD(ROUND(INDEX('Liste outils'!$H$6:$H$130,IFERROR(MATCH(9,Calcul!$M$60:$M$184,0),0))*64,0),64),64)&amp;"/"&amp;64/GCD(MOD(ROUND(INDEX('Liste outils'!$H$6:$H$130,IFERROR(MATCH(9,Calcul!$M$60:$M$184,0),0))*64,0),64),64),IF(ROUND(INDEX('Liste outils'!$H$6:$H$130,IFERROR(MATCH(9,Calcul!$M$60:$M$184,0),0))*64,0)=0,"0",""))&amp;""""))&amp;" · "&amp;FIXED(INDEX('Liste outils'!$H$6:$H$130,IFERROR(MATCH(9,Calcul!$M$60:$M$184,0),0)),4,TRUE())&amp;" po · "&amp;FIXED(INDEX('Liste outils'!$H$6:$H$130,IFERROR(MATCH(9,Calcul!$M$60:$M$184,0),0))*25.4,3,TRUE())&amp;" mm"),""))</f>
        <v/>
      </c>
      <c r="E30" s="25" t="str">
        <f aca="false">IF(IFERROR(MATCH(9,Calcul!$M$60:$M$184,0),0)=0,"",INDEX('Liste outils'!$AB$6:$AB$130,IFERROR(MATCH(9,Calcul!$M$60:$M$184,0),0))&amp;"")</f>
        <v/>
      </c>
      <c r="F30" s="25" t="str">
        <f aca="false">IF(IFERROR(MATCH(9,Calcul!$M$60:$M$184,0),0)=0,"",INDEX('Liste outils'!$O$6:$O$130,IFERROR(MATCH(9,Calcul!$M$60:$M$184,0),0))&amp;"")</f>
        <v/>
      </c>
      <c r="G30" s="25" t="str">
        <f aca="false">IF(IFERROR(MATCH(9,Calcul!$M$60:$M$184,0),0)=0,"",INDEX('Liste outils'!$AC$6:$AC$130,IFERROR(MATCH(9,Calcul!$M$60:$M$184,0),0))&amp;"")</f>
        <v/>
      </c>
    </row>
    <row r="31" customFormat="false" ht="15" hidden="false" customHeight="false" outlineLevel="0" collapsed="false">
      <c r="A31" s="24" t="str">
        <f aca="false">IF(IFERROR(MATCH(10,Calcul!$M$60:$M$184,0),0)=0,"",INDEX('Liste outils'!$B$6:$B$130,IFERROR(MATCH(10,Calcul!$M$60:$M$184,0),0))&amp;"")</f>
        <v/>
      </c>
      <c r="B31" s="25" t="str">
        <f aca="false">IF(IFERROR(MATCH(10,Calcul!$M$60:$M$184,0),0)=0,"",INDEX('Liste outils'!$C$6:$C$130,IFERROR(MATCH(10,Calcul!$M$60:$M$184,0),0))&amp;"")</f>
        <v/>
      </c>
      <c r="C31" s="25" t="str">
        <f aca="false">IF(IFERROR(MATCH(10,Calcul!$M$60:$M$184,0),0)=0,"",INDEX('Liste outils'!$J$6:$J$130,IFERROR(MATCH(10,Calcul!$M$60:$M$184,0),0))&amp;"")</f>
        <v/>
      </c>
      <c r="D31" s="25" t="str">
        <f aca="false">IF(IFERROR(MATCH(10,Calcul!$M$60:$M$184,0),0)=0,"",IF(ISNUMBER(INDEX('Liste outils'!$H$6:$H$130,IFERROR(MATCH(10,Calcul!$M$60:$M$184,0),0))),IF(NOT(ISNUMBER(INDEX('Liste outils'!$H$6:$H$130,IFERROR(MATCH(10,Calcul!$M$60:$M$184,0),0)))),"",IF(NOT(ISNUMBER(INDEX('Liste outils'!$H$6:$H$130,IFERROR(MATCH(10,Calcul!$M$60:$M$184,0),0)))),"",IF(INDEX('Liste outils'!$H$6:$H$130,IFERROR(MATCH(10,Calcul!$M$60:$M$184,0),0))&lt;=0,"",IF(ABS(INDEX('Liste outils'!$H$6:$H$130,IFERROR(MATCH(10,Calcul!$M$60:$M$184,0),0))*64-ROUND(INDEX('Liste outils'!$H$6:$H$130,IFERROR(MATCH(10,Calcul!$M$60:$M$184,0),0))*64,0))&gt;0.0005,"≈ ","")&amp;IF(INT(ROUND(INDEX('Liste outils'!$H$6:$H$130,IFERROR(MATCH(10,Calcul!$M$60:$M$184,0),0))*64,0)/64)&gt;0,INT(ROUND(INDEX('Liste outils'!$H$6:$H$130,IFERROR(MATCH(10,Calcul!$M$60:$M$184,0),0))*64,0)/64)&amp;IF(MOD(ROUND(INDEX('Liste outils'!$H$6:$H$130,IFERROR(MATCH(10,Calcul!$M$60:$M$184,0),0))*64,0),64)&gt;0," ",""),"")&amp;IF(MOD(ROUND(INDEX('Liste outils'!$H$6:$H$130,IFERROR(MATCH(10,Calcul!$M$60:$M$184,0),0))*64,0),64)&gt;0,MOD(ROUND(INDEX('Liste outils'!$H$6:$H$130,IFERROR(MATCH(10,Calcul!$M$60:$M$184,0),0))*64,0),64)/GCD(MOD(ROUND(INDEX('Liste outils'!$H$6:$H$130,IFERROR(MATCH(10,Calcul!$M$60:$M$184,0),0))*64,0),64),64)&amp;"/"&amp;64/GCD(MOD(ROUND(INDEX('Liste outils'!$H$6:$H$130,IFERROR(MATCH(10,Calcul!$M$60:$M$184,0),0))*64,0),64),64),IF(ROUND(INDEX('Liste outils'!$H$6:$H$130,IFERROR(MATCH(10,Calcul!$M$60:$M$184,0),0))*64,0)=0,"0",""))&amp;""""))&amp;" · "&amp;FIXED(INDEX('Liste outils'!$H$6:$H$130,IFERROR(MATCH(10,Calcul!$M$60:$M$184,0),0)),4,TRUE())&amp;" po · "&amp;FIXED(INDEX('Liste outils'!$H$6:$H$130,IFERROR(MATCH(10,Calcul!$M$60:$M$184,0),0))*25.4,3,TRUE())&amp;" mm"),""))</f>
        <v/>
      </c>
      <c r="E31" s="25" t="str">
        <f aca="false">IF(IFERROR(MATCH(10,Calcul!$M$60:$M$184,0),0)=0,"",INDEX('Liste outils'!$AB$6:$AB$130,IFERROR(MATCH(10,Calcul!$M$60:$M$184,0),0))&amp;"")</f>
        <v/>
      </c>
      <c r="F31" s="25" t="str">
        <f aca="false">IF(IFERROR(MATCH(10,Calcul!$M$60:$M$184,0),0)=0,"",INDEX('Liste outils'!$O$6:$O$130,IFERROR(MATCH(10,Calcul!$M$60:$M$184,0),0))&amp;"")</f>
        <v/>
      </c>
      <c r="G31" s="25" t="str">
        <f aca="false">IF(IFERROR(MATCH(10,Calcul!$M$60:$M$184,0),0)=0,"",INDEX('Liste outils'!$AC$6:$AC$130,IFERROR(MATCH(10,Calcul!$M$60:$M$184,0),0))&amp;"")</f>
        <v/>
      </c>
    </row>
    <row r="32" customFormat="false" ht="15" hidden="false" customHeight="false" outlineLevel="0" collapsed="false">
      <c r="A32" s="24" t="str">
        <f aca="false">IF(IFERROR(MATCH(11,Calcul!$M$60:$M$184,0),0)=0,"",INDEX('Liste outils'!$B$6:$B$130,IFERROR(MATCH(11,Calcul!$M$60:$M$184,0),0))&amp;"")</f>
        <v/>
      </c>
      <c r="B32" s="25" t="str">
        <f aca="false">IF(IFERROR(MATCH(11,Calcul!$M$60:$M$184,0),0)=0,"",INDEX('Liste outils'!$C$6:$C$130,IFERROR(MATCH(11,Calcul!$M$60:$M$184,0),0))&amp;"")</f>
        <v/>
      </c>
      <c r="C32" s="25" t="str">
        <f aca="false">IF(IFERROR(MATCH(11,Calcul!$M$60:$M$184,0),0)=0,"",INDEX('Liste outils'!$J$6:$J$130,IFERROR(MATCH(11,Calcul!$M$60:$M$184,0),0))&amp;"")</f>
        <v/>
      </c>
      <c r="D32" s="25" t="str">
        <f aca="false">IF(IFERROR(MATCH(11,Calcul!$M$60:$M$184,0),0)=0,"",IF(ISNUMBER(INDEX('Liste outils'!$H$6:$H$130,IFERROR(MATCH(11,Calcul!$M$60:$M$184,0),0))),IF(NOT(ISNUMBER(INDEX('Liste outils'!$H$6:$H$130,IFERROR(MATCH(11,Calcul!$M$60:$M$184,0),0)))),"",IF(NOT(ISNUMBER(INDEX('Liste outils'!$H$6:$H$130,IFERROR(MATCH(11,Calcul!$M$60:$M$184,0),0)))),"",IF(INDEX('Liste outils'!$H$6:$H$130,IFERROR(MATCH(11,Calcul!$M$60:$M$184,0),0))&lt;=0,"",IF(ABS(INDEX('Liste outils'!$H$6:$H$130,IFERROR(MATCH(11,Calcul!$M$60:$M$184,0),0))*64-ROUND(INDEX('Liste outils'!$H$6:$H$130,IFERROR(MATCH(11,Calcul!$M$60:$M$184,0),0))*64,0))&gt;0.0005,"≈ ","")&amp;IF(INT(ROUND(INDEX('Liste outils'!$H$6:$H$130,IFERROR(MATCH(11,Calcul!$M$60:$M$184,0),0))*64,0)/64)&gt;0,INT(ROUND(INDEX('Liste outils'!$H$6:$H$130,IFERROR(MATCH(11,Calcul!$M$60:$M$184,0),0))*64,0)/64)&amp;IF(MOD(ROUND(INDEX('Liste outils'!$H$6:$H$130,IFERROR(MATCH(11,Calcul!$M$60:$M$184,0),0))*64,0),64)&gt;0," ",""),"")&amp;IF(MOD(ROUND(INDEX('Liste outils'!$H$6:$H$130,IFERROR(MATCH(11,Calcul!$M$60:$M$184,0),0))*64,0),64)&gt;0,MOD(ROUND(INDEX('Liste outils'!$H$6:$H$130,IFERROR(MATCH(11,Calcul!$M$60:$M$184,0),0))*64,0),64)/GCD(MOD(ROUND(INDEX('Liste outils'!$H$6:$H$130,IFERROR(MATCH(11,Calcul!$M$60:$M$184,0),0))*64,0),64),64)&amp;"/"&amp;64/GCD(MOD(ROUND(INDEX('Liste outils'!$H$6:$H$130,IFERROR(MATCH(11,Calcul!$M$60:$M$184,0),0))*64,0),64),64),IF(ROUND(INDEX('Liste outils'!$H$6:$H$130,IFERROR(MATCH(11,Calcul!$M$60:$M$184,0),0))*64,0)=0,"0",""))&amp;""""))&amp;" · "&amp;FIXED(INDEX('Liste outils'!$H$6:$H$130,IFERROR(MATCH(11,Calcul!$M$60:$M$184,0),0)),4,TRUE())&amp;" po · "&amp;FIXED(INDEX('Liste outils'!$H$6:$H$130,IFERROR(MATCH(11,Calcul!$M$60:$M$184,0),0))*25.4,3,TRUE())&amp;" mm"),""))</f>
        <v/>
      </c>
      <c r="E32" s="25" t="str">
        <f aca="false">IF(IFERROR(MATCH(11,Calcul!$M$60:$M$184,0),0)=0,"",INDEX('Liste outils'!$AB$6:$AB$130,IFERROR(MATCH(11,Calcul!$M$60:$M$184,0),0))&amp;"")</f>
        <v/>
      </c>
      <c r="F32" s="25" t="str">
        <f aca="false">IF(IFERROR(MATCH(11,Calcul!$M$60:$M$184,0),0)=0,"",INDEX('Liste outils'!$O$6:$O$130,IFERROR(MATCH(11,Calcul!$M$60:$M$184,0),0))&amp;"")</f>
        <v/>
      </c>
      <c r="G32" s="25" t="str">
        <f aca="false">IF(IFERROR(MATCH(11,Calcul!$M$60:$M$184,0),0)=0,"",INDEX('Liste outils'!$AC$6:$AC$130,IFERROR(MATCH(11,Calcul!$M$60:$M$184,0),0))&amp;"")</f>
        <v/>
      </c>
    </row>
    <row r="33" customFormat="false" ht="15" hidden="false" customHeight="false" outlineLevel="0" collapsed="false">
      <c r="A33" s="24" t="str">
        <f aca="false">IF(IFERROR(MATCH(12,Calcul!$M$60:$M$184,0),0)=0,"",INDEX('Liste outils'!$B$6:$B$130,IFERROR(MATCH(12,Calcul!$M$60:$M$184,0),0))&amp;"")</f>
        <v/>
      </c>
      <c r="B33" s="25" t="str">
        <f aca="false">IF(IFERROR(MATCH(12,Calcul!$M$60:$M$184,0),0)=0,"",INDEX('Liste outils'!$C$6:$C$130,IFERROR(MATCH(12,Calcul!$M$60:$M$184,0),0))&amp;"")</f>
        <v/>
      </c>
      <c r="C33" s="25" t="str">
        <f aca="false">IF(IFERROR(MATCH(12,Calcul!$M$60:$M$184,0),0)=0,"",INDEX('Liste outils'!$J$6:$J$130,IFERROR(MATCH(12,Calcul!$M$60:$M$184,0),0))&amp;"")</f>
        <v/>
      </c>
      <c r="D33" s="25" t="str">
        <f aca="false">IF(IFERROR(MATCH(12,Calcul!$M$60:$M$184,0),0)=0,"",IF(ISNUMBER(INDEX('Liste outils'!$H$6:$H$130,IFERROR(MATCH(12,Calcul!$M$60:$M$184,0),0))),IF(NOT(ISNUMBER(INDEX('Liste outils'!$H$6:$H$130,IFERROR(MATCH(12,Calcul!$M$60:$M$184,0),0)))),"",IF(NOT(ISNUMBER(INDEX('Liste outils'!$H$6:$H$130,IFERROR(MATCH(12,Calcul!$M$60:$M$184,0),0)))),"",IF(INDEX('Liste outils'!$H$6:$H$130,IFERROR(MATCH(12,Calcul!$M$60:$M$184,0),0))&lt;=0,"",IF(ABS(INDEX('Liste outils'!$H$6:$H$130,IFERROR(MATCH(12,Calcul!$M$60:$M$184,0),0))*64-ROUND(INDEX('Liste outils'!$H$6:$H$130,IFERROR(MATCH(12,Calcul!$M$60:$M$184,0),0))*64,0))&gt;0.0005,"≈ ","")&amp;IF(INT(ROUND(INDEX('Liste outils'!$H$6:$H$130,IFERROR(MATCH(12,Calcul!$M$60:$M$184,0),0))*64,0)/64)&gt;0,INT(ROUND(INDEX('Liste outils'!$H$6:$H$130,IFERROR(MATCH(12,Calcul!$M$60:$M$184,0),0))*64,0)/64)&amp;IF(MOD(ROUND(INDEX('Liste outils'!$H$6:$H$130,IFERROR(MATCH(12,Calcul!$M$60:$M$184,0),0))*64,0),64)&gt;0," ",""),"")&amp;IF(MOD(ROUND(INDEX('Liste outils'!$H$6:$H$130,IFERROR(MATCH(12,Calcul!$M$60:$M$184,0),0))*64,0),64)&gt;0,MOD(ROUND(INDEX('Liste outils'!$H$6:$H$130,IFERROR(MATCH(12,Calcul!$M$60:$M$184,0),0))*64,0),64)/GCD(MOD(ROUND(INDEX('Liste outils'!$H$6:$H$130,IFERROR(MATCH(12,Calcul!$M$60:$M$184,0),0))*64,0),64),64)&amp;"/"&amp;64/GCD(MOD(ROUND(INDEX('Liste outils'!$H$6:$H$130,IFERROR(MATCH(12,Calcul!$M$60:$M$184,0),0))*64,0),64),64),IF(ROUND(INDEX('Liste outils'!$H$6:$H$130,IFERROR(MATCH(12,Calcul!$M$60:$M$184,0),0))*64,0)=0,"0",""))&amp;""""))&amp;" · "&amp;FIXED(INDEX('Liste outils'!$H$6:$H$130,IFERROR(MATCH(12,Calcul!$M$60:$M$184,0),0)),4,TRUE())&amp;" po · "&amp;FIXED(INDEX('Liste outils'!$H$6:$H$130,IFERROR(MATCH(12,Calcul!$M$60:$M$184,0),0))*25.4,3,TRUE())&amp;" mm"),""))</f>
        <v/>
      </c>
      <c r="E33" s="25" t="str">
        <f aca="false">IF(IFERROR(MATCH(12,Calcul!$M$60:$M$184,0),0)=0,"",INDEX('Liste outils'!$AB$6:$AB$130,IFERROR(MATCH(12,Calcul!$M$60:$M$184,0),0))&amp;"")</f>
        <v/>
      </c>
      <c r="F33" s="25" t="str">
        <f aca="false">IF(IFERROR(MATCH(12,Calcul!$M$60:$M$184,0),0)=0,"",INDEX('Liste outils'!$O$6:$O$130,IFERROR(MATCH(12,Calcul!$M$60:$M$184,0),0))&amp;"")</f>
        <v/>
      </c>
      <c r="G33" s="25" t="str">
        <f aca="false">IF(IFERROR(MATCH(12,Calcul!$M$60:$M$184,0),0)=0,"",INDEX('Liste outils'!$AC$6:$AC$130,IFERROR(MATCH(12,Calcul!$M$60:$M$184,0),0))&amp;"")</f>
        <v/>
      </c>
    </row>
    <row r="34" customFormat="false" ht="15" hidden="false" customHeight="false" outlineLevel="0" collapsed="false">
      <c r="A34" s="24" t="str">
        <f aca="false">IF(IFERROR(MATCH(13,Calcul!$M$60:$M$184,0),0)=0,"",INDEX('Liste outils'!$B$6:$B$130,IFERROR(MATCH(13,Calcul!$M$60:$M$184,0),0))&amp;"")</f>
        <v/>
      </c>
      <c r="B34" s="25" t="str">
        <f aca="false">IF(IFERROR(MATCH(13,Calcul!$M$60:$M$184,0),0)=0,"",INDEX('Liste outils'!$C$6:$C$130,IFERROR(MATCH(13,Calcul!$M$60:$M$184,0),0))&amp;"")</f>
        <v/>
      </c>
      <c r="C34" s="25" t="str">
        <f aca="false">IF(IFERROR(MATCH(13,Calcul!$M$60:$M$184,0),0)=0,"",INDEX('Liste outils'!$J$6:$J$130,IFERROR(MATCH(13,Calcul!$M$60:$M$184,0),0))&amp;"")</f>
        <v/>
      </c>
      <c r="D34" s="25" t="str">
        <f aca="false">IF(IFERROR(MATCH(13,Calcul!$M$60:$M$184,0),0)=0,"",IF(ISNUMBER(INDEX('Liste outils'!$H$6:$H$130,IFERROR(MATCH(13,Calcul!$M$60:$M$184,0),0))),IF(NOT(ISNUMBER(INDEX('Liste outils'!$H$6:$H$130,IFERROR(MATCH(13,Calcul!$M$60:$M$184,0),0)))),"",IF(NOT(ISNUMBER(INDEX('Liste outils'!$H$6:$H$130,IFERROR(MATCH(13,Calcul!$M$60:$M$184,0),0)))),"",IF(INDEX('Liste outils'!$H$6:$H$130,IFERROR(MATCH(13,Calcul!$M$60:$M$184,0),0))&lt;=0,"",IF(ABS(INDEX('Liste outils'!$H$6:$H$130,IFERROR(MATCH(13,Calcul!$M$60:$M$184,0),0))*64-ROUND(INDEX('Liste outils'!$H$6:$H$130,IFERROR(MATCH(13,Calcul!$M$60:$M$184,0),0))*64,0))&gt;0.0005,"≈ ","")&amp;IF(INT(ROUND(INDEX('Liste outils'!$H$6:$H$130,IFERROR(MATCH(13,Calcul!$M$60:$M$184,0),0))*64,0)/64)&gt;0,INT(ROUND(INDEX('Liste outils'!$H$6:$H$130,IFERROR(MATCH(13,Calcul!$M$60:$M$184,0),0))*64,0)/64)&amp;IF(MOD(ROUND(INDEX('Liste outils'!$H$6:$H$130,IFERROR(MATCH(13,Calcul!$M$60:$M$184,0),0))*64,0),64)&gt;0," ",""),"")&amp;IF(MOD(ROUND(INDEX('Liste outils'!$H$6:$H$130,IFERROR(MATCH(13,Calcul!$M$60:$M$184,0),0))*64,0),64)&gt;0,MOD(ROUND(INDEX('Liste outils'!$H$6:$H$130,IFERROR(MATCH(13,Calcul!$M$60:$M$184,0),0))*64,0),64)/GCD(MOD(ROUND(INDEX('Liste outils'!$H$6:$H$130,IFERROR(MATCH(13,Calcul!$M$60:$M$184,0),0))*64,0),64),64)&amp;"/"&amp;64/GCD(MOD(ROUND(INDEX('Liste outils'!$H$6:$H$130,IFERROR(MATCH(13,Calcul!$M$60:$M$184,0),0))*64,0),64),64),IF(ROUND(INDEX('Liste outils'!$H$6:$H$130,IFERROR(MATCH(13,Calcul!$M$60:$M$184,0),0))*64,0)=0,"0",""))&amp;""""))&amp;" · "&amp;FIXED(INDEX('Liste outils'!$H$6:$H$130,IFERROR(MATCH(13,Calcul!$M$60:$M$184,0),0)),4,TRUE())&amp;" po · "&amp;FIXED(INDEX('Liste outils'!$H$6:$H$130,IFERROR(MATCH(13,Calcul!$M$60:$M$184,0),0))*25.4,3,TRUE())&amp;" mm"),""))</f>
        <v/>
      </c>
      <c r="E34" s="25" t="str">
        <f aca="false">IF(IFERROR(MATCH(13,Calcul!$M$60:$M$184,0),0)=0,"",INDEX('Liste outils'!$AB$6:$AB$130,IFERROR(MATCH(13,Calcul!$M$60:$M$184,0),0))&amp;"")</f>
        <v/>
      </c>
      <c r="F34" s="25" t="str">
        <f aca="false">IF(IFERROR(MATCH(13,Calcul!$M$60:$M$184,0),0)=0,"",INDEX('Liste outils'!$O$6:$O$130,IFERROR(MATCH(13,Calcul!$M$60:$M$184,0),0))&amp;"")</f>
        <v/>
      </c>
      <c r="G34" s="25" t="str">
        <f aca="false">IF(IFERROR(MATCH(13,Calcul!$M$60:$M$184,0),0)=0,"",INDEX('Liste outils'!$AC$6:$AC$130,IFERROR(MATCH(13,Calcul!$M$60:$M$184,0),0))&amp;"")</f>
        <v/>
      </c>
    </row>
    <row r="35" customFormat="false" ht="15" hidden="false" customHeight="false" outlineLevel="0" collapsed="false">
      <c r="A35" s="24" t="str">
        <f aca="false">IF(IFERROR(MATCH(14,Calcul!$M$60:$M$184,0),0)=0,"",INDEX('Liste outils'!$B$6:$B$130,IFERROR(MATCH(14,Calcul!$M$60:$M$184,0),0))&amp;"")</f>
        <v/>
      </c>
      <c r="B35" s="25" t="str">
        <f aca="false">IF(IFERROR(MATCH(14,Calcul!$M$60:$M$184,0),0)=0,"",INDEX('Liste outils'!$C$6:$C$130,IFERROR(MATCH(14,Calcul!$M$60:$M$184,0),0))&amp;"")</f>
        <v/>
      </c>
      <c r="C35" s="25" t="str">
        <f aca="false">IF(IFERROR(MATCH(14,Calcul!$M$60:$M$184,0),0)=0,"",INDEX('Liste outils'!$J$6:$J$130,IFERROR(MATCH(14,Calcul!$M$60:$M$184,0),0))&amp;"")</f>
        <v/>
      </c>
      <c r="D35" s="25" t="str">
        <f aca="false">IF(IFERROR(MATCH(14,Calcul!$M$60:$M$184,0),0)=0,"",IF(ISNUMBER(INDEX('Liste outils'!$H$6:$H$130,IFERROR(MATCH(14,Calcul!$M$60:$M$184,0),0))),IF(NOT(ISNUMBER(INDEX('Liste outils'!$H$6:$H$130,IFERROR(MATCH(14,Calcul!$M$60:$M$184,0),0)))),"",IF(NOT(ISNUMBER(INDEX('Liste outils'!$H$6:$H$130,IFERROR(MATCH(14,Calcul!$M$60:$M$184,0),0)))),"",IF(INDEX('Liste outils'!$H$6:$H$130,IFERROR(MATCH(14,Calcul!$M$60:$M$184,0),0))&lt;=0,"",IF(ABS(INDEX('Liste outils'!$H$6:$H$130,IFERROR(MATCH(14,Calcul!$M$60:$M$184,0),0))*64-ROUND(INDEX('Liste outils'!$H$6:$H$130,IFERROR(MATCH(14,Calcul!$M$60:$M$184,0),0))*64,0))&gt;0.0005,"≈ ","")&amp;IF(INT(ROUND(INDEX('Liste outils'!$H$6:$H$130,IFERROR(MATCH(14,Calcul!$M$60:$M$184,0),0))*64,0)/64)&gt;0,INT(ROUND(INDEX('Liste outils'!$H$6:$H$130,IFERROR(MATCH(14,Calcul!$M$60:$M$184,0),0))*64,0)/64)&amp;IF(MOD(ROUND(INDEX('Liste outils'!$H$6:$H$130,IFERROR(MATCH(14,Calcul!$M$60:$M$184,0),0))*64,0),64)&gt;0," ",""),"")&amp;IF(MOD(ROUND(INDEX('Liste outils'!$H$6:$H$130,IFERROR(MATCH(14,Calcul!$M$60:$M$184,0),0))*64,0),64)&gt;0,MOD(ROUND(INDEX('Liste outils'!$H$6:$H$130,IFERROR(MATCH(14,Calcul!$M$60:$M$184,0),0))*64,0),64)/GCD(MOD(ROUND(INDEX('Liste outils'!$H$6:$H$130,IFERROR(MATCH(14,Calcul!$M$60:$M$184,0),0))*64,0),64),64)&amp;"/"&amp;64/GCD(MOD(ROUND(INDEX('Liste outils'!$H$6:$H$130,IFERROR(MATCH(14,Calcul!$M$60:$M$184,0),0))*64,0),64),64),IF(ROUND(INDEX('Liste outils'!$H$6:$H$130,IFERROR(MATCH(14,Calcul!$M$60:$M$184,0),0))*64,0)=0,"0",""))&amp;""""))&amp;" · "&amp;FIXED(INDEX('Liste outils'!$H$6:$H$130,IFERROR(MATCH(14,Calcul!$M$60:$M$184,0),0)),4,TRUE())&amp;" po · "&amp;FIXED(INDEX('Liste outils'!$H$6:$H$130,IFERROR(MATCH(14,Calcul!$M$60:$M$184,0),0))*25.4,3,TRUE())&amp;" mm"),""))</f>
        <v/>
      </c>
      <c r="E35" s="25" t="str">
        <f aca="false">IF(IFERROR(MATCH(14,Calcul!$M$60:$M$184,0),0)=0,"",INDEX('Liste outils'!$AB$6:$AB$130,IFERROR(MATCH(14,Calcul!$M$60:$M$184,0),0))&amp;"")</f>
        <v/>
      </c>
      <c r="F35" s="25" t="str">
        <f aca="false">IF(IFERROR(MATCH(14,Calcul!$M$60:$M$184,0),0)=0,"",INDEX('Liste outils'!$O$6:$O$130,IFERROR(MATCH(14,Calcul!$M$60:$M$184,0),0))&amp;"")</f>
        <v/>
      </c>
      <c r="G35" s="25" t="str">
        <f aca="false">IF(IFERROR(MATCH(14,Calcul!$M$60:$M$184,0),0)=0,"",INDEX('Liste outils'!$AC$6:$AC$130,IFERROR(MATCH(14,Calcul!$M$60:$M$184,0),0))&amp;"")</f>
        <v/>
      </c>
    </row>
    <row r="36" customFormat="false" ht="15" hidden="false" customHeight="false" outlineLevel="0" collapsed="false">
      <c r="A36" s="24" t="str">
        <f aca="false">IF(IFERROR(MATCH(15,Calcul!$M$60:$M$184,0),0)=0,"",INDEX('Liste outils'!$B$6:$B$130,IFERROR(MATCH(15,Calcul!$M$60:$M$184,0),0))&amp;"")</f>
        <v/>
      </c>
      <c r="B36" s="25" t="str">
        <f aca="false">IF(IFERROR(MATCH(15,Calcul!$M$60:$M$184,0),0)=0,"",INDEX('Liste outils'!$C$6:$C$130,IFERROR(MATCH(15,Calcul!$M$60:$M$184,0),0))&amp;"")</f>
        <v/>
      </c>
      <c r="C36" s="25" t="str">
        <f aca="false">IF(IFERROR(MATCH(15,Calcul!$M$60:$M$184,0),0)=0,"",INDEX('Liste outils'!$J$6:$J$130,IFERROR(MATCH(15,Calcul!$M$60:$M$184,0),0))&amp;"")</f>
        <v/>
      </c>
      <c r="D36" s="25" t="str">
        <f aca="false">IF(IFERROR(MATCH(15,Calcul!$M$60:$M$184,0),0)=0,"",IF(ISNUMBER(INDEX('Liste outils'!$H$6:$H$130,IFERROR(MATCH(15,Calcul!$M$60:$M$184,0),0))),IF(NOT(ISNUMBER(INDEX('Liste outils'!$H$6:$H$130,IFERROR(MATCH(15,Calcul!$M$60:$M$184,0),0)))),"",IF(NOT(ISNUMBER(INDEX('Liste outils'!$H$6:$H$130,IFERROR(MATCH(15,Calcul!$M$60:$M$184,0),0)))),"",IF(INDEX('Liste outils'!$H$6:$H$130,IFERROR(MATCH(15,Calcul!$M$60:$M$184,0),0))&lt;=0,"",IF(ABS(INDEX('Liste outils'!$H$6:$H$130,IFERROR(MATCH(15,Calcul!$M$60:$M$184,0),0))*64-ROUND(INDEX('Liste outils'!$H$6:$H$130,IFERROR(MATCH(15,Calcul!$M$60:$M$184,0),0))*64,0))&gt;0.0005,"≈ ","")&amp;IF(INT(ROUND(INDEX('Liste outils'!$H$6:$H$130,IFERROR(MATCH(15,Calcul!$M$60:$M$184,0),0))*64,0)/64)&gt;0,INT(ROUND(INDEX('Liste outils'!$H$6:$H$130,IFERROR(MATCH(15,Calcul!$M$60:$M$184,0),0))*64,0)/64)&amp;IF(MOD(ROUND(INDEX('Liste outils'!$H$6:$H$130,IFERROR(MATCH(15,Calcul!$M$60:$M$184,0),0))*64,0),64)&gt;0," ",""),"")&amp;IF(MOD(ROUND(INDEX('Liste outils'!$H$6:$H$130,IFERROR(MATCH(15,Calcul!$M$60:$M$184,0),0))*64,0),64)&gt;0,MOD(ROUND(INDEX('Liste outils'!$H$6:$H$130,IFERROR(MATCH(15,Calcul!$M$60:$M$184,0),0))*64,0),64)/GCD(MOD(ROUND(INDEX('Liste outils'!$H$6:$H$130,IFERROR(MATCH(15,Calcul!$M$60:$M$184,0),0))*64,0),64),64)&amp;"/"&amp;64/GCD(MOD(ROUND(INDEX('Liste outils'!$H$6:$H$130,IFERROR(MATCH(15,Calcul!$M$60:$M$184,0),0))*64,0),64),64),IF(ROUND(INDEX('Liste outils'!$H$6:$H$130,IFERROR(MATCH(15,Calcul!$M$60:$M$184,0),0))*64,0)=0,"0",""))&amp;""""))&amp;" · "&amp;FIXED(INDEX('Liste outils'!$H$6:$H$130,IFERROR(MATCH(15,Calcul!$M$60:$M$184,0),0)),4,TRUE())&amp;" po · "&amp;FIXED(INDEX('Liste outils'!$H$6:$H$130,IFERROR(MATCH(15,Calcul!$M$60:$M$184,0),0))*25.4,3,TRUE())&amp;" mm"),""))</f>
        <v/>
      </c>
      <c r="E36" s="25" t="str">
        <f aca="false">IF(IFERROR(MATCH(15,Calcul!$M$60:$M$184,0),0)=0,"",INDEX('Liste outils'!$AB$6:$AB$130,IFERROR(MATCH(15,Calcul!$M$60:$M$184,0),0))&amp;"")</f>
        <v/>
      </c>
      <c r="F36" s="25" t="str">
        <f aca="false">IF(IFERROR(MATCH(15,Calcul!$M$60:$M$184,0),0)=0,"",INDEX('Liste outils'!$O$6:$O$130,IFERROR(MATCH(15,Calcul!$M$60:$M$184,0),0))&amp;"")</f>
        <v/>
      </c>
      <c r="G36" s="25" t="str">
        <f aca="false">IF(IFERROR(MATCH(15,Calcul!$M$60:$M$184,0),0)=0,"",INDEX('Liste outils'!$AC$6:$AC$130,IFERROR(MATCH(15,Calcul!$M$60:$M$184,0),0))&amp;"")</f>
        <v/>
      </c>
    </row>
    <row r="37" customFormat="false" ht="15" hidden="false" customHeight="false" outlineLevel="0" collapsed="false">
      <c r="A37" s="24" t="str">
        <f aca="false">IF(IFERROR(MATCH(16,Calcul!$M$60:$M$184,0),0)=0,"",INDEX('Liste outils'!$B$6:$B$130,IFERROR(MATCH(16,Calcul!$M$60:$M$184,0),0))&amp;"")</f>
        <v/>
      </c>
      <c r="B37" s="25" t="str">
        <f aca="false">IF(IFERROR(MATCH(16,Calcul!$M$60:$M$184,0),0)=0,"",INDEX('Liste outils'!$C$6:$C$130,IFERROR(MATCH(16,Calcul!$M$60:$M$184,0),0))&amp;"")</f>
        <v/>
      </c>
      <c r="C37" s="25" t="str">
        <f aca="false">IF(IFERROR(MATCH(16,Calcul!$M$60:$M$184,0),0)=0,"",INDEX('Liste outils'!$J$6:$J$130,IFERROR(MATCH(16,Calcul!$M$60:$M$184,0),0))&amp;"")</f>
        <v/>
      </c>
      <c r="D37" s="25" t="str">
        <f aca="false">IF(IFERROR(MATCH(16,Calcul!$M$60:$M$184,0),0)=0,"",IF(ISNUMBER(INDEX('Liste outils'!$H$6:$H$130,IFERROR(MATCH(16,Calcul!$M$60:$M$184,0),0))),IF(NOT(ISNUMBER(INDEX('Liste outils'!$H$6:$H$130,IFERROR(MATCH(16,Calcul!$M$60:$M$184,0),0)))),"",IF(NOT(ISNUMBER(INDEX('Liste outils'!$H$6:$H$130,IFERROR(MATCH(16,Calcul!$M$60:$M$184,0),0)))),"",IF(INDEX('Liste outils'!$H$6:$H$130,IFERROR(MATCH(16,Calcul!$M$60:$M$184,0),0))&lt;=0,"",IF(ABS(INDEX('Liste outils'!$H$6:$H$130,IFERROR(MATCH(16,Calcul!$M$60:$M$184,0),0))*64-ROUND(INDEX('Liste outils'!$H$6:$H$130,IFERROR(MATCH(16,Calcul!$M$60:$M$184,0),0))*64,0))&gt;0.0005,"≈ ","")&amp;IF(INT(ROUND(INDEX('Liste outils'!$H$6:$H$130,IFERROR(MATCH(16,Calcul!$M$60:$M$184,0),0))*64,0)/64)&gt;0,INT(ROUND(INDEX('Liste outils'!$H$6:$H$130,IFERROR(MATCH(16,Calcul!$M$60:$M$184,0),0))*64,0)/64)&amp;IF(MOD(ROUND(INDEX('Liste outils'!$H$6:$H$130,IFERROR(MATCH(16,Calcul!$M$60:$M$184,0),0))*64,0),64)&gt;0," ",""),"")&amp;IF(MOD(ROUND(INDEX('Liste outils'!$H$6:$H$130,IFERROR(MATCH(16,Calcul!$M$60:$M$184,0),0))*64,0),64)&gt;0,MOD(ROUND(INDEX('Liste outils'!$H$6:$H$130,IFERROR(MATCH(16,Calcul!$M$60:$M$184,0),0))*64,0),64)/GCD(MOD(ROUND(INDEX('Liste outils'!$H$6:$H$130,IFERROR(MATCH(16,Calcul!$M$60:$M$184,0),0))*64,0),64),64)&amp;"/"&amp;64/GCD(MOD(ROUND(INDEX('Liste outils'!$H$6:$H$130,IFERROR(MATCH(16,Calcul!$M$60:$M$184,0),0))*64,0),64),64),IF(ROUND(INDEX('Liste outils'!$H$6:$H$130,IFERROR(MATCH(16,Calcul!$M$60:$M$184,0),0))*64,0)=0,"0",""))&amp;""""))&amp;" · "&amp;FIXED(INDEX('Liste outils'!$H$6:$H$130,IFERROR(MATCH(16,Calcul!$M$60:$M$184,0),0)),4,TRUE())&amp;" po · "&amp;FIXED(INDEX('Liste outils'!$H$6:$H$130,IFERROR(MATCH(16,Calcul!$M$60:$M$184,0),0))*25.4,3,TRUE())&amp;" mm"),""))</f>
        <v/>
      </c>
      <c r="E37" s="25" t="str">
        <f aca="false">IF(IFERROR(MATCH(16,Calcul!$M$60:$M$184,0),0)=0,"",INDEX('Liste outils'!$AB$6:$AB$130,IFERROR(MATCH(16,Calcul!$M$60:$M$184,0),0))&amp;"")</f>
        <v/>
      </c>
      <c r="F37" s="25" t="str">
        <f aca="false">IF(IFERROR(MATCH(16,Calcul!$M$60:$M$184,0),0)=0,"",INDEX('Liste outils'!$O$6:$O$130,IFERROR(MATCH(16,Calcul!$M$60:$M$184,0),0))&amp;"")</f>
        <v/>
      </c>
      <c r="G37" s="25" t="str">
        <f aca="false">IF(IFERROR(MATCH(16,Calcul!$M$60:$M$184,0),0)=0,"",INDEX('Liste outils'!$AC$6:$AC$130,IFERROR(MATCH(16,Calcul!$M$60:$M$184,0),0))&amp;"")</f>
        <v/>
      </c>
    </row>
    <row r="39" customFormat="false" ht="15" hidden="false" customHeight="false" outlineLevel="0" collapsed="false">
      <c r="A39" s="23" t="str">
        <f aca="false">"Outils de ta liste pour "&amp;IF(C15&lt;=0,"—",B15)&amp;"  ("&amp;A15&amp;")"</f>
        <v>Outils de ta liste pour 1/4"  (1 cran en dessous)</v>
      </c>
    </row>
    <row r="40" customFormat="false" ht="15" hidden="false" customHeight="false" outlineLevel="0" collapsed="false">
      <c r="A40" s="2" t="str">
        <f aca="false">IF(C15&lt;=0,"",COUNT(Calcul!$N$60:$N$184)&amp;" outil(s) de ce diamètre")</f>
        <v>14 outil(s) de ce diamètre</v>
      </c>
    </row>
    <row r="41" customFormat="false" ht="26.85" hidden="false" customHeight="false" outlineLevel="0" collapsed="false">
      <c r="A41" s="12" t="s">
        <v>26</v>
      </c>
      <c r="B41" s="12" t="s">
        <v>27</v>
      </c>
      <c r="C41" s="12" t="s">
        <v>28</v>
      </c>
      <c r="D41" s="12" t="s">
        <v>29</v>
      </c>
      <c r="E41" s="12" t="s">
        <v>30</v>
      </c>
      <c r="F41" s="12" t="s">
        <v>31</v>
      </c>
      <c r="G41" s="12" t="s">
        <v>32</v>
      </c>
    </row>
    <row r="42" customFormat="false" ht="15" hidden="false" customHeight="false" outlineLevel="0" collapsed="false">
      <c r="A42" s="24" t="str">
        <f aca="false">IF(IFERROR(MATCH(1,Calcul!$N$60:$N$184,0),0)=0,"",INDEX('Liste outils'!$B$6:$B$130,IFERROR(MATCH(1,Calcul!$N$60:$N$184,0),0))&amp;"")</f>
        <v>I0023</v>
      </c>
      <c r="B42" s="25" t="str">
        <f aca="false">IF(IFERROR(MATCH(1,Calcul!$N$60:$N$184,0),0)=0,"",INDEX('Liste outils'!$C$6:$C$130,IFERROR(MATCH(1,Calcul!$N$60:$N$184,0),0))&amp;"")</f>
        <v>Insert</v>
      </c>
      <c r="C42" s="25" t="str">
        <f aca="false">IF(IFERROR(MATCH(1,Calcul!$N$60:$N$184,0),0)=0,"",INDEX('Liste outils'!$J$6:$J$130,IFERROR(MATCH(1,Calcul!$N$60:$N$184,0),0))&amp;"")</f>
        <v/>
      </c>
      <c r="D42" s="25" t="str">
        <f aca="false">IF(IFERROR(MATCH(1,Calcul!$N$60:$N$184,0),0)=0,"",IF(ISNUMBER(INDEX('Liste outils'!$H$6:$H$130,IFERROR(MATCH(1,Calcul!$N$60:$N$184,0),0))),IF(NOT(ISNUMBER(INDEX('Liste outils'!$H$6:$H$130,IFERROR(MATCH(1,Calcul!$N$60:$N$184,0),0)))),"",IF(NOT(ISNUMBER(INDEX('Liste outils'!$H$6:$H$130,IFERROR(MATCH(1,Calcul!$N$60:$N$184,0),0)))),"",IF(INDEX('Liste outils'!$H$6:$H$130,IFERROR(MATCH(1,Calcul!$N$60:$N$184,0),0))&lt;=0,"",IF(ABS(INDEX('Liste outils'!$H$6:$H$130,IFERROR(MATCH(1,Calcul!$N$60:$N$184,0),0))*64-ROUND(INDEX('Liste outils'!$H$6:$H$130,IFERROR(MATCH(1,Calcul!$N$60:$N$184,0),0))*64,0))&gt;0.0005,"≈ ","")&amp;IF(INT(ROUND(INDEX('Liste outils'!$H$6:$H$130,IFERROR(MATCH(1,Calcul!$N$60:$N$184,0),0))*64,0)/64)&gt;0,INT(ROUND(INDEX('Liste outils'!$H$6:$H$130,IFERROR(MATCH(1,Calcul!$N$60:$N$184,0),0))*64,0)/64)&amp;IF(MOD(ROUND(INDEX('Liste outils'!$H$6:$H$130,IFERROR(MATCH(1,Calcul!$N$60:$N$184,0),0))*64,0),64)&gt;0," ",""),"")&amp;IF(MOD(ROUND(INDEX('Liste outils'!$H$6:$H$130,IFERROR(MATCH(1,Calcul!$N$60:$N$184,0),0))*64,0),64)&gt;0,MOD(ROUND(INDEX('Liste outils'!$H$6:$H$130,IFERROR(MATCH(1,Calcul!$N$60:$N$184,0),0))*64,0),64)/GCD(MOD(ROUND(INDEX('Liste outils'!$H$6:$H$130,IFERROR(MATCH(1,Calcul!$N$60:$N$184,0),0))*64,0),64),64)&amp;"/"&amp;64/GCD(MOD(ROUND(INDEX('Liste outils'!$H$6:$H$130,IFERROR(MATCH(1,Calcul!$N$60:$N$184,0),0))*64,0),64),64),IF(ROUND(INDEX('Liste outils'!$H$6:$H$130,IFERROR(MATCH(1,Calcul!$N$60:$N$184,0),0))*64,0)=0,"0",""))&amp;""""))&amp;" · "&amp;FIXED(INDEX('Liste outils'!$H$6:$H$130,IFERROR(MATCH(1,Calcul!$N$60:$N$184,0),0)),4,TRUE())&amp;" po · "&amp;FIXED(INDEX('Liste outils'!$H$6:$H$130,IFERROR(MATCH(1,Calcul!$N$60:$N$184,0),0))*25.4,3,TRUE())&amp;" mm"),""))</f>
        <v>≈ 1/4" · 0.2539 po · 6.449 mm</v>
      </c>
      <c r="E42" s="25" t="str">
        <f aca="false">IF(IFERROR(MATCH(1,Calcul!$N$60:$N$184,0),0)=0,"",INDEX('Liste outils'!$AB$6:$AB$130,IFERROR(MATCH(1,Calcul!$N$60:$N$184,0),0))&amp;"")</f>
        <v>A-2-C-4</v>
      </c>
      <c r="F42" s="25" t="str">
        <f aca="false">IF(IFERROR(MATCH(1,Calcul!$N$60:$N$184,0),0)=0,"",INDEX('Liste outils'!$O$6:$O$130,IFERROR(MATCH(1,Calcul!$N$60:$N$184,0),0))&amp;"")</f>
        <v>CPMT060204FP</v>
      </c>
      <c r="G42" s="25" t="str">
        <f aca="false">IF(IFERROR(MATCH(1,Calcul!$N$60:$N$184,0),0)=0,"",INDEX('Liste outils'!$AC$6:$AC$130,IFERROR(MATCH(1,Calcul!$N$60:$N$184,0),0))&amp;"")</f>
        <v>CPMT2151FP</v>
      </c>
    </row>
    <row r="43" customFormat="false" ht="23.85" hidden="false" customHeight="false" outlineLevel="0" collapsed="false">
      <c r="A43" s="24" t="str">
        <f aca="false">IF(IFERROR(MATCH(2,Calcul!$N$60:$N$184,0),0)=0,"",INDEX('Liste outils'!$B$6:$B$130,IFERROR(MATCH(2,Calcul!$N$60:$N$184,0),0))&amp;"")</f>
        <v>I0024</v>
      </c>
      <c r="B43" s="25" t="str">
        <f aca="false">IF(IFERROR(MATCH(2,Calcul!$N$60:$N$184,0),0)=0,"",INDEX('Liste outils'!$C$6:$C$130,IFERROR(MATCH(2,Calcul!$N$60:$N$184,0),0))&amp;"")</f>
        <v>Insert</v>
      </c>
      <c r="C43" s="25" t="str">
        <f aca="false">IF(IFERROR(MATCH(2,Calcul!$N$60:$N$184,0),0)=0,"",INDEX('Liste outils'!$J$6:$J$130,IFERROR(MATCH(2,Calcul!$N$60:$N$184,0),0))&amp;"")</f>
        <v/>
      </c>
      <c r="D43" s="25" t="str">
        <f aca="false">IF(IFERROR(MATCH(2,Calcul!$N$60:$N$184,0),0)=0,"",IF(ISNUMBER(INDEX('Liste outils'!$H$6:$H$130,IFERROR(MATCH(2,Calcul!$N$60:$N$184,0),0))),IF(NOT(ISNUMBER(INDEX('Liste outils'!$H$6:$H$130,IFERROR(MATCH(2,Calcul!$N$60:$N$184,0),0)))),"",IF(NOT(ISNUMBER(INDEX('Liste outils'!$H$6:$H$130,IFERROR(MATCH(2,Calcul!$N$60:$N$184,0),0)))),"",IF(INDEX('Liste outils'!$H$6:$H$130,IFERROR(MATCH(2,Calcul!$N$60:$N$184,0),0))&lt;=0,"",IF(ABS(INDEX('Liste outils'!$H$6:$H$130,IFERROR(MATCH(2,Calcul!$N$60:$N$184,0),0))*64-ROUND(INDEX('Liste outils'!$H$6:$H$130,IFERROR(MATCH(2,Calcul!$N$60:$N$184,0),0))*64,0))&gt;0.0005,"≈ ","")&amp;IF(INT(ROUND(INDEX('Liste outils'!$H$6:$H$130,IFERROR(MATCH(2,Calcul!$N$60:$N$184,0),0))*64,0)/64)&gt;0,INT(ROUND(INDEX('Liste outils'!$H$6:$H$130,IFERROR(MATCH(2,Calcul!$N$60:$N$184,0),0))*64,0)/64)&amp;IF(MOD(ROUND(INDEX('Liste outils'!$H$6:$H$130,IFERROR(MATCH(2,Calcul!$N$60:$N$184,0),0))*64,0),64)&gt;0," ",""),"")&amp;IF(MOD(ROUND(INDEX('Liste outils'!$H$6:$H$130,IFERROR(MATCH(2,Calcul!$N$60:$N$184,0),0))*64,0),64)&gt;0,MOD(ROUND(INDEX('Liste outils'!$H$6:$H$130,IFERROR(MATCH(2,Calcul!$N$60:$N$184,0),0))*64,0),64)/GCD(MOD(ROUND(INDEX('Liste outils'!$H$6:$H$130,IFERROR(MATCH(2,Calcul!$N$60:$N$184,0),0))*64,0),64),64)&amp;"/"&amp;64/GCD(MOD(ROUND(INDEX('Liste outils'!$H$6:$H$130,IFERROR(MATCH(2,Calcul!$N$60:$N$184,0),0))*64,0),64),64),IF(ROUND(INDEX('Liste outils'!$H$6:$H$130,IFERROR(MATCH(2,Calcul!$N$60:$N$184,0),0))*64,0)=0,"0",""))&amp;""""))&amp;" · "&amp;FIXED(INDEX('Liste outils'!$H$6:$H$130,IFERROR(MATCH(2,Calcul!$N$60:$N$184,0),0)),4,TRUE())&amp;" po · "&amp;FIXED(INDEX('Liste outils'!$H$6:$H$130,IFERROR(MATCH(2,Calcul!$N$60:$N$184,0),0))*25.4,3,TRUE())&amp;" mm"),""))</f>
        <v>≈ 1/4" · 0.2539 po · 6.449 mm</v>
      </c>
      <c r="E43" s="25" t="str">
        <f aca="false">IF(IFERROR(MATCH(2,Calcul!$N$60:$N$184,0),0)=0,"",INDEX('Liste outils'!$AB$6:$AB$130,IFERROR(MATCH(2,Calcul!$N$60:$N$184,0),0))&amp;"")</f>
        <v>A-2-F-4</v>
      </c>
      <c r="F43" s="25" t="str">
        <f aca="false">IF(IFERROR(MATCH(2,Calcul!$N$60:$N$184,0),0)=0,"",INDEX('Liste outils'!$O$6:$O$130,IFERROR(MATCH(2,Calcul!$N$60:$N$184,0),0))&amp;"")</f>
        <v>CCMT060204FP</v>
      </c>
      <c r="G43" s="25" t="str">
        <f aca="false">IF(IFERROR(MATCH(2,Calcul!$N$60:$N$184,0),0)=0,"",INDEX('Liste outils'!$AC$6:$AC$130,IFERROR(MATCH(2,Calcul!$N$60:$N$184,0),0))&amp;"")</f>
        <v>Material Number 7167775, ANSI CCMT2151FP</v>
      </c>
    </row>
    <row r="44" customFormat="false" ht="15" hidden="false" customHeight="false" outlineLevel="0" collapsed="false">
      <c r="A44" s="24" t="str">
        <f aca="false">IF(IFERROR(MATCH(3,Calcul!$N$60:$N$184,0),0)=0,"",INDEX('Liste outils'!$B$6:$B$130,IFERROR(MATCH(3,Calcul!$N$60:$N$184,0),0))&amp;"")</f>
        <v>EM0001</v>
      </c>
      <c r="B44" s="25" t="str">
        <f aca="false">IF(IFERROR(MATCH(3,Calcul!$N$60:$N$184,0),0)=0,"",INDEX('Liste outils'!$C$6:$C$130,IFERROR(MATCH(3,Calcul!$N$60:$N$184,0),0))&amp;"")</f>
        <v>End Mill</v>
      </c>
      <c r="C44" s="25" t="str">
        <f aca="false">IF(IFERROR(MATCH(3,Calcul!$N$60:$N$184,0),0)=0,"",INDEX('Liste outils'!$J$6:$J$130,IFERROR(MATCH(3,Calcul!$N$60:$N$184,0),0))&amp;"")</f>
        <v/>
      </c>
      <c r="D44" s="25" t="str">
        <f aca="false">IF(IFERROR(MATCH(3,Calcul!$N$60:$N$184,0),0)=0,"",IF(ISNUMBER(INDEX('Liste outils'!$H$6:$H$130,IFERROR(MATCH(3,Calcul!$N$60:$N$184,0),0))),IF(NOT(ISNUMBER(INDEX('Liste outils'!$H$6:$H$130,IFERROR(MATCH(3,Calcul!$N$60:$N$184,0),0)))),"",IF(NOT(ISNUMBER(INDEX('Liste outils'!$H$6:$H$130,IFERROR(MATCH(3,Calcul!$N$60:$N$184,0),0)))),"",IF(INDEX('Liste outils'!$H$6:$H$130,IFERROR(MATCH(3,Calcul!$N$60:$N$184,0),0))&lt;=0,"",IF(ABS(INDEX('Liste outils'!$H$6:$H$130,IFERROR(MATCH(3,Calcul!$N$60:$N$184,0),0))*64-ROUND(INDEX('Liste outils'!$H$6:$H$130,IFERROR(MATCH(3,Calcul!$N$60:$N$184,0),0))*64,0))&gt;0.0005,"≈ ","")&amp;IF(INT(ROUND(INDEX('Liste outils'!$H$6:$H$130,IFERROR(MATCH(3,Calcul!$N$60:$N$184,0),0))*64,0)/64)&gt;0,INT(ROUND(INDEX('Liste outils'!$H$6:$H$130,IFERROR(MATCH(3,Calcul!$N$60:$N$184,0),0))*64,0)/64)&amp;IF(MOD(ROUND(INDEX('Liste outils'!$H$6:$H$130,IFERROR(MATCH(3,Calcul!$N$60:$N$184,0),0))*64,0),64)&gt;0," ",""),"")&amp;IF(MOD(ROUND(INDEX('Liste outils'!$H$6:$H$130,IFERROR(MATCH(3,Calcul!$N$60:$N$184,0),0))*64,0),64)&gt;0,MOD(ROUND(INDEX('Liste outils'!$H$6:$H$130,IFERROR(MATCH(3,Calcul!$N$60:$N$184,0),0))*64,0),64)/GCD(MOD(ROUND(INDEX('Liste outils'!$H$6:$H$130,IFERROR(MATCH(3,Calcul!$N$60:$N$184,0),0))*64,0),64),64)&amp;"/"&amp;64/GCD(MOD(ROUND(INDEX('Liste outils'!$H$6:$H$130,IFERROR(MATCH(3,Calcul!$N$60:$N$184,0),0))*64,0),64),64),IF(ROUND(INDEX('Liste outils'!$H$6:$H$130,IFERROR(MATCH(3,Calcul!$N$60:$N$184,0),0))*64,0)=0,"0",""))&amp;""""))&amp;" · "&amp;FIXED(INDEX('Liste outils'!$H$6:$H$130,IFERROR(MATCH(3,Calcul!$N$60:$N$184,0),0)),4,TRUE())&amp;" po · "&amp;FIXED(INDEX('Liste outils'!$H$6:$H$130,IFERROR(MATCH(3,Calcul!$N$60:$N$184,0),0))*25.4,3,TRUE())&amp;" mm"),""))</f>
        <v>3/8" · 0.3750 po · 9.525 mm</v>
      </c>
      <c r="E44" s="25" t="str">
        <f aca="false">IF(IFERROR(MATCH(3,Calcul!$N$60:$N$184,0),0)=0,"",INDEX('Liste outils'!$AB$6:$AB$130,IFERROR(MATCH(3,Calcul!$N$60:$N$184,0),0))&amp;"")</f>
        <v>A-2-A-3</v>
      </c>
      <c r="F44" s="25" t="str">
        <f aca="false">IF(IFERROR(MATCH(3,Calcul!$N$60:$N$184,0),0)=0,"",INDEX('Liste outils'!$O$6:$O$130,IFERROR(MATCH(3,Calcul!$N$60:$N$184,0),0))&amp;"")</f>
        <v>DMASOL-230926</v>
      </c>
      <c r="G44" s="25" t="str">
        <f aca="false">IF(IFERROR(MATCH(3,Calcul!$N$60:$N$184,0),0)=0,"",INDEX('Liste outils'!$AC$6:$AC$130,IFERROR(MATCH(3,Calcul!$N$60:$N$184,0),0))&amp;"")</f>
        <v>45º Chamfer End</v>
      </c>
    </row>
    <row r="45" customFormat="false" ht="15" hidden="false" customHeight="false" outlineLevel="0" collapsed="false">
      <c r="A45" s="24" t="str">
        <f aca="false">IF(IFERROR(MATCH(4,Calcul!$N$60:$N$184,0),0)=0,"",INDEX('Liste outils'!$B$6:$B$130,IFERROR(MATCH(4,Calcul!$N$60:$N$184,0),0))&amp;"")</f>
        <v>EM0004</v>
      </c>
      <c r="B45" s="25" t="str">
        <f aca="false">IF(IFERROR(MATCH(4,Calcul!$N$60:$N$184,0),0)=0,"",INDEX('Liste outils'!$C$6:$C$130,IFERROR(MATCH(4,Calcul!$N$60:$N$184,0),0))&amp;"")</f>
        <v>End Mill</v>
      </c>
      <c r="C45" s="25" t="str">
        <f aca="false">IF(IFERROR(MATCH(4,Calcul!$N$60:$N$184,0),0)=0,"",INDEX('Liste outils'!$J$6:$J$130,IFERROR(MATCH(4,Calcul!$N$60:$N$184,0),0))&amp;"")</f>
        <v>Upcut</v>
      </c>
      <c r="D45" s="25" t="str">
        <f aca="false">IF(IFERROR(MATCH(4,Calcul!$N$60:$N$184,0),0)=0,"",IF(ISNUMBER(INDEX('Liste outils'!$H$6:$H$130,IFERROR(MATCH(4,Calcul!$N$60:$N$184,0),0))),IF(NOT(ISNUMBER(INDEX('Liste outils'!$H$6:$H$130,IFERROR(MATCH(4,Calcul!$N$60:$N$184,0),0)))),"",IF(NOT(ISNUMBER(INDEX('Liste outils'!$H$6:$H$130,IFERROR(MATCH(4,Calcul!$N$60:$N$184,0),0)))),"",IF(INDEX('Liste outils'!$H$6:$H$130,IFERROR(MATCH(4,Calcul!$N$60:$N$184,0),0))&lt;=0,"",IF(ABS(INDEX('Liste outils'!$H$6:$H$130,IFERROR(MATCH(4,Calcul!$N$60:$N$184,0),0))*64-ROUND(INDEX('Liste outils'!$H$6:$H$130,IFERROR(MATCH(4,Calcul!$N$60:$N$184,0),0))*64,0))&gt;0.0005,"≈ ","")&amp;IF(INT(ROUND(INDEX('Liste outils'!$H$6:$H$130,IFERROR(MATCH(4,Calcul!$N$60:$N$184,0),0))*64,0)/64)&gt;0,INT(ROUND(INDEX('Liste outils'!$H$6:$H$130,IFERROR(MATCH(4,Calcul!$N$60:$N$184,0),0))*64,0)/64)&amp;IF(MOD(ROUND(INDEX('Liste outils'!$H$6:$H$130,IFERROR(MATCH(4,Calcul!$N$60:$N$184,0),0))*64,0),64)&gt;0," ",""),"")&amp;IF(MOD(ROUND(INDEX('Liste outils'!$H$6:$H$130,IFERROR(MATCH(4,Calcul!$N$60:$N$184,0),0))*64,0),64)&gt;0,MOD(ROUND(INDEX('Liste outils'!$H$6:$H$130,IFERROR(MATCH(4,Calcul!$N$60:$N$184,0),0))*64,0),64)/GCD(MOD(ROUND(INDEX('Liste outils'!$H$6:$H$130,IFERROR(MATCH(4,Calcul!$N$60:$N$184,0),0))*64,0),64),64)&amp;"/"&amp;64/GCD(MOD(ROUND(INDEX('Liste outils'!$H$6:$H$130,IFERROR(MATCH(4,Calcul!$N$60:$N$184,0),0))*64,0),64),64),IF(ROUND(INDEX('Liste outils'!$H$6:$H$130,IFERROR(MATCH(4,Calcul!$N$60:$N$184,0),0))*64,0)=0,"0",""))&amp;""""))&amp;" · "&amp;FIXED(INDEX('Liste outils'!$H$6:$H$130,IFERROR(MATCH(4,Calcul!$N$60:$N$184,0),0)),4,TRUE())&amp;" po · "&amp;FIXED(INDEX('Liste outils'!$H$6:$H$130,IFERROR(MATCH(4,Calcul!$N$60:$N$184,0),0))*25.4,3,TRUE())&amp;" mm"),""))</f>
        <v>3/8" · 0.3750 po · 9.525 mm</v>
      </c>
      <c r="E45" s="25" t="str">
        <f aca="false">IF(IFERROR(MATCH(4,Calcul!$N$60:$N$184,0),0)=0,"",INDEX('Liste outils'!$AB$6:$AB$130,IFERROR(MATCH(4,Calcul!$N$60:$N$184,0),0))&amp;"")</f>
        <v>A-1-A-3</v>
      </c>
      <c r="F45" s="25" t="str">
        <f aca="false">IF(IFERROR(MATCH(4,Calcul!$N$60:$N$184,0),0)=0,"",INDEX('Liste outils'!$O$6:$O$130,IFERROR(MATCH(4,Calcul!$N$60:$N$184,0),0))&amp;"")</f>
        <v>63-774</v>
      </c>
      <c r="G45" s="25" t="str">
        <f aca="false">IF(IFERROR(MATCH(4,Calcul!$N$60:$N$184,0),0)=0,"",INDEX('Liste outils'!$AC$6:$AC$130,IFERROR(MATCH(4,Calcul!$N$60:$N$184,0),0))&amp;"")</f>
        <v>ARMTEC</v>
      </c>
    </row>
    <row r="46" customFormat="false" ht="15" hidden="false" customHeight="false" outlineLevel="0" collapsed="false">
      <c r="A46" s="24" t="str">
        <f aca="false">IF(IFERROR(MATCH(5,Calcul!$N$60:$N$184,0),0)=0,"",INDEX('Liste outils'!$B$6:$B$130,IFERROR(MATCH(5,Calcul!$N$60:$N$184,0),0))&amp;"")</f>
        <v>EM0008</v>
      </c>
      <c r="B46" s="25" t="str">
        <f aca="false">IF(IFERROR(MATCH(5,Calcul!$N$60:$N$184,0),0)=0,"",INDEX('Liste outils'!$C$6:$C$130,IFERROR(MATCH(5,Calcul!$N$60:$N$184,0),0))&amp;"")</f>
        <v>End Mill</v>
      </c>
      <c r="C46" s="25" t="str">
        <f aca="false">IF(IFERROR(MATCH(5,Calcul!$N$60:$N$184,0),0)=0,"",INDEX('Liste outils'!$J$6:$J$130,IFERROR(MATCH(5,Calcul!$N$60:$N$184,0),0))&amp;"")</f>
        <v>Upcut</v>
      </c>
      <c r="D46" s="25" t="str">
        <f aca="false">IF(IFERROR(MATCH(5,Calcul!$N$60:$N$184,0),0)=0,"",IF(ISNUMBER(INDEX('Liste outils'!$H$6:$H$130,IFERROR(MATCH(5,Calcul!$N$60:$N$184,0),0))),IF(NOT(ISNUMBER(INDEX('Liste outils'!$H$6:$H$130,IFERROR(MATCH(5,Calcul!$N$60:$N$184,0),0)))),"",IF(NOT(ISNUMBER(INDEX('Liste outils'!$H$6:$H$130,IFERROR(MATCH(5,Calcul!$N$60:$N$184,0),0)))),"",IF(INDEX('Liste outils'!$H$6:$H$130,IFERROR(MATCH(5,Calcul!$N$60:$N$184,0),0))&lt;=0,"",IF(ABS(INDEX('Liste outils'!$H$6:$H$130,IFERROR(MATCH(5,Calcul!$N$60:$N$184,0),0))*64-ROUND(INDEX('Liste outils'!$H$6:$H$130,IFERROR(MATCH(5,Calcul!$N$60:$N$184,0),0))*64,0))&gt;0.0005,"≈ ","")&amp;IF(INT(ROUND(INDEX('Liste outils'!$H$6:$H$130,IFERROR(MATCH(5,Calcul!$N$60:$N$184,0),0))*64,0)/64)&gt;0,INT(ROUND(INDEX('Liste outils'!$H$6:$H$130,IFERROR(MATCH(5,Calcul!$N$60:$N$184,0),0))*64,0)/64)&amp;IF(MOD(ROUND(INDEX('Liste outils'!$H$6:$H$130,IFERROR(MATCH(5,Calcul!$N$60:$N$184,0),0))*64,0),64)&gt;0," ",""),"")&amp;IF(MOD(ROUND(INDEX('Liste outils'!$H$6:$H$130,IFERROR(MATCH(5,Calcul!$N$60:$N$184,0),0))*64,0),64)&gt;0,MOD(ROUND(INDEX('Liste outils'!$H$6:$H$130,IFERROR(MATCH(5,Calcul!$N$60:$N$184,0),0))*64,0),64)/GCD(MOD(ROUND(INDEX('Liste outils'!$H$6:$H$130,IFERROR(MATCH(5,Calcul!$N$60:$N$184,0),0))*64,0),64),64)&amp;"/"&amp;64/GCD(MOD(ROUND(INDEX('Liste outils'!$H$6:$H$130,IFERROR(MATCH(5,Calcul!$N$60:$N$184,0),0))*64,0),64),64),IF(ROUND(INDEX('Liste outils'!$H$6:$H$130,IFERROR(MATCH(5,Calcul!$N$60:$N$184,0),0))*64,0)=0,"0",""))&amp;""""))&amp;" · "&amp;FIXED(INDEX('Liste outils'!$H$6:$H$130,IFERROR(MATCH(5,Calcul!$N$60:$N$184,0),0)),4,TRUE())&amp;" po · "&amp;FIXED(INDEX('Liste outils'!$H$6:$H$130,IFERROR(MATCH(5,Calcul!$N$60:$N$184,0),0))*25.4,3,TRUE())&amp;" mm"),""))</f>
        <v>3/4" · 0.7500 po · 19.050 mm</v>
      </c>
      <c r="E46" s="25" t="str">
        <f aca="false">IF(IFERROR(MATCH(5,Calcul!$N$60:$N$184,0),0)=0,"",INDEX('Liste outils'!$AB$6:$AB$130,IFERROR(MATCH(5,Calcul!$N$60:$N$184,0),0))&amp;"")</f>
        <v>A-1-B-3</v>
      </c>
      <c r="F46" s="25" t="str">
        <f aca="false">IF(IFERROR(MATCH(5,Calcul!$N$60:$N$184,0),0)=0,"",INDEX('Liste outils'!$O$6:$O$130,IFERROR(MATCH(5,Calcul!$N$60:$N$184,0),0))&amp;"")</f>
        <v>63-725</v>
      </c>
      <c r="G46" s="25" t="str">
        <f aca="false">IF(IFERROR(MATCH(5,Calcul!$N$60:$N$184,0),0)=0,"",INDEX('Liste outils'!$AC$6:$AC$130,IFERROR(MATCH(5,Calcul!$N$60:$N$184,0),0))&amp;"")</f>
        <v/>
      </c>
    </row>
    <row r="47" customFormat="false" ht="15" hidden="false" customHeight="false" outlineLevel="0" collapsed="false">
      <c r="A47" s="24" t="str">
        <f aca="false">IF(IFERROR(MATCH(6,Calcul!$N$60:$N$184,0),0)=0,"",INDEX('Liste outils'!$B$6:$B$130,IFERROR(MATCH(6,Calcul!$N$60:$N$184,0),0))&amp;"")</f>
        <v>EM0012</v>
      </c>
      <c r="B47" s="25" t="str">
        <f aca="false">IF(IFERROR(MATCH(6,Calcul!$N$60:$N$184,0),0)=0,"",INDEX('Liste outils'!$C$6:$C$130,IFERROR(MATCH(6,Calcul!$N$60:$N$184,0),0))&amp;"")</f>
        <v>End Mill</v>
      </c>
      <c r="C47" s="25" t="str">
        <f aca="false">IF(IFERROR(MATCH(6,Calcul!$N$60:$N$184,0),0)=0,"",INDEX('Liste outils'!$J$6:$J$130,IFERROR(MATCH(6,Calcul!$N$60:$N$184,0),0))&amp;"")</f>
        <v>Downcut</v>
      </c>
      <c r="D47" s="25" t="str">
        <f aca="false">IF(IFERROR(MATCH(6,Calcul!$N$60:$N$184,0),0)=0,"",IF(ISNUMBER(INDEX('Liste outils'!$H$6:$H$130,IFERROR(MATCH(6,Calcul!$N$60:$N$184,0),0))),IF(NOT(ISNUMBER(INDEX('Liste outils'!$H$6:$H$130,IFERROR(MATCH(6,Calcul!$N$60:$N$184,0),0)))),"",IF(NOT(ISNUMBER(INDEX('Liste outils'!$H$6:$H$130,IFERROR(MATCH(6,Calcul!$N$60:$N$184,0),0)))),"",IF(INDEX('Liste outils'!$H$6:$H$130,IFERROR(MATCH(6,Calcul!$N$60:$N$184,0),0))&lt;=0,"",IF(ABS(INDEX('Liste outils'!$H$6:$H$130,IFERROR(MATCH(6,Calcul!$N$60:$N$184,0),0))*64-ROUND(INDEX('Liste outils'!$H$6:$H$130,IFERROR(MATCH(6,Calcul!$N$60:$N$184,0),0))*64,0))&gt;0.0005,"≈ ","")&amp;IF(INT(ROUND(INDEX('Liste outils'!$H$6:$H$130,IFERROR(MATCH(6,Calcul!$N$60:$N$184,0),0))*64,0)/64)&gt;0,INT(ROUND(INDEX('Liste outils'!$H$6:$H$130,IFERROR(MATCH(6,Calcul!$N$60:$N$184,0),0))*64,0)/64)&amp;IF(MOD(ROUND(INDEX('Liste outils'!$H$6:$H$130,IFERROR(MATCH(6,Calcul!$N$60:$N$184,0),0))*64,0),64)&gt;0," ",""),"")&amp;IF(MOD(ROUND(INDEX('Liste outils'!$H$6:$H$130,IFERROR(MATCH(6,Calcul!$N$60:$N$184,0),0))*64,0),64)&gt;0,MOD(ROUND(INDEX('Liste outils'!$H$6:$H$130,IFERROR(MATCH(6,Calcul!$N$60:$N$184,0),0))*64,0),64)/GCD(MOD(ROUND(INDEX('Liste outils'!$H$6:$H$130,IFERROR(MATCH(6,Calcul!$N$60:$N$184,0),0))*64,0),64),64)&amp;"/"&amp;64/GCD(MOD(ROUND(INDEX('Liste outils'!$H$6:$H$130,IFERROR(MATCH(6,Calcul!$N$60:$N$184,0),0))*64,0),64),64),IF(ROUND(INDEX('Liste outils'!$H$6:$H$130,IFERROR(MATCH(6,Calcul!$N$60:$N$184,0),0))*64,0)=0,"0",""))&amp;""""))&amp;" · "&amp;FIXED(INDEX('Liste outils'!$H$6:$H$130,IFERROR(MATCH(6,Calcul!$N$60:$N$184,0),0)),4,TRUE())&amp;" po · "&amp;FIXED(INDEX('Liste outils'!$H$6:$H$130,IFERROR(MATCH(6,Calcul!$N$60:$N$184,0),0))*25.4,3,TRUE())&amp;" mm"),""))</f>
        <v>1 1/2" · 1.5000 po · 38.100 mm</v>
      </c>
      <c r="E47" s="25" t="str">
        <f aca="false">IF(IFERROR(MATCH(6,Calcul!$N$60:$N$184,0),0)=0,"",INDEX('Liste outils'!$AB$6:$AB$130,IFERROR(MATCH(6,Calcul!$N$60:$N$184,0),0))&amp;"")</f>
        <v>A-1-C-3</v>
      </c>
      <c r="F47" s="25" t="str">
        <f aca="false">IF(IFERROR(MATCH(6,Calcul!$N$60:$N$184,0),0)=0,"",INDEX('Liste outils'!$O$6:$O$130,IFERROR(MATCH(6,Calcul!$N$60:$N$184,0),0))&amp;"")</f>
        <v>62-727</v>
      </c>
      <c r="G47" s="25" t="str">
        <f aca="false">IF(IFERROR(MATCH(6,Calcul!$N$60:$N$184,0),0)=0,"",INDEX('Liste outils'!$AC$6:$AC$130,IFERROR(MATCH(6,Calcul!$N$60:$N$184,0),0))&amp;"")</f>
        <v/>
      </c>
    </row>
    <row r="48" customFormat="false" ht="15" hidden="false" customHeight="false" outlineLevel="0" collapsed="false">
      <c r="A48" s="24" t="str">
        <f aca="false">IF(IFERROR(MATCH(7,Calcul!$N$60:$N$184,0),0)=0,"",INDEX('Liste outils'!$B$6:$B$130,IFERROR(MATCH(7,Calcul!$N$60:$N$184,0),0))&amp;"")</f>
        <v>EM0013</v>
      </c>
      <c r="B48" s="25" t="str">
        <f aca="false">IF(IFERROR(MATCH(7,Calcul!$N$60:$N$184,0),0)=0,"",INDEX('Liste outils'!$C$6:$C$130,IFERROR(MATCH(7,Calcul!$N$60:$N$184,0),0))&amp;"")</f>
        <v>End Mill</v>
      </c>
      <c r="C48" s="25" t="str">
        <f aca="false">IF(IFERROR(MATCH(7,Calcul!$N$60:$N$184,0),0)=0,"",INDEX('Liste outils'!$J$6:$J$130,IFERROR(MATCH(7,Calcul!$N$60:$N$184,0),0))&amp;"")</f>
        <v>Upcut</v>
      </c>
      <c r="D48" s="25" t="str">
        <f aca="false">IF(IFERROR(MATCH(7,Calcul!$N$60:$N$184,0),0)=0,"",IF(ISNUMBER(INDEX('Liste outils'!$H$6:$H$130,IFERROR(MATCH(7,Calcul!$N$60:$N$184,0),0))),IF(NOT(ISNUMBER(INDEX('Liste outils'!$H$6:$H$130,IFERROR(MATCH(7,Calcul!$N$60:$N$184,0),0)))),"",IF(NOT(ISNUMBER(INDEX('Liste outils'!$H$6:$H$130,IFERROR(MATCH(7,Calcul!$N$60:$N$184,0),0)))),"",IF(INDEX('Liste outils'!$H$6:$H$130,IFERROR(MATCH(7,Calcul!$N$60:$N$184,0),0))&lt;=0,"",IF(ABS(INDEX('Liste outils'!$H$6:$H$130,IFERROR(MATCH(7,Calcul!$N$60:$N$184,0),0))*64-ROUND(INDEX('Liste outils'!$H$6:$H$130,IFERROR(MATCH(7,Calcul!$N$60:$N$184,0),0))*64,0))&gt;0.0005,"≈ ","")&amp;IF(INT(ROUND(INDEX('Liste outils'!$H$6:$H$130,IFERROR(MATCH(7,Calcul!$N$60:$N$184,0),0))*64,0)/64)&gt;0,INT(ROUND(INDEX('Liste outils'!$H$6:$H$130,IFERROR(MATCH(7,Calcul!$N$60:$N$184,0),0))*64,0)/64)&amp;IF(MOD(ROUND(INDEX('Liste outils'!$H$6:$H$130,IFERROR(MATCH(7,Calcul!$N$60:$N$184,0),0))*64,0),64)&gt;0," ",""),"")&amp;IF(MOD(ROUND(INDEX('Liste outils'!$H$6:$H$130,IFERROR(MATCH(7,Calcul!$N$60:$N$184,0),0))*64,0),64)&gt;0,MOD(ROUND(INDEX('Liste outils'!$H$6:$H$130,IFERROR(MATCH(7,Calcul!$N$60:$N$184,0),0))*64,0),64)/GCD(MOD(ROUND(INDEX('Liste outils'!$H$6:$H$130,IFERROR(MATCH(7,Calcul!$N$60:$N$184,0),0))*64,0),64),64)&amp;"/"&amp;64/GCD(MOD(ROUND(INDEX('Liste outils'!$H$6:$H$130,IFERROR(MATCH(7,Calcul!$N$60:$N$184,0),0))*64,0),64),64),IF(ROUND(INDEX('Liste outils'!$H$6:$H$130,IFERROR(MATCH(7,Calcul!$N$60:$N$184,0),0))*64,0)=0,"0",""))&amp;""""))&amp;" · "&amp;FIXED(INDEX('Liste outils'!$H$6:$H$130,IFERROR(MATCH(7,Calcul!$N$60:$N$184,0),0)),4,TRUE())&amp;" po · "&amp;FIXED(INDEX('Liste outils'!$H$6:$H$130,IFERROR(MATCH(7,Calcul!$N$60:$N$184,0),0))*25.4,3,TRUE())&amp;" mm"),""))</f>
        <v>1 1/2" · 1.5000 po · 38.100 mm</v>
      </c>
      <c r="E48" s="25" t="str">
        <f aca="false">IF(IFERROR(MATCH(7,Calcul!$N$60:$N$184,0),0)=0,"",INDEX('Liste outils'!$AB$6:$AB$130,IFERROR(MATCH(7,Calcul!$N$60:$N$184,0),0))&amp;"")</f>
        <v>A-1-C-4</v>
      </c>
      <c r="F48" s="25" t="str">
        <f aca="false">IF(IFERROR(MATCH(7,Calcul!$N$60:$N$184,0),0)=0,"",INDEX('Liste outils'!$O$6:$O$130,IFERROR(MATCH(7,Calcul!$N$60:$N$184,0),0))&amp;"")</f>
        <v>65-109</v>
      </c>
      <c r="G48" s="25" t="str">
        <f aca="false">IF(IFERROR(MATCH(7,Calcul!$N$60:$N$184,0),0)=0,"",INDEX('Liste outils'!$AC$6:$AC$130,IFERROR(MATCH(7,Calcul!$N$60:$N$184,0),0))&amp;"")</f>
        <v>Stronger core 8x Diameter</v>
      </c>
    </row>
    <row r="49" customFormat="false" ht="15" hidden="false" customHeight="false" outlineLevel="0" collapsed="false">
      <c r="A49" s="24" t="str">
        <f aca="false">IF(IFERROR(MATCH(8,Calcul!$N$60:$N$184,0),0)=0,"",INDEX('Liste outils'!$B$6:$B$130,IFERROR(MATCH(8,Calcul!$N$60:$N$184,0),0))&amp;"")</f>
        <v>EM0015</v>
      </c>
      <c r="B49" s="25" t="str">
        <f aca="false">IF(IFERROR(MATCH(8,Calcul!$N$60:$N$184,0),0)=0,"",INDEX('Liste outils'!$C$6:$C$130,IFERROR(MATCH(8,Calcul!$N$60:$N$184,0),0))&amp;"")</f>
        <v>End Mill</v>
      </c>
      <c r="C49" s="25" t="str">
        <f aca="false">IF(IFERROR(MATCH(8,Calcul!$N$60:$N$184,0),0)=0,"",INDEX('Liste outils'!$J$6:$J$130,IFERROR(MATCH(8,Calcul!$N$60:$N$184,0),0))&amp;"")</f>
        <v>Upcut</v>
      </c>
      <c r="D49" s="25" t="str">
        <f aca="false">IF(IFERROR(MATCH(8,Calcul!$N$60:$N$184,0),0)=0,"",IF(ISNUMBER(INDEX('Liste outils'!$H$6:$H$130,IFERROR(MATCH(8,Calcul!$N$60:$N$184,0),0))),IF(NOT(ISNUMBER(INDEX('Liste outils'!$H$6:$H$130,IFERROR(MATCH(8,Calcul!$N$60:$N$184,0),0)))),"",IF(NOT(ISNUMBER(INDEX('Liste outils'!$H$6:$H$130,IFERROR(MATCH(8,Calcul!$N$60:$N$184,0),0)))),"",IF(INDEX('Liste outils'!$H$6:$H$130,IFERROR(MATCH(8,Calcul!$N$60:$N$184,0),0))&lt;=0,"",IF(ABS(INDEX('Liste outils'!$H$6:$H$130,IFERROR(MATCH(8,Calcul!$N$60:$N$184,0),0))*64-ROUND(INDEX('Liste outils'!$H$6:$H$130,IFERROR(MATCH(8,Calcul!$N$60:$N$184,0),0))*64,0))&gt;0.0005,"≈ ","")&amp;IF(INT(ROUND(INDEX('Liste outils'!$H$6:$H$130,IFERROR(MATCH(8,Calcul!$N$60:$N$184,0),0))*64,0)/64)&gt;0,INT(ROUND(INDEX('Liste outils'!$H$6:$H$130,IFERROR(MATCH(8,Calcul!$N$60:$N$184,0),0))*64,0)/64)&amp;IF(MOD(ROUND(INDEX('Liste outils'!$H$6:$H$130,IFERROR(MATCH(8,Calcul!$N$60:$N$184,0),0))*64,0),64)&gt;0," ",""),"")&amp;IF(MOD(ROUND(INDEX('Liste outils'!$H$6:$H$130,IFERROR(MATCH(8,Calcul!$N$60:$N$184,0),0))*64,0),64)&gt;0,MOD(ROUND(INDEX('Liste outils'!$H$6:$H$130,IFERROR(MATCH(8,Calcul!$N$60:$N$184,0),0))*64,0),64)/GCD(MOD(ROUND(INDEX('Liste outils'!$H$6:$H$130,IFERROR(MATCH(8,Calcul!$N$60:$N$184,0),0))*64,0),64),64)&amp;"/"&amp;64/GCD(MOD(ROUND(INDEX('Liste outils'!$H$6:$H$130,IFERROR(MATCH(8,Calcul!$N$60:$N$184,0),0))*64,0),64),64),IF(ROUND(INDEX('Liste outils'!$H$6:$H$130,IFERROR(MATCH(8,Calcul!$N$60:$N$184,0),0))*64,0)=0,"0",""))&amp;""""))&amp;" · "&amp;FIXED(INDEX('Liste outils'!$H$6:$H$130,IFERROR(MATCH(8,Calcul!$N$60:$N$184,0),0)),4,TRUE())&amp;" po · "&amp;FIXED(INDEX('Liste outils'!$H$6:$H$130,IFERROR(MATCH(8,Calcul!$N$60:$N$184,0),0))*25.4,3,TRUE())&amp;" mm"),""))</f>
        <v>3/4" · 0.7500 po · 19.050 mm</v>
      </c>
      <c r="E49" s="25" t="str">
        <f aca="false">IF(IFERROR(MATCH(8,Calcul!$N$60:$N$184,0),0)=0,"",INDEX('Liste outils'!$AB$6:$AB$130,IFERROR(MATCH(8,Calcul!$N$60:$N$184,0),0))&amp;"")</f>
        <v>A-1-D-2</v>
      </c>
      <c r="F49" s="25" t="str">
        <f aca="false">IF(IFERROR(MATCH(8,Calcul!$N$60:$N$184,0),0)=0,"",INDEX('Liste outils'!$O$6:$O$130,IFERROR(MATCH(8,Calcul!$N$60:$N$184,0),0))&amp;"")</f>
        <v>63-775</v>
      </c>
      <c r="G49" s="25" t="str">
        <f aca="false">IF(IFERROR(MATCH(8,Calcul!$N$60:$N$184,0),0)=0,"",INDEX('Liste outils'!$AC$6:$AC$130,IFERROR(MATCH(8,Calcul!$N$60:$N$184,0),0))&amp;"")</f>
        <v/>
      </c>
    </row>
    <row r="50" customFormat="false" ht="15" hidden="false" customHeight="false" outlineLevel="0" collapsed="false">
      <c r="A50" s="24" t="str">
        <f aca="false">IF(IFERROR(MATCH(9,Calcul!$N$60:$N$184,0),0)=0,"",INDEX('Liste outils'!$B$6:$B$130,IFERROR(MATCH(9,Calcul!$N$60:$N$184,0),0))&amp;"")</f>
        <v>EM0016</v>
      </c>
      <c r="B50" s="25" t="str">
        <f aca="false">IF(IFERROR(MATCH(9,Calcul!$N$60:$N$184,0),0)=0,"",INDEX('Liste outils'!$C$6:$C$130,IFERROR(MATCH(9,Calcul!$N$60:$N$184,0),0))&amp;"")</f>
        <v>End Mill</v>
      </c>
      <c r="C50" s="25" t="str">
        <f aca="false">IF(IFERROR(MATCH(9,Calcul!$N$60:$N$184,0),0)=0,"",INDEX('Liste outils'!$J$6:$J$130,IFERROR(MATCH(9,Calcul!$N$60:$N$184,0),0))&amp;"")</f>
        <v>Upcut</v>
      </c>
      <c r="D50" s="25" t="str">
        <f aca="false">IF(IFERROR(MATCH(9,Calcul!$N$60:$N$184,0),0)=0,"",IF(ISNUMBER(INDEX('Liste outils'!$H$6:$H$130,IFERROR(MATCH(9,Calcul!$N$60:$N$184,0),0))),IF(NOT(ISNUMBER(INDEX('Liste outils'!$H$6:$H$130,IFERROR(MATCH(9,Calcul!$N$60:$N$184,0),0)))),"",IF(NOT(ISNUMBER(INDEX('Liste outils'!$H$6:$H$130,IFERROR(MATCH(9,Calcul!$N$60:$N$184,0),0)))),"",IF(INDEX('Liste outils'!$H$6:$H$130,IFERROR(MATCH(9,Calcul!$N$60:$N$184,0),0))&lt;=0,"",IF(ABS(INDEX('Liste outils'!$H$6:$H$130,IFERROR(MATCH(9,Calcul!$N$60:$N$184,0),0))*64-ROUND(INDEX('Liste outils'!$H$6:$H$130,IFERROR(MATCH(9,Calcul!$N$60:$N$184,0),0))*64,0))&gt;0.0005,"≈ ","")&amp;IF(INT(ROUND(INDEX('Liste outils'!$H$6:$H$130,IFERROR(MATCH(9,Calcul!$N$60:$N$184,0),0))*64,0)/64)&gt;0,INT(ROUND(INDEX('Liste outils'!$H$6:$H$130,IFERROR(MATCH(9,Calcul!$N$60:$N$184,0),0))*64,0)/64)&amp;IF(MOD(ROUND(INDEX('Liste outils'!$H$6:$H$130,IFERROR(MATCH(9,Calcul!$N$60:$N$184,0),0))*64,0),64)&gt;0," ",""),"")&amp;IF(MOD(ROUND(INDEX('Liste outils'!$H$6:$H$130,IFERROR(MATCH(9,Calcul!$N$60:$N$184,0),0))*64,0),64)&gt;0,MOD(ROUND(INDEX('Liste outils'!$H$6:$H$130,IFERROR(MATCH(9,Calcul!$N$60:$N$184,0),0))*64,0),64)/GCD(MOD(ROUND(INDEX('Liste outils'!$H$6:$H$130,IFERROR(MATCH(9,Calcul!$N$60:$N$184,0),0))*64,0),64),64)&amp;"/"&amp;64/GCD(MOD(ROUND(INDEX('Liste outils'!$H$6:$H$130,IFERROR(MATCH(9,Calcul!$N$60:$N$184,0),0))*64,0),64),64),IF(ROUND(INDEX('Liste outils'!$H$6:$H$130,IFERROR(MATCH(9,Calcul!$N$60:$N$184,0),0))*64,0)=0,"0",""))&amp;""""))&amp;" · "&amp;FIXED(INDEX('Liste outils'!$H$6:$H$130,IFERROR(MATCH(9,Calcul!$N$60:$N$184,0),0)),4,TRUE())&amp;" po · "&amp;FIXED(INDEX('Liste outils'!$H$6:$H$130,IFERROR(MATCH(9,Calcul!$N$60:$N$184,0),0))*25.4,3,TRUE())&amp;" mm"),""))</f>
        <v>1 1/4" · 1.2500 po · 31.750 mm</v>
      </c>
      <c r="E50" s="25" t="str">
        <f aca="false">IF(IFERROR(MATCH(9,Calcul!$N$60:$N$184,0),0)=0,"",INDEX('Liste outils'!$AB$6:$AB$130,IFERROR(MATCH(9,Calcul!$N$60:$N$184,0),0))&amp;"")</f>
        <v>A-1-D-3</v>
      </c>
      <c r="F50" s="25" t="str">
        <f aca="false">IF(IFERROR(MATCH(9,Calcul!$N$60:$N$184,0),0)=0,"",INDEX('Liste outils'!$O$6:$O$130,IFERROR(MATCH(9,Calcul!$N$60:$N$184,0),0))&amp;"")</f>
        <v>63-776</v>
      </c>
      <c r="G50" s="25" t="str">
        <f aca="false">IF(IFERROR(MATCH(9,Calcul!$N$60:$N$184,0),0)=0,"",INDEX('Liste outils'!$AC$6:$AC$130,IFERROR(MATCH(9,Calcul!$N$60:$N$184,0),0))&amp;"")</f>
        <v/>
      </c>
    </row>
    <row r="51" customFormat="false" ht="15" hidden="false" customHeight="false" outlineLevel="0" collapsed="false">
      <c r="A51" s="24" t="str">
        <f aca="false">IF(IFERROR(MATCH(10,Calcul!$N$60:$N$184,0),0)=0,"",INDEX('Liste outils'!$B$6:$B$130,IFERROR(MATCH(10,Calcul!$N$60:$N$184,0),0))&amp;"")</f>
        <v>EM0017</v>
      </c>
      <c r="B51" s="25" t="str">
        <f aca="false">IF(IFERROR(MATCH(10,Calcul!$N$60:$N$184,0),0)=0,"",INDEX('Liste outils'!$C$6:$C$130,IFERROR(MATCH(10,Calcul!$N$60:$N$184,0),0))&amp;"")</f>
        <v>End Mill</v>
      </c>
      <c r="C51" s="25" t="str">
        <f aca="false">IF(IFERROR(MATCH(10,Calcul!$N$60:$N$184,0),0)=0,"",INDEX('Liste outils'!$J$6:$J$130,IFERROR(MATCH(10,Calcul!$N$60:$N$184,0),0))&amp;"")</f>
        <v>Upcut</v>
      </c>
      <c r="D51" s="25" t="str">
        <f aca="false">IF(IFERROR(MATCH(10,Calcul!$N$60:$N$184,0),0)=0,"",IF(ISNUMBER(INDEX('Liste outils'!$H$6:$H$130,IFERROR(MATCH(10,Calcul!$N$60:$N$184,0),0))),IF(NOT(ISNUMBER(INDEX('Liste outils'!$H$6:$H$130,IFERROR(MATCH(10,Calcul!$N$60:$N$184,0),0)))),"",IF(NOT(ISNUMBER(INDEX('Liste outils'!$H$6:$H$130,IFERROR(MATCH(10,Calcul!$N$60:$N$184,0),0)))),"",IF(INDEX('Liste outils'!$H$6:$H$130,IFERROR(MATCH(10,Calcul!$N$60:$N$184,0),0))&lt;=0,"",IF(ABS(INDEX('Liste outils'!$H$6:$H$130,IFERROR(MATCH(10,Calcul!$N$60:$N$184,0),0))*64-ROUND(INDEX('Liste outils'!$H$6:$H$130,IFERROR(MATCH(10,Calcul!$N$60:$N$184,0),0))*64,0))&gt;0.0005,"≈ ","")&amp;IF(INT(ROUND(INDEX('Liste outils'!$H$6:$H$130,IFERROR(MATCH(10,Calcul!$N$60:$N$184,0),0))*64,0)/64)&gt;0,INT(ROUND(INDEX('Liste outils'!$H$6:$H$130,IFERROR(MATCH(10,Calcul!$N$60:$N$184,0),0))*64,0)/64)&amp;IF(MOD(ROUND(INDEX('Liste outils'!$H$6:$H$130,IFERROR(MATCH(10,Calcul!$N$60:$N$184,0),0))*64,0),64)&gt;0," ",""),"")&amp;IF(MOD(ROUND(INDEX('Liste outils'!$H$6:$H$130,IFERROR(MATCH(10,Calcul!$N$60:$N$184,0),0))*64,0),64)&gt;0,MOD(ROUND(INDEX('Liste outils'!$H$6:$H$130,IFERROR(MATCH(10,Calcul!$N$60:$N$184,0),0))*64,0),64)/GCD(MOD(ROUND(INDEX('Liste outils'!$H$6:$H$130,IFERROR(MATCH(10,Calcul!$N$60:$N$184,0),0))*64,0),64),64)&amp;"/"&amp;64/GCD(MOD(ROUND(INDEX('Liste outils'!$H$6:$H$130,IFERROR(MATCH(10,Calcul!$N$60:$N$184,0),0))*64,0),64),64),IF(ROUND(INDEX('Liste outils'!$H$6:$H$130,IFERROR(MATCH(10,Calcul!$N$60:$N$184,0),0))*64,0)=0,"0",""))&amp;""""))&amp;" · "&amp;FIXED(INDEX('Liste outils'!$H$6:$H$130,IFERROR(MATCH(10,Calcul!$N$60:$N$184,0),0)),4,TRUE())&amp;" po · "&amp;FIXED(INDEX('Liste outils'!$H$6:$H$130,IFERROR(MATCH(10,Calcul!$N$60:$N$184,0),0))*25.4,3,TRUE())&amp;" mm"),""))</f>
        <v>1 1/2" · 1.5000 po · 38.100 mm</v>
      </c>
      <c r="E51" s="25" t="str">
        <f aca="false">IF(IFERROR(MATCH(10,Calcul!$N$60:$N$184,0),0)=0,"",INDEX('Liste outils'!$AB$6:$AB$130,IFERROR(MATCH(10,Calcul!$N$60:$N$184,0),0))&amp;"")</f>
        <v>A-1-D-4</v>
      </c>
      <c r="F51" s="25" t="str">
        <f aca="false">IF(IFERROR(MATCH(10,Calcul!$N$60:$N$184,0),0)=0,"",INDEX('Liste outils'!$O$6:$O$130,IFERROR(MATCH(10,Calcul!$N$60:$N$184,0),0))&amp;"")</f>
        <v>63-777</v>
      </c>
      <c r="G51" s="25" t="str">
        <f aca="false">IF(IFERROR(MATCH(10,Calcul!$N$60:$N$184,0),0)=0,"",INDEX('Liste outils'!$AC$6:$AC$130,IFERROR(MATCH(10,Calcul!$N$60:$N$184,0),0))&amp;"")</f>
        <v/>
      </c>
    </row>
    <row r="52" customFormat="false" ht="15" hidden="false" customHeight="false" outlineLevel="0" collapsed="false">
      <c r="A52" s="24" t="str">
        <f aca="false">IF(IFERROR(MATCH(11,Calcul!$N$60:$N$184,0),0)=0,"",INDEX('Liste outils'!$B$6:$B$130,IFERROR(MATCH(11,Calcul!$N$60:$N$184,0),0))&amp;"")</f>
        <v>EM0025</v>
      </c>
      <c r="B52" s="25" t="str">
        <f aca="false">IF(IFERROR(MATCH(11,Calcul!$N$60:$N$184,0),0)=0,"",INDEX('Liste outils'!$C$6:$C$130,IFERROR(MATCH(11,Calcul!$N$60:$N$184,0),0))&amp;"")</f>
        <v>End Mill</v>
      </c>
      <c r="C52" s="25" t="str">
        <f aca="false">IF(IFERROR(MATCH(11,Calcul!$N$60:$N$184,0),0)=0,"",INDEX('Liste outils'!$J$6:$J$130,IFERROR(MATCH(11,Calcul!$N$60:$N$184,0),0))&amp;"")</f>
        <v>Upcut</v>
      </c>
      <c r="D52" s="25" t="str">
        <f aca="false">IF(IFERROR(MATCH(11,Calcul!$N$60:$N$184,0),0)=0,"",IF(ISNUMBER(INDEX('Liste outils'!$H$6:$H$130,IFERROR(MATCH(11,Calcul!$N$60:$N$184,0),0))),IF(NOT(ISNUMBER(INDEX('Liste outils'!$H$6:$H$130,IFERROR(MATCH(11,Calcul!$N$60:$N$184,0),0)))),"",IF(NOT(ISNUMBER(INDEX('Liste outils'!$H$6:$H$130,IFERROR(MATCH(11,Calcul!$N$60:$N$184,0),0)))),"",IF(INDEX('Liste outils'!$H$6:$H$130,IFERROR(MATCH(11,Calcul!$N$60:$N$184,0),0))&lt;=0,"",IF(ABS(INDEX('Liste outils'!$H$6:$H$130,IFERROR(MATCH(11,Calcul!$N$60:$N$184,0),0))*64-ROUND(INDEX('Liste outils'!$H$6:$H$130,IFERROR(MATCH(11,Calcul!$N$60:$N$184,0),0))*64,0))&gt;0.0005,"≈ ","")&amp;IF(INT(ROUND(INDEX('Liste outils'!$H$6:$H$130,IFERROR(MATCH(11,Calcul!$N$60:$N$184,0),0))*64,0)/64)&gt;0,INT(ROUND(INDEX('Liste outils'!$H$6:$H$130,IFERROR(MATCH(11,Calcul!$N$60:$N$184,0),0))*64,0)/64)&amp;IF(MOD(ROUND(INDEX('Liste outils'!$H$6:$H$130,IFERROR(MATCH(11,Calcul!$N$60:$N$184,0),0))*64,0),64)&gt;0," ",""),"")&amp;IF(MOD(ROUND(INDEX('Liste outils'!$H$6:$H$130,IFERROR(MATCH(11,Calcul!$N$60:$N$184,0),0))*64,0),64)&gt;0,MOD(ROUND(INDEX('Liste outils'!$H$6:$H$130,IFERROR(MATCH(11,Calcul!$N$60:$N$184,0),0))*64,0),64)/GCD(MOD(ROUND(INDEX('Liste outils'!$H$6:$H$130,IFERROR(MATCH(11,Calcul!$N$60:$N$184,0),0))*64,0),64),64)&amp;"/"&amp;64/GCD(MOD(ROUND(INDEX('Liste outils'!$H$6:$H$130,IFERROR(MATCH(11,Calcul!$N$60:$N$184,0),0))*64,0),64),64),IF(ROUND(INDEX('Liste outils'!$H$6:$H$130,IFERROR(MATCH(11,Calcul!$N$60:$N$184,0),0))*64,0)=0,"0",""))&amp;""""))&amp;" · "&amp;FIXED(INDEX('Liste outils'!$H$6:$H$130,IFERROR(MATCH(11,Calcul!$N$60:$N$184,0),0)),4,TRUE())&amp;" po · "&amp;FIXED(INDEX('Liste outils'!$H$6:$H$130,IFERROR(MATCH(11,Calcul!$N$60:$N$184,0),0))*25.4,3,TRUE())&amp;" mm"),""))</f>
        <v>1/2" · 0.5000 po · 12.700 mm</v>
      </c>
      <c r="E52" s="25" t="str">
        <f aca="false">IF(IFERROR(MATCH(11,Calcul!$N$60:$N$184,0),0)=0,"",INDEX('Liste outils'!$AB$6:$AB$130,IFERROR(MATCH(11,Calcul!$N$60:$N$184,0),0))&amp;"")</f>
        <v>A-1-H-4</v>
      </c>
      <c r="F52" s="25" t="str">
        <f aca="false">IF(IFERROR(MATCH(11,Calcul!$N$60:$N$184,0),0)=0,"",INDEX('Liste outils'!$O$6:$O$130,IFERROR(MATCH(11,Calcul!$N$60:$N$184,0),0))&amp;"")</f>
        <v>88300209</v>
      </c>
      <c r="G52" s="25" t="str">
        <f aca="false">IF(IFERROR(MATCH(11,Calcul!$N$60:$N$184,0),0)=0,"",INDEX('Liste outils'!$AC$6:$AC$130,IFERROR(MATCH(11,Calcul!$N$60:$N$184,0),0))&amp;"")</f>
        <v>Clear Charge</v>
      </c>
    </row>
    <row r="53" customFormat="false" ht="15" hidden="false" customHeight="false" outlineLevel="0" collapsed="false">
      <c r="A53" s="24" t="str">
        <f aca="false">IF(IFERROR(MATCH(12,Calcul!$N$60:$N$184,0),0)=0,"",INDEX('Liste outils'!$B$6:$B$130,IFERROR(MATCH(12,Calcul!$N$60:$N$184,0),0))&amp;"")</f>
        <v>EM0029</v>
      </c>
      <c r="B53" s="25" t="str">
        <f aca="false">IF(IFERROR(MATCH(12,Calcul!$N$60:$N$184,0),0)=0,"",INDEX('Liste outils'!$C$6:$C$130,IFERROR(MATCH(12,Calcul!$N$60:$N$184,0),0))&amp;"")</f>
        <v>End Mill</v>
      </c>
      <c r="C53" s="25" t="str">
        <f aca="false">IF(IFERROR(MATCH(12,Calcul!$N$60:$N$184,0),0)=0,"",INDEX('Liste outils'!$J$6:$J$130,IFERROR(MATCH(12,Calcul!$N$60:$N$184,0),0))&amp;"")</f>
        <v>Upcut</v>
      </c>
      <c r="D53" s="25" t="str">
        <f aca="false">IF(IFERROR(MATCH(12,Calcul!$N$60:$N$184,0),0)=0,"",IF(ISNUMBER(INDEX('Liste outils'!$H$6:$H$130,IFERROR(MATCH(12,Calcul!$N$60:$N$184,0),0))),IF(NOT(ISNUMBER(INDEX('Liste outils'!$H$6:$H$130,IFERROR(MATCH(12,Calcul!$N$60:$N$184,0),0)))),"",IF(NOT(ISNUMBER(INDEX('Liste outils'!$H$6:$H$130,IFERROR(MATCH(12,Calcul!$N$60:$N$184,0),0)))),"",IF(INDEX('Liste outils'!$H$6:$H$130,IFERROR(MATCH(12,Calcul!$N$60:$N$184,0),0))&lt;=0,"",IF(ABS(INDEX('Liste outils'!$H$6:$H$130,IFERROR(MATCH(12,Calcul!$N$60:$N$184,0),0))*64-ROUND(INDEX('Liste outils'!$H$6:$H$130,IFERROR(MATCH(12,Calcul!$N$60:$N$184,0),0))*64,0))&gt;0.0005,"≈ ","")&amp;IF(INT(ROUND(INDEX('Liste outils'!$H$6:$H$130,IFERROR(MATCH(12,Calcul!$N$60:$N$184,0),0))*64,0)/64)&gt;0,INT(ROUND(INDEX('Liste outils'!$H$6:$H$130,IFERROR(MATCH(12,Calcul!$N$60:$N$184,0),0))*64,0)/64)&amp;IF(MOD(ROUND(INDEX('Liste outils'!$H$6:$H$130,IFERROR(MATCH(12,Calcul!$N$60:$N$184,0),0))*64,0),64)&gt;0," ",""),"")&amp;IF(MOD(ROUND(INDEX('Liste outils'!$H$6:$H$130,IFERROR(MATCH(12,Calcul!$N$60:$N$184,0),0))*64,0),64)&gt;0,MOD(ROUND(INDEX('Liste outils'!$H$6:$H$130,IFERROR(MATCH(12,Calcul!$N$60:$N$184,0),0))*64,0),64)/GCD(MOD(ROUND(INDEX('Liste outils'!$H$6:$H$130,IFERROR(MATCH(12,Calcul!$N$60:$N$184,0),0))*64,0),64),64)&amp;"/"&amp;64/GCD(MOD(ROUND(INDEX('Liste outils'!$H$6:$H$130,IFERROR(MATCH(12,Calcul!$N$60:$N$184,0),0))*64,0),64),64),IF(ROUND(INDEX('Liste outils'!$H$6:$H$130,IFERROR(MATCH(12,Calcul!$N$60:$N$184,0),0))*64,0)=0,"0",""))&amp;""""))&amp;" · "&amp;FIXED(INDEX('Liste outils'!$H$6:$H$130,IFERROR(MATCH(12,Calcul!$N$60:$N$184,0),0)),4,TRUE())&amp;" po · "&amp;FIXED(INDEX('Liste outils'!$H$6:$H$130,IFERROR(MATCH(12,Calcul!$N$60:$N$184,0),0))*25.4,3,TRUE())&amp;" mm"),""))</f>
        <v>7/8" · 0.8750 po · 22.225 mm</v>
      </c>
      <c r="E53" s="25" t="str">
        <f aca="false">IF(IFERROR(MATCH(12,Calcul!$N$60:$N$184,0),0)=0,"",INDEX('Liste outils'!$AB$6:$AB$130,IFERROR(MATCH(12,Calcul!$N$60:$N$184,0),0))&amp;"")</f>
        <v>A-1-K-1</v>
      </c>
      <c r="F53" s="25" t="str">
        <f aca="false">IF(IFERROR(MATCH(12,Calcul!$N$60:$N$184,0),0)=0,"",INDEX('Liste outils'!$O$6:$O$130,IFERROR(MATCH(12,Calcul!$N$60:$N$184,0),0))&amp;"")</f>
        <v>52-280B</v>
      </c>
      <c r="G53" s="25" t="str">
        <f aca="false">IF(IFERROR(MATCH(12,Calcul!$N$60:$N$184,0),0)=0,"",INDEX('Liste outils'!$AC$6:$AC$130,IFERROR(MATCH(12,Calcul!$N$60:$N$184,0),0))&amp;"")</f>
        <v>Ball Nose</v>
      </c>
    </row>
    <row r="54" customFormat="false" ht="15" hidden="false" customHeight="false" outlineLevel="0" collapsed="false">
      <c r="A54" s="24" t="str">
        <f aca="false">IF(IFERROR(MATCH(13,Calcul!$N$60:$N$184,0),0)=0,"",INDEX('Liste outils'!$B$6:$B$130,IFERROR(MATCH(13,Calcul!$N$60:$N$184,0),0))&amp;"")</f>
        <v>EM0031</v>
      </c>
      <c r="B54" s="25" t="str">
        <f aca="false">IF(IFERROR(MATCH(13,Calcul!$N$60:$N$184,0),0)=0,"",INDEX('Liste outils'!$C$6:$C$130,IFERROR(MATCH(13,Calcul!$N$60:$N$184,0),0))&amp;"")</f>
        <v>End Mill</v>
      </c>
      <c r="C54" s="25" t="str">
        <f aca="false">IF(IFERROR(MATCH(13,Calcul!$N$60:$N$184,0),0)=0,"",INDEX('Liste outils'!$J$6:$J$130,IFERROR(MATCH(13,Calcul!$N$60:$N$184,0),0))&amp;"")</f>
        <v/>
      </c>
      <c r="D54" s="25" t="str">
        <f aca="false">IF(IFERROR(MATCH(13,Calcul!$N$60:$N$184,0),0)=0,"",IF(ISNUMBER(INDEX('Liste outils'!$H$6:$H$130,IFERROR(MATCH(13,Calcul!$N$60:$N$184,0),0))),IF(NOT(ISNUMBER(INDEX('Liste outils'!$H$6:$H$130,IFERROR(MATCH(13,Calcul!$N$60:$N$184,0),0)))),"",IF(NOT(ISNUMBER(INDEX('Liste outils'!$H$6:$H$130,IFERROR(MATCH(13,Calcul!$N$60:$N$184,0),0)))),"",IF(INDEX('Liste outils'!$H$6:$H$130,IFERROR(MATCH(13,Calcul!$N$60:$N$184,0),0))&lt;=0,"",IF(ABS(INDEX('Liste outils'!$H$6:$H$130,IFERROR(MATCH(13,Calcul!$N$60:$N$184,0),0))*64-ROUND(INDEX('Liste outils'!$H$6:$H$130,IFERROR(MATCH(13,Calcul!$N$60:$N$184,0),0))*64,0))&gt;0.0005,"≈ ","")&amp;IF(INT(ROUND(INDEX('Liste outils'!$H$6:$H$130,IFERROR(MATCH(13,Calcul!$N$60:$N$184,0),0))*64,0)/64)&gt;0,INT(ROUND(INDEX('Liste outils'!$H$6:$H$130,IFERROR(MATCH(13,Calcul!$N$60:$N$184,0),0))*64,0)/64)&amp;IF(MOD(ROUND(INDEX('Liste outils'!$H$6:$H$130,IFERROR(MATCH(13,Calcul!$N$60:$N$184,0),0))*64,0),64)&gt;0," ",""),"")&amp;IF(MOD(ROUND(INDEX('Liste outils'!$H$6:$H$130,IFERROR(MATCH(13,Calcul!$N$60:$N$184,0),0))*64,0),64)&gt;0,MOD(ROUND(INDEX('Liste outils'!$H$6:$H$130,IFERROR(MATCH(13,Calcul!$N$60:$N$184,0),0))*64,0),64)/GCD(MOD(ROUND(INDEX('Liste outils'!$H$6:$H$130,IFERROR(MATCH(13,Calcul!$N$60:$N$184,0),0))*64,0),64),64)&amp;"/"&amp;64/GCD(MOD(ROUND(INDEX('Liste outils'!$H$6:$H$130,IFERROR(MATCH(13,Calcul!$N$60:$N$184,0),0))*64,0),64),64),IF(ROUND(INDEX('Liste outils'!$H$6:$H$130,IFERROR(MATCH(13,Calcul!$N$60:$N$184,0),0))*64,0)=0,"0",""))&amp;""""))&amp;" · "&amp;FIXED(INDEX('Liste outils'!$H$6:$H$130,IFERROR(MATCH(13,Calcul!$N$60:$N$184,0),0)),4,TRUE())&amp;" po · "&amp;FIXED(INDEX('Liste outils'!$H$6:$H$130,IFERROR(MATCH(13,Calcul!$N$60:$N$184,0),0))*25.4,3,TRUE())&amp;" mm"),""))</f>
        <v>1/8" · 0.1250 po · 3.175 mm</v>
      </c>
      <c r="E54" s="25" t="str">
        <f aca="false">IF(IFERROR(MATCH(13,Calcul!$N$60:$N$184,0),0)=0,"",INDEX('Liste outils'!$AB$6:$AB$130,IFERROR(MATCH(13,Calcul!$N$60:$N$184,0),0))&amp;"")</f>
        <v>A-1-K-1</v>
      </c>
      <c r="F54" s="25" t="str">
        <f aca="false">IF(IFERROR(MATCH(13,Calcul!$N$60:$N$184,0),0)=0,"",INDEX('Liste outils'!$O$6:$O$130,IFERROR(MATCH(13,Calcul!$N$60:$N$184,0),0))&amp;"")</f>
        <v>61025002</v>
      </c>
      <c r="G54" s="25" t="str">
        <f aca="false">IF(IFERROR(MATCH(13,Calcul!$N$60:$N$184,0),0)=0,"",INDEX('Liste outils'!$AC$6:$AC$130,IFERROR(MATCH(13,Calcul!$N$60:$N$184,0),0))&amp;"")</f>
        <v>Countersink  82º</v>
      </c>
    </row>
    <row r="55" customFormat="false" ht="15" hidden="false" customHeight="false" outlineLevel="0" collapsed="false">
      <c r="A55" s="24" t="str">
        <f aca="false">IF(IFERROR(MATCH(14,Calcul!$N$60:$N$184,0),0)=0,"",INDEX('Liste outils'!$B$6:$B$130,IFERROR(MATCH(14,Calcul!$N$60:$N$184,0),0))&amp;"")</f>
        <v>EM0050</v>
      </c>
      <c r="B55" s="25" t="str">
        <f aca="false">IF(IFERROR(MATCH(14,Calcul!$N$60:$N$184,0),0)=0,"",INDEX('Liste outils'!$C$6:$C$130,IFERROR(MATCH(14,Calcul!$N$60:$N$184,0),0))&amp;"")</f>
        <v>End Mill</v>
      </c>
      <c r="C55" s="25" t="str">
        <f aca="false">IF(IFERROR(MATCH(14,Calcul!$N$60:$N$184,0),0)=0,"",INDEX('Liste outils'!$J$6:$J$130,IFERROR(MATCH(14,Calcul!$N$60:$N$184,0),0))&amp;"")</f>
        <v>Upcut</v>
      </c>
      <c r="D55" s="25" t="str">
        <f aca="false">IF(IFERROR(MATCH(14,Calcul!$N$60:$N$184,0),0)=0,"",IF(ISNUMBER(INDEX('Liste outils'!$H$6:$H$130,IFERROR(MATCH(14,Calcul!$N$60:$N$184,0),0))),IF(NOT(ISNUMBER(INDEX('Liste outils'!$H$6:$H$130,IFERROR(MATCH(14,Calcul!$N$60:$N$184,0),0)))),"",IF(NOT(ISNUMBER(INDEX('Liste outils'!$H$6:$H$130,IFERROR(MATCH(14,Calcul!$N$60:$N$184,0),0)))),"",IF(INDEX('Liste outils'!$H$6:$H$130,IFERROR(MATCH(14,Calcul!$N$60:$N$184,0),0))&lt;=0,"",IF(ABS(INDEX('Liste outils'!$H$6:$H$130,IFERROR(MATCH(14,Calcul!$N$60:$N$184,0),0))*64-ROUND(INDEX('Liste outils'!$H$6:$H$130,IFERROR(MATCH(14,Calcul!$N$60:$N$184,0),0))*64,0))&gt;0.0005,"≈ ","")&amp;IF(INT(ROUND(INDEX('Liste outils'!$H$6:$H$130,IFERROR(MATCH(14,Calcul!$N$60:$N$184,0),0))*64,0)/64)&gt;0,INT(ROUND(INDEX('Liste outils'!$H$6:$H$130,IFERROR(MATCH(14,Calcul!$N$60:$N$184,0),0))*64,0)/64)&amp;IF(MOD(ROUND(INDEX('Liste outils'!$H$6:$H$130,IFERROR(MATCH(14,Calcul!$N$60:$N$184,0),0))*64,0),64)&gt;0," ",""),"")&amp;IF(MOD(ROUND(INDEX('Liste outils'!$H$6:$H$130,IFERROR(MATCH(14,Calcul!$N$60:$N$184,0),0))*64,0),64)&gt;0,MOD(ROUND(INDEX('Liste outils'!$H$6:$H$130,IFERROR(MATCH(14,Calcul!$N$60:$N$184,0),0))*64,0),64)/GCD(MOD(ROUND(INDEX('Liste outils'!$H$6:$H$130,IFERROR(MATCH(14,Calcul!$N$60:$N$184,0),0))*64,0),64),64)&amp;"/"&amp;64/GCD(MOD(ROUND(INDEX('Liste outils'!$H$6:$H$130,IFERROR(MATCH(14,Calcul!$N$60:$N$184,0),0))*64,0),64),64),IF(ROUND(INDEX('Liste outils'!$H$6:$H$130,IFERROR(MATCH(14,Calcul!$N$60:$N$184,0),0))*64,0)=0,"0",""))&amp;""""))&amp;" · "&amp;FIXED(INDEX('Liste outils'!$H$6:$H$130,IFERROR(MATCH(14,Calcul!$N$60:$N$184,0),0)),4,TRUE())&amp;" po · "&amp;FIXED(INDEX('Liste outils'!$H$6:$H$130,IFERROR(MATCH(14,Calcul!$N$60:$N$184,0),0))*25.4,3,TRUE())&amp;" mm"),""))</f>
        <v>3/4" · 0.7500 po · 19.050 mm</v>
      </c>
      <c r="E55" s="25" t="str">
        <f aca="false">IF(IFERROR(MATCH(14,Calcul!$N$60:$N$184,0),0)=0,"",INDEX('Liste outils'!$AB$6:$AB$130,IFERROR(MATCH(14,Calcul!$N$60:$N$184,0),0))&amp;"")</f>
        <v>A-1-H-1</v>
      </c>
      <c r="F55" s="25" t="str">
        <f aca="false">IF(IFERROR(MATCH(14,Calcul!$N$60:$N$184,0),0)=0,"",INDEX('Liste outils'!$O$6:$O$130,IFERROR(MATCH(14,Calcul!$N$60:$N$184,0),0))&amp;"")</f>
        <v>86300409</v>
      </c>
      <c r="G55" s="25" t="str">
        <f aca="false">IF(IFERROR(MATCH(14,Calcul!$N$60:$N$184,0),0)=0,"",INDEX('Liste outils'!$AC$6:$AC$130,IFERROR(MATCH(14,Calcul!$N$60:$N$184,0),0))&amp;"")</f>
        <v/>
      </c>
    </row>
    <row r="56" customFormat="false" ht="15" hidden="false" customHeight="false" outlineLevel="0" collapsed="false">
      <c r="A56" s="24" t="str">
        <f aca="false">IF(IFERROR(MATCH(15,Calcul!$N$60:$N$184,0),0)=0,"",INDEX('Liste outils'!$B$6:$B$130,IFERROR(MATCH(15,Calcul!$N$60:$N$184,0),0))&amp;"")</f>
        <v/>
      </c>
      <c r="B56" s="25" t="str">
        <f aca="false">IF(IFERROR(MATCH(15,Calcul!$N$60:$N$184,0),0)=0,"",INDEX('Liste outils'!$C$6:$C$130,IFERROR(MATCH(15,Calcul!$N$60:$N$184,0),0))&amp;"")</f>
        <v/>
      </c>
      <c r="C56" s="25" t="str">
        <f aca="false">IF(IFERROR(MATCH(15,Calcul!$N$60:$N$184,0),0)=0,"",INDEX('Liste outils'!$J$6:$J$130,IFERROR(MATCH(15,Calcul!$N$60:$N$184,0),0))&amp;"")</f>
        <v/>
      </c>
      <c r="D56" s="25" t="str">
        <f aca="false">IF(IFERROR(MATCH(15,Calcul!$N$60:$N$184,0),0)=0,"",IF(ISNUMBER(INDEX('Liste outils'!$H$6:$H$130,IFERROR(MATCH(15,Calcul!$N$60:$N$184,0),0))),IF(NOT(ISNUMBER(INDEX('Liste outils'!$H$6:$H$130,IFERROR(MATCH(15,Calcul!$N$60:$N$184,0),0)))),"",IF(NOT(ISNUMBER(INDEX('Liste outils'!$H$6:$H$130,IFERROR(MATCH(15,Calcul!$N$60:$N$184,0),0)))),"",IF(INDEX('Liste outils'!$H$6:$H$130,IFERROR(MATCH(15,Calcul!$N$60:$N$184,0),0))&lt;=0,"",IF(ABS(INDEX('Liste outils'!$H$6:$H$130,IFERROR(MATCH(15,Calcul!$N$60:$N$184,0),0))*64-ROUND(INDEX('Liste outils'!$H$6:$H$130,IFERROR(MATCH(15,Calcul!$N$60:$N$184,0),0))*64,0))&gt;0.0005,"≈ ","")&amp;IF(INT(ROUND(INDEX('Liste outils'!$H$6:$H$130,IFERROR(MATCH(15,Calcul!$N$60:$N$184,0),0))*64,0)/64)&gt;0,INT(ROUND(INDEX('Liste outils'!$H$6:$H$130,IFERROR(MATCH(15,Calcul!$N$60:$N$184,0),0))*64,0)/64)&amp;IF(MOD(ROUND(INDEX('Liste outils'!$H$6:$H$130,IFERROR(MATCH(15,Calcul!$N$60:$N$184,0),0))*64,0),64)&gt;0," ",""),"")&amp;IF(MOD(ROUND(INDEX('Liste outils'!$H$6:$H$130,IFERROR(MATCH(15,Calcul!$N$60:$N$184,0),0))*64,0),64)&gt;0,MOD(ROUND(INDEX('Liste outils'!$H$6:$H$130,IFERROR(MATCH(15,Calcul!$N$60:$N$184,0),0))*64,0),64)/GCD(MOD(ROUND(INDEX('Liste outils'!$H$6:$H$130,IFERROR(MATCH(15,Calcul!$N$60:$N$184,0),0))*64,0),64),64)&amp;"/"&amp;64/GCD(MOD(ROUND(INDEX('Liste outils'!$H$6:$H$130,IFERROR(MATCH(15,Calcul!$N$60:$N$184,0),0))*64,0),64),64),IF(ROUND(INDEX('Liste outils'!$H$6:$H$130,IFERROR(MATCH(15,Calcul!$N$60:$N$184,0),0))*64,0)=0,"0",""))&amp;""""))&amp;" · "&amp;FIXED(INDEX('Liste outils'!$H$6:$H$130,IFERROR(MATCH(15,Calcul!$N$60:$N$184,0),0)),4,TRUE())&amp;" po · "&amp;FIXED(INDEX('Liste outils'!$H$6:$H$130,IFERROR(MATCH(15,Calcul!$N$60:$N$184,0),0))*25.4,3,TRUE())&amp;" mm"),""))</f>
        <v/>
      </c>
      <c r="E56" s="25" t="str">
        <f aca="false">IF(IFERROR(MATCH(15,Calcul!$N$60:$N$184,0),0)=0,"",INDEX('Liste outils'!$AB$6:$AB$130,IFERROR(MATCH(15,Calcul!$N$60:$N$184,0),0))&amp;"")</f>
        <v/>
      </c>
      <c r="F56" s="25" t="str">
        <f aca="false">IF(IFERROR(MATCH(15,Calcul!$N$60:$N$184,0),0)=0,"",INDEX('Liste outils'!$O$6:$O$130,IFERROR(MATCH(15,Calcul!$N$60:$N$184,0),0))&amp;"")</f>
        <v/>
      </c>
      <c r="G56" s="25" t="str">
        <f aca="false">IF(IFERROR(MATCH(15,Calcul!$N$60:$N$184,0),0)=0,"",INDEX('Liste outils'!$AC$6:$AC$130,IFERROR(MATCH(15,Calcul!$N$60:$N$184,0),0))&amp;"")</f>
        <v/>
      </c>
    </row>
    <row r="57" customFormat="false" ht="15" hidden="false" customHeight="false" outlineLevel="0" collapsed="false">
      <c r="A57" s="24" t="str">
        <f aca="false">IF(IFERROR(MATCH(16,Calcul!$N$60:$N$184,0),0)=0,"",INDEX('Liste outils'!$B$6:$B$130,IFERROR(MATCH(16,Calcul!$N$60:$N$184,0),0))&amp;"")</f>
        <v/>
      </c>
      <c r="B57" s="25" t="str">
        <f aca="false">IF(IFERROR(MATCH(16,Calcul!$N$60:$N$184,0),0)=0,"",INDEX('Liste outils'!$C$6:$C$130,IFERROR(MATCH(16,Calcul!$N$60:$N$184,0),0))&amp;"")</f>
        <v/>
      </c>
      <c r="C57" s="25" t="str">
        <f aca="false">IF(IFERROR(MATCH(16,Calcul!$N$60:$N$184,0),0)=0,"",INDEX('Liste outils'!$J$6:$J$130,IFERROR(MATCH(16,Calcul!$N$60:$N$184,0),0))&amp;"")</f>
        <v/>
      </c>
      <c r="D57" s="25" t="str">
        <f aca="false">IF(IFERROR(MATCH(16,Calcul!$N$60:$N$184,0),0)=0,"",IF(ISNUMBER(INDEX('Liste outils'!$H$6:$H$130,IFERROR(MATCH(16,Calcul!$N$60:$N$184,0),0))),IF(NOT(ISNUMBER(INDEX('Liste outils'!$H$6:$H$130,IFERROR(MATCH(16,Calcul!$N$60:$N$184,0),0)))),"",IF(NOT(ISNUMBER(INDEX('Liste outils'!$H$6:$H$130,IFERROR(MATCH(16,Calcul!$N$60:$N$184,0),0)))),"",IF(INDEX('Liste outils'!$H$6:$H$130,IFERROR(MATCH(16,Calcul!$N$60:$N$184,0),0))&lt;=0,"",IF(ABS(INDEX('Liste outils'!$H$6:$H$130,IFERROR(MATCH(16,Calcul!$N$60:$N$184,0),0))*64-ROUND(INDEX('Liste outils'!$H$6:$H$130,IFERROR(MATCH(16,Calcul!$N$60:$N$184,0),0))*64,0))&gt;0.0005,"≈ ","")&amp;IF(INT(ROUND(INDEX('Liste outils'!$H$6:$H$130,IFERROR(MATCH(16,Calcul!$N$60:$N$184,0),0))*64,0)/64)&gt;0,INT(ROUND(INDEX('Liste outils'!$H$6:$H$130,IFERROR(MATCH(16,Calcul!$N$60:$N$184,0),0))*64,0)/64)&amp;IF(MOD(ROUND(INDEX('Liste outils'!$H$6:$H$130,IFERROR(MATCH(16,Calcul!$N$60:$N$184,0),0))*64,0),64)&gt;0," ",""),"")&amp;IF(MOD(ROUND(INDEX('Liste outils'!$H$6:$H$130,IFERROR(MATCH(16,Calcul!$N$60:$N$184,0),0))*64,0),64)&gt;0,MOD(ROUND(INDEX('Liste outils'!$H$6:$H$130,IFERROR(MATCH(16,Calcul!$N$60:$N$184,0),0))*64,0),64)/GCD(MOD(ROUND(INDEX('Liste outils'!$H$6:$H$130,IFERROR(MATCH(16,Calcul!$N$60:$N$184,0),0))*64,0),64),64)&amp;"/"&amp;64/GCD(MOD(ROUND(INDEX('Liste outils'!$H$6:$H$130,IFERROR(MATCH(16,Calcul!$N$60:$N$184,0),0))*64,0),64),64),IF(ROUND(INDEX('Liste outils'!$H$6:$H$130,IFERROR(MATCH(16,Calcul!$N$60:$N$184,0),0))*64,0)=0,"0",""))&amp;""""))&amp;" · "&amp;FIXED(INDEX('Liste outils'!$H$6:$H$130,IFERROR(MATCH(16,Calcul!$N$60:$N$184,0),0)),4,TRUE())&amp;" po · "&amp;FIXED(INDEX('Liste outils'!$H$6:$H$130,IFERROR(MATCH(16,Calcul!$N$60:$N$184,0),0))*25.4,3,TRUE())&amp;" mm"),""))</f>
        <v/>
      </c>
      <c r="E57" s="25" t="str">
        <f aca="false">IF(IFERROR(MATCH(16,Calcul!$N$60:$N$184,0),0)=0,"",INDEX('Liste outils'!$AB$6:$AB$130,IFERROR(MATCH(16,Calcul!$N$60:$N$184,0),0))&amp;"")</f>
        <v/>
      </c>
      <c r="F57" s="25" t="str">
        <f aca="false">IF(IFERROR(MATCH(16,Calcul!$N$60:$N$184,0),0)=0,"",INDEX('Liste outils'!$O$6:$O$130,IFERROR(MATCH(16,Calcul!$N$60:$N$184,0),0))&amp;"")</f>
        <v/>
      </c>
      <c r="G57" s="25" t="str">
        <f aca="false">IF(IFERROR(MATCH(16,Calcul!$N$60:$N$184,0),0)=0,"",INDEX('Liste outils'!$AC$6:$AC$130,IFERROR(MATCH(16,Calcul!$N$60:$N$184,0),0))&amp;"")</f>
        <v/>
      </c>
    </row>
    <row r="59" customFormat="false" ht="15" hidden="false" customHeight="false" outlineLevel="0" collapsed="false">
      <c r="A59" s="23" t="str">
        <f aca="false">"Outils de ta liste pour "&amp;IF(C16&lt;=0,"—",B16)&amp;"  ("&amp;A16&amp;")"</f>
        <v>Outils de ta liste pour 3/16"  (2 crans en dessous)</v>
      </c>
    </row>
    <row r="60" customFormat="false" ht="15" hidden="false" customHeight="false" outlineLevel="0" collapsed="false">
      <c r="A60" s="2" t="str">
        <f aca="false">IF(C16&lt;=0,"",COUNT(Calcul!$O$60:$O$184)&amp;" outil(s) de ce diamètre")</f>
        <v>4 outil(s) de ce diamètre</v>
      </c>
    </row>
    <row r="61" customFormat="false" ht="26.85" hidden="false" customHeight="false" outlineLevel="0" collapsed="false">
      <c r="A61" s="12" t="s">
        <v>26</v>
      </c>
      <c r="B61" s="12" t="s">
        <v>27</v>
      </c>
      <c r="C61" s="12" t="s">
        <v>28</v>
      </c>
      <c r="D61" s="12" t="s">
        <v>29</v>
      </c>
      <c r="E61" s="12" t="s">
        <v>30</v>
      </c>
      <c r="F61" s="12" t="s">
        <v>31</v>
      </c>
      <c r="G61" s="12" t="s">
        <v>32</v>
      </c>
    </row>
    <row r="62" customFormat="false" ht="15" hidden="false" customHeight="false" outlineLevel="0" collapsed="false">
      <c r="A62" s="24" t="str">
        <f aca="false">IF(IFERROR(MATCH(1,Calcul!$O$60:$O$184,0),0)=0,"",INDEX('Liste outils'!$B$6:$B$130,IFERROR(MATCH(1,Calcul!$O$60:$O$184,0),0))&amp;"")</f>
        <v>EM0006</v>
      </c>
      <c r="B62" s="25" t="str">
        <f aca="false">IF(IFERROR(MATCH(1,Calcul!$O$60:$O$184,0),0)=0,"",INDEX('Liste outils'!$C$6:$C$130,IFERROR(MATCH(1,Calcul!$O$60:$O$184,0),0))&amp;"")</f>
        <v>End Mill</v>
      </c>
      <c r="C62" s="25" t="str">
        <f aca="false">IF(IFERROR(MATCH(1,Calcul!$O$60:$O$184,0),0)=0,"",INDEX('Liste outils'!$J$6:$J$130,IFERROR(MATCH(1,Calcul!$O$60:$O$184,0),0))&amp;"")</f>
        <v>Upcut</v>
      </c>
      <c r="D62" s="25" t="str">
        <f aca="false">IF(IFERROR(MATCH(1,Calcul!$O$60:$O$184,0),0)=0,"",IF(ISNUMBER(INDEX('Liste outils'!$H$6:$H$130,IFERROR(MATCH(1,Calcul!$O$60:$O$184,0),0))),IF(NOT(ISNUMBER(INDEX('Liste outils'!$H$6:$H$130,IFERROR(MATCH(1,Calcul!$O$60:$O$184,0),0)))),"",IF(NOT(ISNUMBER(INDEX('Liste outils'!$H$6:$H$130,IFERROR(MATCH(1,Calcul!$O$60:$O$184,0),0)))),"",IF(INDEX('Liste outils'!$H$6:$H$130,IFERROR(MATCH(1,Calcul!$O$60:$O$184,0),0))&lt;=0,"",IF(ABS(INDEX('Liste outils'!$H$6:$H$130,IFERROR(MATCH(1,Calcul!$O$60:$O$184,0),0))*64-ROUND(INDEX('Liste outils'!$H$6:$H$130,IFERROR(MATCH(1,Calcul!$O$60:$O$184,0),0))*64,0))&gt;0.0005,"≈ ","")&amp;IF(INT(ROUND(INDEX('Liste outils'!$H$6:$H$130,IFERROR(MATCH(1,Calcul!$O$60:$O$184,0),0))*64,0)/64)&gt;0,INT(ROUND(INDEX('Liste outils'!$H$6:$H$130,IFERROR(MATCH(1,Calcul!$O$60:$O$184,0),0))*64,0)/64)&amp;IF(MOD(ROUND(INDEX('Liste outils'!$H$6:$H$130,IFERROR(MATCH(1,Calcul!$O$60:$O$184,0),0))*64,0),64)&gt;0," ",""),"")&amp;IF(MOD(ROUND(INDEX('Liste outils'!$H$6:$H$130,IFERROR(MATCH(1,Calcul!$O$60:$O$184,0),0))*64,0),64)&gt;0,MOD(ROUND(INDEX('Liste outils'!$H$6:$H$130,IFERROR(MATCH(1,Calcul!$O$60:$O$184,0),0))*64,0),64)/GCD(MOD(ROUND(INDEX('Liste outils'!$H$6:$H$130,IFERROR(MATCH(1,Calcul!$O$60:$O$184,0),0))*64,0),64),64)&amp;"/"&amp;64/GCD(MOD(ROUND(INDEX('Liste outils'!$H$6:$H$130,IFERROR(MATCH(1,Calcul!$O$60:$O$184,0),0))*64,0),64),64),IF(ROUND(INDEX('Liste outils'!$H$6:$H$130,IFERROR(MATCH(1,Calcul!$O$60:$O$184,0),0))*64,0)=0,"0",""))&amp;""""))&amp;" · "&amp;FIXED(INDEX('Liste outils'!$H$6:$H$130,IFERROR(MATCH(1,Calcul!$O$60:$O$184,0),0)),4,TRUE())&amp;" po · "&amp;FIXED(INDEX('Liste outils'!$H$6:$H$130,IFERROR(MATCH(1,Calcul!$O$60:$O$184,0),0))*25.4,3,TRUE())&amp;" mm"),""))</f>
        <v>3/8" · 0.3750 po · 9.525 mm</v>
      </c>
      <c r="E62" s="25" t="str">
        <f aca="false">IF(IFERROR(MATCH(1,Calcul!$O$60:$O$184,0),0)=0,"",INDEX('Liste outils'!$AB$6:$AB$130,IFERROR(MATCH(1,Calcul!$O$60:$O$184,0),0))&amp;"")</f>
        <v>A-1-B-1</v>
      </c>
      <c r="F62" s="25" t="str">
        <f aca="false">IF(IFERROR(MATCH(1,Calcul!$O$60:$O$184,0),0)=0,"",INDEX('Liste outils'!$O$6:$O$130,IFERROR(MATCH(1,Calcul!$O$60:$O$184,0),0))&amp;"")</f>
        <v>63-717</v>
      </c>
      <c r="G62" s="25" t="str">
        <f aca="false">IF(IFERROR(MATCH(1,Calcul!$O$60:$O$184,0),0)=0,"",INDEX('Liste outils'!$AC$6:$AC$130,IFERROR(MATCH(1,Calcul!$O$60:$O$184,0),0))&amp;"")</f>
        <v/>
      </c>
    </row>
    <row r="63" customFormat="false" ht="15" hidden="false" customHeight="false" outlineLevel="0" collapsed="false">
      <c r="A63" s="24" t="str">
        <f aca="false">IF(IFERROR(MATCH(2,Calcul!$O$60:$O$184,0),0)=0,"",INDEX('Liste outils'!$B$6:$B$130,IFERROR(MATCH(2,Calcul!$O$60:$O$184,0),0))&amp;"")</f>
        <v>EM0007</v>
      </c>
      <c r="B63" s="25" t="str">
        <f aca="false">IF(IFERROR(MATCH(2,Calcul!$O$60:$O$184,0),0)=0,"",INDEX('Liste outils'!$C$6:$C$130,IFERROR(MATCH(2,Calcul!$O$60:$O$184,0),0))&amp;"")</f>
        <v>End Mill</v>
      </c>
      <c r="C63" s="25" t="str">
        <f aca="false">IF(IFERROR(MATCH(2,Calcul!$O$60:$O$184,0),0)=0,"",INDEX('Liste outils'!$J$6:$J$130,IFERROR(MATCH(2,Calcul!$O$60:$O$184,0),0))&amp;"")</f>
        <v>Upcut</v>
      </c>
      <c r="D63" s="25" t="str">
        <f aca="false">IF(IFERROR(MATCH(2,Calcul!$O$60:$O$184,0),0)=0,"",IF(ISNUMBER(INDEX('Liste outils'!$H$6:$H$130,IFERROR(MATCH(2,Calcul!$O$60:$O$184,0),0))),IF(NOT(ISNUMBER(INDEX('Liste outils'!$H$6:$H$130,IFERROR(MATCH(2,Calcul!$O$60:$O$184,0),0)))),"",IF(NOT(ISNUMBER(INDEX('Liste outils'!$H$6:$H$130,IFERROR(MATCH(2,Calcul!$O$60:$O$184,0),0)))),"",IF(INDEX('Liste outils'!$H$6:$H$130,IFERROR(MATCH(2,Calcul!$O$60:$O$184,0),0))&lt;=0,"",IF(ABS(INDEX('Liste outils'!$H$6:$H$130,IFERROR(MATCH(2,Calcul!$O$60:$O$184,0),0))*64-ROUND(INDEX('Liste outils'!$H$6:$H$130,IFERROR(MATCH(2,Calcul!$O$60:$O$184,0),0))*64,0))&gt;0.0005,"≈ ","")&amp;IF(INT(ROUND(INDEX('Liste outils'!$H$6:$H$130,IFERROR(MATCH(2,Calcul!$O$60:$O$184,0),0))*64,0)/64)&gt;0,INT(ROUND(INDEX('Liste outils'!$H$6:$H$130,IFERROR(MATCH(2,Calcul!$O$60:$O$184,0),0))*64,0)/64)&amp;IF(MOD(ROUND(INDEX('Liste outils'!$H$6:$H$130,IFERROR(MATCH(2,Calcul!$O$60:$O$184,0),0))*64,0),64)&gt;0," ",""),"")&amp;IF(MOD(ROUND(INDEX('Liste outils'!$H$6:$H$130,IFERROR(MATCH(2,Calcul!$O$60:$O$184,0),0))*64,0),64)&gt;0,MOD(ROUND(INDEX('Liste outils'!$H$6:$H$130,IFERROR(MATCH(2,Calcul!$O$60:$O$184,0),0))*64,0),64)/GCD(MOD(ROUND(INDEX('Liste outils'!$H$6:$H$130,IFERROR(MATCH(2,Calcul!$O$60:$O$184,0),0))*64,0),64),64)&amp;"/"&amp;64/GCD(MOD(ROUND(INDEX('Liste outils'!$H$6:$H$130,IFERROR(MATCH(2,Calcul!$O$60:$O$184,0),0))*64,0),64),64),IF(ROUND(INDEX('Liste outils'!$H$6:$H$130,IFERROR(MATCH(2,Calcul!$O$60:$O$184,0),0))*64,0)=0,"0",""))&amp;""""))&amp;" · "&amp;FIXED(INDEX('Liste outils'!$H$6:$H$130,IFERROR(MATCH(2,Calcul!$O$60:$O$184,0),0)),4,TRUE())&amp;" po · "&amp;FIXED(INDEX('Liste outils'!$H$6:$H$130,IFERROR(MATCH(2,Calcul!$O$60:$O$184,0),0))*25.4,3,TRUE())&amp;" mm"),""))</f>
        <v>3/8" · 0.3750 po · 9.525 mm</v>
      </c>
      <c r="E63" s="25" t="str">
        <f aca="false">IF(IFERROR(MATCH(2,Calcul!$O$60:$O$184,0),0)=0,"",INDEX('Liste outils'!$AB$6:$AB$130,IFERROR(MATCH(2,Calcul!$O$60:$O$184,0),0))&amp;"")</f>
        <v>A-1-B-2</v>
      </c>
      <c r="F63" s="25" t="str">
        <f aca="false">IF(IFERROR(MATCH(2,Calcul!$O$60:$O$184,0),0)=0,"",INDEX('Liste outils'!$O$6:$O$130,IFERROR(MATCH(2,Calcul!$O$60:$O$184,0),0))&amp;"")</f>
        <v>63-767</v>
      </c>
      <c r="G63" s="25" t="str">
        <f aca="false">IF(IFERROR(MATCH(2,Calcul!$O$60:$O$184,0),0)=0,"",INDEX('Liste outils'!$AC$6:$AC$130,IFERROR(MATCH(2,Calcul!$O$60:$O$184,0),0))&amp;"")</f>
        <v/>
      </c>
    </row>
    <row r="64" customFormat="false" ht="15" hidden="false" customHeight="false" outlineLevel="0" collapsed="false">
      <c r="A64" s="24" t="str">
        <f aca="false">IF(IFERROR(MATCH(3,Calcul!$O$60:$O$184,0),0)=0,"",INDEX('Liste outils'!$B$6:$B$130,IFERROR(MATCH(3,Calcul!$O$60:$O$184,0),0))&amp;"")</f>
        <v>EM0009</v>
      </c>
      <c r="B64" s="25" t="str">
        <f aca="false">IF(IFERROR(MATCH(3,Calcul!$O$60:$O$184,0),0)=0,"",INDEX('Liste outils'!$C$6:$C$130,IFERROR(MATCH(3,Calcul!$O$60:$O$184,0),0))&amp;"")</f>
        <v>End Mill</v>
      </c>
      <c r="C64" s="25" t="str">
        <f aca="false">IF(IFERROR(MATCH(3,Calcul!$O$60:$O$184,0),0)=0,"",INDEX('Liste outils'!$J$6:$J$130,IFERROR(MATCH(3,Calcul!$O$60:$O$184,0),0))&amp;"")</f>
        <v>Downcut</v>
      </c>
      <c r="D64" s="25" t="str">
        <f aca="false">IF(IFERROR(MATCH(3,Calcul!$O$60:$O$184,0),0)=0,"",IF(ISNUMBER(INDEX('Liste outils'!$H$6:$H$130,IFERROR(MATCH(3,Calcul!$O$60:$O$184,0),0))),IF(NOT(ISNUMBER(INDEX('Liste outils'!$H$6:$H$130,IFERROR(MATCH(3,Calcul!$O$60:$O$184,0),0)))),"",IF(NOT(ISNUMBER(INDEX('Liste outils'!$H$6:$H$130,IFERROR(MATCH(3,Calcul!$O$60:$O$184,0),0)))),"",IF(INDEX('Liste outils'!$H$6:$H$130,IFERROR(MATCH(3,Calcul!$O$60:$O$184,0),0))&lt;=0,"",IF(ABS(INDEX('Liste outils'!$H$6:$H$130,IFERROR(MATCH(3,Calcul!$O$60:$O$184,0),0))*64-ROUND(INDEX('Liste outils'!$H$6:$H$130,IFERROR(MATCH(3,Calcul!$O$60:$O$184,0),0))*64,0))&gt;0.0005,"≈ ","")&amp;IF(INT(ROUND(INDEX('Liste outils'!$H$6:$H$130,IFERROR(MATCH(3,Calcul!$O$60:$O$184,0),0))*64,0)/64)&gt;0,INT(ROUND(INDEX('Liste outils'!$H$6:$H$130,IFERROR(MATCH(3,Calcul!$O$60:$O$184,0),0))*64,0)/64)&amp;IF(MOD(ROUND(INDEX('Liste outils'!$H$6:$H$130,IFERROR(MATCH(3,Calcul!$O$60:$O$184,0),0))*64,0),64)&gt;0," ",""),"")&amp;IF(MOD(ROUND(INDEX('Liste outils'!$H$6:$H$130,IFERROR(MATCH(3,Calcul!$O$60:$O$184,0),0))*64,0),64)&gt;0,MOD(ROUND(INDEX('Liste outils'!$H$6:$H$130,IFERROR(MATCH(3,Calcul!$O$60:$O$184,0),0))*64,0),64)/GCD(MOD(ROUND(INDEX('Liste outils'!$H$6:$H$130,IFERROR(MATCH(3,Calcul!$O$60:$O$184,0),0))*64,0),64),64)&amp;"/"&amp;64/GCD(MOD(ROUND(INDEX('Liste outils'!$H$6:$H$130,IFERROR(MATCH(3,Calcul!$O$60:$O$184,0),0))*64,0),64),64),IF(ROUND(INDEX('Liste outils'!$H$6:$H$130,IFERROR(MATCH(3,Calcul!$O$60:$O$184,0),0))*64,0)=0,"0",""))&amp;""""))&amp;" · "&amp;FIXED(INDEX('Liste outils'!$H$6:$H$130,IFERROR(MATCH(3,Calcul!$O$60:$O$184,0),0)),4,TRUE())&amp;" po · "&amp;FIXED(INDEX('Liste outils'!$H$6:$H$130,IFERROR(MATCH(3,Calcul!$O$60:$O$184,0),0))*25.4,3,TRUE())&amp;" mm"),""))</f>
        <v>5/8" · 0.6250 po · 15.875 mm</v>
      </c>
      <c r="E64" s="25" t="str">
        <f aca="false">IF(IFERROR(MATCH(3,Calcul!$O$60:$O$184,0),0)=0,"",INDEX('Liste outils'!$AB$6:$AB$130,IFERROR(MATCH(3,Calcul!$O$60:$O$184,0),0))&amp;"")</f>
        <v>A-1-B-4</v>
      </c>
      <c r="F64" s="25" t="str">
        <f aca="false">IF(IFERROR(MATCH(3,Calcul!$O$60:$O$184,0),0)=0,"",INDEX('Liste outils'!$O$6:$O$130,IFERROR(MATCH(3,Calcul!$O$60:$O$184,0),0))&amp;"")</f>
        <v>62-718</v>
      </c>
      <c r="G64" s="25" t="str">
        <f aca="false">IF(IFERROR(MATCH(3,Calcul!$O$60:$O$184,0),0)=0,"",INDEX('Liste outils'!$AC$6:$AC$130,IFERROR(MATCH(3,Calcul!$O$60:$O$184,0),0))&amp;"")</f>
        <v/>
      </c>
    </row>
    <row r="65" customFormat="false" ht="15" hidden="false" customHeight="false" outlineLevel="0" collapsed="false">
      <c r="A65" s="24" t="str">
        <f aca="false">IF(IFERROR(MATCH(4,Calcul!$O$60:$O$184,0),0)=0,"",INDEX('Liste outils'!$B$6:$B$130,IFERROR(MATCH(4,Calcul!$O$60:$O$184,0),0))&amp;"")</f>
        <v>EM0049</v>
      </c>
      <c r="B65" s="25" t="str">
        <f aca="false">IF(IFERROR(MATCH(4,Calcul!$O$60:$O$184,0),0)=0,"",INDEX('Liste outils'!$C$6:$C$130,IFERROR(MATCH(4,Calcul!$O$60:$O$184,0),0))&amp;"")</f>
        <v>End Mill</v>
      </c>
      <c r="C65" s="25" t="str">
        <f aca="false">IF(IFERROR(MATCH(4,Calcul!$O$60:$O$184,0),0)=0,"",INDEX('Liste outils'!$J$6:$J$130,IFERROR(MATCH(4,Calcul!$O$60:$O$184,0),0))&amp;"")</f>
        <v>Upcut</v>
      </c>
      <c r="D65" s="25" t="str">
        <f aca="false">IF(IFERROR(MATCH(4,Calcul!$O$60:$O$184,0),0)=0,"",IF(ISNUMBER(INDEX('Liste outils'!$H$6:$H$130,IFERROR(MATCH(4,Calcul!$O$60:$O$184,0),0))),IF(NOT(ISNUMBER(INDEX('Liste outils'!$H$6:$H$130,IFERROR(MATCH(4,Calcul!$O$60:$O$184,0),0)))),"",IF(NOT(ISNUMBER(INDEX('Liste outils'!$H$6:$H$130,IFERROR(MATCH(4,Calcul!$O$60:$O$184,0),0)))),"",IF(INDEX('Liste outils'!$H$6:$H$130,IFERROR(MATCH(4,Calcul!$O$60:$O$184,0),0))&lt;=0,"",IF(ABS(INDEX('Liste outils'!$H$6:$H$130,IFERROR(MATCH(4,Calcul!$O$60:$O$184,0),0))*64-ROUND(INDEX('Liste outils'!$H$6:$H$130,IFERROR(MATCH(4,Calcul!$O$60:$O$184,0),0))*64,0))&gt;0.0005,"≈ ","")&amp;IF(INT(ROUND(INDEX('Liste outils'!$H$6:$H$130,IFERROR(MATCH(4,Calcul!$O$60:$O$184,0),0))*64,0)/64)&gt;0,INT(ROUND(INDEX('Liste outils'!$H$6:$H$130,IFERROR(MATCH(4,Calcul!$O$60:$O$184,0),0))*64,0)/64)&amp;IF(MOD(ROUND(INDEX('Liste outils'!$H$6:$H$130,IFERROR(MATCH(4,Calcul!$O$60:$O$184,0),0))*64,0),64)&gt;0," ",""),"")&amp;IF(MOD(ROUND(INDEX('Liste outils'!$H$6:$H$130,IFERROR(MATCH(4,Calcul!$O$60:$O$184,0),0))*64,0),64)&gt;0,MOD(ROUND(INDEX('Liste outils'!$H$6:$H$130,IFERROR(MATCH(4,Calcul!$O$60:$O$184,0),0))*64,0),64)/GCD(MOD(ROUND(INDEX('Liste outils'!$H$6:$H$130,IFERROR(MATCH(4,Calcul!$O$60:$O$184,0),0))*64,0),64),64)&amp;"/"&amp;64/GCD(MOD(ROUND(INDEX('Liste outils'!$H$6:$H$130,IFERROR(MATCH(4,Calcul!$O$60:$O$184,0),0))*64,0),64),64),IF(ROUND(INDEX('Liste outils'!$H$6:$H$130,IFERROR(MATCH(4,Calcul!$O$60:$O$184,0),0))*64,0)=0,"0",""))&amp;""""))&amp;" · "&amp;FIXED(INDEX('Liste outils'!$H$6:$H$130,IFERROR(MATCH(4,Calcul!$O$60:$O$184,0),0)),4,TRUE())&amp;" po · "&amp;FIXED(INDEX('Liste outils'!$H$6:$H$130,IFERROR(MATCH(4,Calcul!$O$60:$O$184,0),0))*25.4,3,TRUE())&amp;" mm"),""))</f>
        <v>1 1/4" · 1.2500 po · 31.750 mm</v>
      </c>
      <c r="E65" s="25" t="str">
        <f aca="false">IF(IFERROR(MATCH(4,Calcul!$O$60:$O$184,0),0)=0,"",INDEX('Liste outils'!$AB$6:$AB$130,IFERROR(MATCH(4,Calcul!$O$60:$O$184,0),0))&amp;"")</f>
        <v>A-1-B-4</v>
      </c>
      <c r="F65" s="25" t="str">
        <f aca="false">IF(IFERROR(MATCH(4,Calcul!$O$60:$O$184,0),0)=0,"",INDEX('Liste outils'!$O$6:$O$130,IFERROR(MATCH(4,Calcul!$O$60:$O$184,0),0))&amp;"")</f>
        <v>65-020</v>
      </c>
      <c r="G65" s="25" t="str">
        <f aca="false">IF(IFERROR(MATCH(4,Calcul!$O$60:$O$184,0),0)=0,"",INDEX('Liste outils'!$AC$6:$AC$130,IFERROR(MATCH(4,Calcul!$O$60:$O$184,0),0))&amp;"")</f>
        <v>Long LOC</v>
      </c>
    </row>
    <row r="66" customFormat="false" ht="15" hidden="false" customHeight="false" outlineLevel="0" collapsed="false">
      <c r="A66" s="24" t="str">
        <f aca="false">IF(IFERROR(MATCH(5,Calcul!$O$60:$O$184,0),0)=0,"",INDEX('Liste outils'!$B$6:$B$130,IFERROR(MATCH(5,Calcul!$O$60:$O$184,0),0))&amp;"")</f>
        <v/>
      </c>
      <c r="B66" s="25" t="str">
        <f aca="false">IF(IFERROR(MATCH(5,Calcul!$O$60:$O$184,0),0)=0,"",INDEX('Liste outils'!$C$6:$C$130,IFERROR(MATCH(5,Calcul!$O$60:$O$184,0),0))&amp;"")</f>
        <v/>
      </c>
      <c r="C66" s="25" t="str">
        <f aca="false">IF(IFERROR(MATCH(5,Calcul!$O$60:$O$184,0),0)=0,"",INDEX('Liste outils'!$J$6:$J$130,IFERROR(MATCH(5,Calcul!$O$60:$O$184,0),0))&amp;"")</f>
        <v/>
      </c>
      <c r="D66" s="25" t="str">
        <f aca="false">IF(IFERROR(MATCH(5,Calcul!$O$60:$O$184,0),0)=0,"",IF(ISNUMBER(INDEX('Liste outils'!$H$6:$H$130,IFERROR(MATCH(5,Calcul!$O$60:$O$184,0),0))),IF(NOT(ISNUMBER(INDEX('Liste outils'!$H$6:$H$130,IFERROR(MATCH(5,Calcul!$O$60:$O$184,0),0)))),"",IF(NOT(ISNUMBER(INDEX('Liste outils'!$H$6:$H$130,IFERROR(MATCH(5,Calcul!$O$60:$O$184,0),0)))),"",IF(INDEX('Liste outils'!$H$6:$H$130,IFERROR(MATCH(5,Calcul!$O$60:$O$184,0),0))&lt;=0,"",IF(ABS(INDEX('Liste outils'!$H$6:$H$130,IFERROR(MATCH(5,Calcul!$O$60:$O$184,0),0))*64-ROUND(INDEX('Liste outils'!$H$6:$H$130,IFERROR(MATCH(5,Calcul!$O$60:$O$184,0),0))*64,0))&gt;0.0005,"≈ ","")&amp;IF(INT(ROUND(INDEX('Liste outils'!$H$6:$H$130,IFERROR(MATCH(5,Calcul!$O$60:$O$184,0),0))*64,0)/64)&gt;0,INT(ROUND(INDEX('Liste outils'!$H$6:$H$130,IFERROR(MATCH(5,Calcul!$O$60:$O$184,0),0))*64,0)/64)&amp;IF(MOD(ROUND(INDEX('Liste outils'!$H$6:$H$130,IFERROR(MATCH(5,Calcul!$O$60:$O$184,0),0))*64,0),64)&gt;0," ",""),"")&amp;IF(MOD(ROUND(INDEX('Liste outils'!$H$6:$H$130,IFERROR(MATCH(5,Calcul!$O$60:$O$184,0),0))*64,0),64)&gt;0,MOD(ROUND(INDEX('Liste outils'!$H$6:$H$130,IFERROR(MATCH(5,Calcul!$O$60:$O$184,0),0))*64,0),64)/GCD(MOD(ROUND(INDEX('Liste outils'!$H$6:$H$130,IFERROR(MATCH(5,Calcul!$O$60:$O$184,0),0))*64,0),64),64)&amp;"/"&amp;64/GCD(MOD(ROUND(INDEX('Liste outils'!$H$6:$H$130,IFERROR(MATCH(5,Calcul!$O$60:$O$184,0),0))*64,0),64),64),IF(ROUND(INDEX('Liste outils'!$H$6:$H$130,IFERROR(MATCH(5,Calcul!$O$60:$O$184,0),0))*64,0)=0,"0",""))&amp;""""))&amp;" · "&amp;FIXED(INDEX('Liste outils'!$H$6:$H$130,IFERROR(MATCH(5,Calcul!$O$60:$O$184,0),0)),4,TRUE())&amp;" po · "&amp;FIXED(INDEX('Liste outils'!$H$6:$H$130,IFERROR(MATCH(5,Calcul!$O$60:$O$184,0),0))*25.4,3,TRUE())&amp;" mm"),""))</f>
        <v/>
      </c>
      <c r="E66" s="25" t="str">
        <f aca="false">IF(IFERROR(MATCH(5,Calcul!$O$60:$O$184,0),0)=0,"",INDEX('Liste outils'!$AB$6:$AB$130,IFERROR(MATCH(5,Calcul!$O$60:$O$184,0),0))&amp;"")</f>
        <v/>
      </c>
      <c r="F66" s="25" t="str">
        <f aca="false">IF(IFERROR(MATCH(5,Calcul!$O$60:$O$184,0),0)=0,"",INDEX('Liste outils'!$O$6:$O$130,IFERROR(MATCH(5,Calcul!$O$60:$O$184,0),0))&amp;"")</f>
        <v/>
      </c>
      <c r="G66" s="25" t="str">
        <f aca="false">IF(IFERROR(MATCH(5,Calcul!$O$60:$O$184,0),0)=0,"",INDEX('Liste outils'!$AC$6:$AC$130,IFERROR(MATCH(5,Calcul!$O$60:$O$184,0),0))&amp;"")</f>
        <v/>
      </c>
    </row>
    <row r="67" customFormat="false" ht="15" hidden="false" customHeight="false" outlineLevel="0" collapsed="false">
      <c r="A67" s="24" t="str">
        <f aca="false">IF(IFERROR(MATCH(6,Calcul!$O$60:$O$184,0),0)=0,"",INDEX('Liste outils'!$B$6:$B$130,IFERROR(MATCH(6,Calcul!$O$60:$O$184,0),0))&amp;"")</f>
        <v/>
      </c>
      <c r="B67" s="25" t="str">
        <f aca="false">IF(IFERROR(MATCH(6,Calcul!$O$60:$O$184,0),0)=0,"",INDEX('Liste outils'!$C$6:$C$130,IFERROR(MATCH(6,Calcul!$O$60:$O$184,0),0))&amp;"")</f>
        <v/>
      </c>
      <c r="C67" s="25" t="str">
        <f aca="false">IF(IFERROR(MATCH(6,Calcul!$O$60:$O$184,0),0)=0,"",INDEX('Liste outils'!$J$6:$J$130,IFERROR(MATCH(6,Calcul!$O$60:$O$184,0),0))&amp;"")</f>
        <v/>
      </c>
      <c r="D67" s="25" t="str">
        <f aca="false">IF(IFERROR(MATCH(6,Calcul!$O$60:$O$184,0),0)=0,"",IF(ISNUMBER(INDEX('Liste outils'!$H$6:$H$130,IFERROR(MATCH(6,Calcul!$O$60:$O$184,0),0))),IF(NOT(ISNUMBER(INDEX('Liste outils'!$H$6:$H$130,IFERROR(MATCH(6,Calcul!$O$60:$O$184,0),0)))),"",IF(NOT(ISNUMBER(INDEX('Liste outils'!$H$6:$H$130,IFERROR(MATCH(6,Calcul!$O$60:$O$184,0),0)))),"",IF(INDEX('Liste outils'!$H$6:$H$130,IFERROR(MATCH(6,Calcul!$O$60:$O$184,0),0))&lt;=0,"",IF(ABS(INDEX('Liste outils'!$H$6:$H$130,IFERROR(MATCH(6,Calcul!$O$60:$O$184,0),0))*64-ROUND(INDEX('Liste outils'!$H$6:$H$130,IFERROR(MATCH(6,Calcul!$O$60:$O$184,0),0))*64,0))&gt;0.0005,"≈ ","")&amp;IF(INT(ROUND(INDEX('Liste outils'!$H$6:$H$130,IFERROR(MATCH(6,Calcul!$O$60:$O$184,0),0))*64,0)/64)&gt;0,INT(ROUND(INDEX('Liste outils'!$H$6:$H$130,IFERROR(MATCH(6,Calcul!$O$60:$O$184,0),0))*64,0)/64)&amp;IF(MOD(ROUND(INDEX('Liste outils'!$H$6:$H$130,IFERROR(MATCH(6,Calcul!$O$60:$O$184,0),0))*64,0),64)&gt;0," ",""),"")&amp;IF(MOD(ROUND(INDEX('Liste outils'!$H$6:$H$130,IFERROR(MATCH(6,Calcul!$O$60:$O$184,0),0))*64,0),64)&gt;0,MOD(ROUND(INDEX('Liste outils'!$H$6:$H$130,IFERROR(MATCH(6,Calcul!$O$60:$O$184,0),0))*64,0),64)/GCD(MOD(ROUND(INDEX('Liste outils'!$H$6:$H$130,IFERROR(MATCH(6,Calcul!$O$60:$O$184,0),0))*64,0),64),64)&amp;"/"&amp;64/GCD(MOD(ROUND(INDEX('Liste outils'!$H$6:$H$130,IFERROR(MATCH(6,Calcul!$O$60:$O$184,0),0))*64,0),64),64),IF(ROUND(INDEX('Liste outils'!$H$6:$H$130,IFERROR(MATCH(6,Calcul!$O$60:$O$184,0),0))*64,0)=0,"0",""))&amp;""""))&amp;" · "&amp;FIXED(INDEX('Liste outils'!$H$6:$H$130,IFERROR(MATCH(6,Calcul!$O$60:$O$184,0),0)),4,TRUE())&amp;" po · "&amp;FIXED(INDEX('Liste outils'!$H$6:$H$130,IFERROR(MATCH(6,Calcul!$O$60:$O$184,0),0))*25.4,3,TRUE())&amp;" mm"),""))</f>
        <v/>
      </c>
      <c r="E67" s="25" t="str">
        <f aca="false">IF(IFERROR(MATCH(6,Calcul!$O$60:$O$184,0),0)=0,"",INDEX('Liste outils'!$AB$6:$AB$130,IFERROR(MATCH(6,Calcul!$O$60:$O$184,0),0))&amp;"")</f>
        <v/>
      </c>
      <c r="F67" s="25" t="str">
        <f aca="false">IF(IFERROR(MATCH(6,Calcul!$O$60:$O$184,0),0)=0,"",INDEX('Liste outils'!$O$6:$O$130,IFERROR(MATCH(6,Calcul!$O$60:$O$184,0),0))&amp;"")</f>
        <v/>
      </c>
      <c r="G67" s="25" t="str">
        <f aca="false">IF(IFERROR(MATCH(6,Calcul!$O$60:$O$184,0),0)=0,"",INDEX('Liste outils'!$AC$6:$AC$130,IFERROR(MATCH(6,Calcul!$O$60:$O$184,0),0))&amp;"")</f>
        <v/>
      </c>
    </row>
    <row r="68" customFormat="false" ht="15" hidden="false" customHeight="false" outlineLevel="0" collapsed="false">
      <c r="A68" s="24" t="str">
        <f aca="false">IF(IFERROR(MATCH(7,Calcul!$O$60:$O$184,0),0)=0,"",INDEX('Liste outils'!$B$6:$B$130,IFERROR(MATCH(7,Calcul!$O$60:$O$184,0),0))&amp;"")</f>
        <v/>
      </c>
      <c r="B68" s="25" t="str">
        <f aca="false">IF(IFERROR(MATCH(7,Calcul!$O$60:$O$184,0),0)=0,"",INDEX('Liste outils'!$C$6:$C$130,IFERROR(MATCH(7,Calcul!$O$60:$O$184,0),0))&amp;"")</f>
        <v/>
      </c>
      <c r="C68" s="25" t="str">
        <f aca="false">IF(IFERROR(MATCH(7,Calcul!$O$60:$O$184,0),0)=0,"",INDEX('Liste outils'!$J$6:$J$130,IFERROR(MATCH(7,Calcul!$O$60:$O$184,0),0))&amp;"")</f>
        <v/>
      </c>
      <c r="D68" s="25" t="str">
        <f aca="false">IF(IFERROR(MATCH(7,Calcul!$O$60:$O$184,0),0)=0,"",IF(ISNUMBER(INDEX('Liste outils'!$H$6:$H$130,IFERROR(MATCH(7,Calcul!$O$60:$O$184,0),0))),IF(NOT(ISNUMBER(INDEX('Liste outils'!$H$6:$H$130,IFERROR(MATCH(7,Calcul!$O$60:$O$184,0),0)))),"",IF(NOT(ISNUMBER(INDEX('Liste outils'!$H$6:$H$130,IFERROR(MATCH(7,Calcul!$O$60:$O$184,0),0)))),"",IF(INDEX('Liste outils'!$H$6:$H$130,IFERROR(MATCH(7,Calcul!$O$60:$O$184,0),0))&lt;=0,"",IF(ABS(INDEX('Liste outils'!$H$6:$H$130,IFERROR(MATCH(7,Calcul!$O$60:$O$184,0),0))*64-ROUND(INDEX('Liste outils'!$H$6:$H$130,IFERROR(MATCH(7,Calcul!$O$60:$O$184,0),0))*64,0))&gt;0.0005,"≈ ","")&amp;IF(INT(ROUND(INDEX('Liste outils'!$H$6:$H$130,IFERROR(MATCH(7,Calcul!$O$60:$O$184,0),0))*64,0)/64)&gt;0,INT(ROUND(INDEX('Liste outils'!$H$6:$H$130,IFERROR(MATCH(7,Calcul!$O$60:$O$184,0),0))*64,0)/64)&amp;IF(MOD(ROUND(INDEX('Liste outils'!$H$6:$H$130,IFERROR(MATCH(7,Calcul!$O$60:$O$184,0),0))*64,0),64)&gt;0," ",""),"")&amp;IF(MOD(ROUND(INDEX('Liste outils'!$H$6:$H$130,IFERROR(MATCH(7,Calcul!$O$60:$O$184,0),0))*64,0),64)&gt;0,MOD(ROUND(INDEX('Liste outils'!$H$6:$H$130,IFERROR(MATCH(7,Calcul!$O$60:$O$184,0),0))*64,0),64)/GCD(MOD(ROUND(INDEX('Liste outils'!$H$6:$H$130,IFERROR(MATCH(7,Calcul!$O$60:$O$184,0),0))*64,0),64),64)&amp;"/"&amp;64/GCD(MOD(ROUND(INDEX('Liste outils'!$H$6:$H$130,IFERROR(MATCH(7,Calcul!$O$60:$O$184,0),0))*64,0),64),64),IF(ROUND(INDEX('Liste outils'!$H$6:$H$130,IFERROR(MATCH(7,Calcul!$O$60:$O$184,0),0))*64,0)=0,"0",""))&amp;""""))&amp;" · "&amp;FIXED(INDEX('Liste outils'!$H$6:$H$130,IFERROR(MATCH(7,Calcul!$O$60:$O$184,0),0)),4,TRUE())&amp;" po · "&amp;FIXED(INDEX('Liste outils'!$H$6:$H$130,IFERROR(MATCH(7,Calcul!$O$60:$O$184,0),0))*25.4,3,TRUE())&amp;" mm"),""))</f>
        <v/>
      </c>
      <c r="E68" s="25" t="str">
        <f aca="false">IF(IFERROR(MATCH(7,Calcul!$O$60:$O$184,0),0)=0,"",INDEX('Liste outils'!$AB$6:$AB$130,IFERROR(MATCH(7,Calcul!$O$60:$O$184,0),0))&amp;"")</f>
        <v/>
      </c>
      <c r="F68" s="25" t="str">
        <f aca="false">IF(IFERROR(MATCH(7,Calcul!$O$60:$O$184,0),0)=0,"",INDEX('Liste outils'!$O$6:$O$130,IFERROR(MATCH(7,Calcul!$O$60:$O$184,0),0))&amp;"")</f>
        <v/>
      </c>
      <c r="G68" s="25" t="str">
        <f aca="false">IF(IFERROR(MATCH(7,Calcul!$O$60:$O$184,0),0)=0,"",INDEX('Liste outils'!$AC$6:$AC$130,IFERROR(MATCH(7,Calcul!$O$60:$O$184,0),0))&amp;"")</f>
        <v/>
      </c>
    </row>
    <row r="69" customFormat="false" ht="15" hidden="false" customHeight="false" outlineLevel="0" collapsed="false">
      <c r="A69" s="24" t="str">
        <f aca="false">IF(IFERROR(MATCH(8,Calcul!$O$60:$O$184,0),0)=0,"",INDEX('Liste outils'!$B$6:$B$130,IFERROR(MATCH(8,Calcul!$O$60:$O$184,0),0))&amp;"")</f>
        <v/>
      </c>
      <c r="B69" s="25" t="str">
        <f aca="false">IF(IFERROR(MATCH(8,Calcul!$O$60:$O$184,0),0)=0,"",INDEX('Liste outils'!$C$6:$C$130,IFERROR(MATCH(8,Calcul!$O$60:$O$184,0),0))&amp;"")</f>
        <v/>
      </c>
      <c r="C69" s="25" t="str">
        <f aca="false">IF(IFERROR(MATCH(8,Calcul!$O$60:$O$184,0),0)=0,"",INDEX('Liste outils'!$J$6:$J$130,IFERROR(MATCH(8,Calcul!$O$60:$O$184,0),0))&amp;"")</f>
        <v/>
      </c>
      <c r="D69" s="25" t="str">
        <f aca="false">IF(IFERROR(MATCH(8,Calcul!$O$60:$O$184,0),0)=0,"",IF(ISNUMBER(INDEX('Liste outils'!$H$6:$H$130,IFERROR(MATCH(8,Calcul!$O$60:$O$184,0),0))),IF(NOT(ISNUMBER(INDEX('Liste outils'!$H$6:$H$130,IFERROR(MATCH(8,Calcul!$O$60:$O$184,0),0)))),"",IF(NOT(ISNUMBER(INDEX('Liste outils'!$H$6:$H$130,IFERROR(MATCH(8,Calcul!$O$60:$O$184,0),0)))),"",IF(INDEX('Liste outils'!$H$6:$H$130,IFERROR(MATCH(8,Calcul!$O$60:$O$184,0),0))&lt;=0,"",IF(ABS(INDEX('Liste outils'!$H$6:$H$130,IFERROR(MATCH(8,Calcul!$O$60:$O$184,0),0))*64-ROUND(INDEX('Liste outils'!$H$6:$H$130,IFERROR(MATCH(8,Calcul!$O$60:$O$184,0),0))*64,0))&gt;0.0005,"≈ ","")&amp;IF(INT(ROUND(INDEX('Liste outils'!$H$6:$H$130,IFERROR(MATCH(8,Calcul!$O$60:$O$184,0),0))*64,0)/64)&gt;0,INT(ROUND(INDEX('Liste outils'!$H$6:$H$130,IFERROR(MATCH(8,Calcul!$O$60:$O$184,0),0))*64,0)/64)&amp;IF(MOD(ROUND(INDEX('Liste outils'!$H$6:$H$130,IFERROR(MATCH(8,Calcul!$O$60:$O$184,0),0))*64,0),64)&gt;0," ",""),"")&amp;IF(MOD(ROUND(INDEX('Liste outils'!$H$6:$H$130,IFERROR(MATCH(8,Calcul!$O$60:$O$184,0),0))*64,0),64)&gt;0,MOD(ROUND(INDEX('Liste outils'!$H$6:$H$130,IFERROR(MATCH(8,Calcul!$O$60:$O$184,0),0))*64,0),64)/GCD(MOD(ROUND(INDEX('Liste outils'!$H$6:$H$130,IFERROR(MATCH(8,Calcul!$O$60:$O$184,0),0))*64,0),64),64)&amp;"/"&amp;64/GCD(MOD(ROUND(INDEX('Liste outils'!$H$6:$H$130,IFERROR(MATCH(8,Calcul!$O$60:$O$184,0),0))*64,0),64),64),IF(ROUND(INDEX('Liste outils'!$H$6:$H$130,IFERROR(MATCH(8,Calcul!$O$60:$O$184,0),0))*64,0)=0,"0",""))&amp;""""))&amp;" · "&amp;FIXED(INDEX('Liste outils'!$H$6:$H$130,IFERROR(MATCH(8,Calcul!$O$60:$O$184,0),0)),4,TRUE())&amp;" po · "&amp;FIXED(INDEX('Liste outils'!$H$6:$H$130,IFERROR(MATCH(8,Calcul!$O$60:$O$184,0),0))*25.4,3,TRUE())&amp;" mm"),""))</f>
        <v/>
      </c>
      <c r="E69" s="25" t="str">
        <f aca="false">IF(IFERROR(MATCH(8,Calcul!$O$60:$O$184,0),0)=0,"",INDEX('Liste outils'!$AB$6:$AB$130,IFERROR(MATCH(8,Calcul!$O$60:$O$184,0),0))&amp;"")</f>
        <v/>
      </c>
      <c r="F69" s="25" t="str">
        <f aca="false">IF(IFERROR(MATCH(8,Calcul!$O$60:$O$184,0),0)=0,"",INDEX('Liste outils'!$O$6:$O$130,IFERROR(MATCH(8,Calcul!$O$60:$O$184,0),0))&amp;"")</f>
        <v/>
      </c>
      <c r="G69" s="25" t="str">
        <f aca="false">IF(IFERROR(MATCH(8,Calcul!$O$60:$O$184,0),0)=0,"",INDEX('Liste outils'!$AC$6:$AC$130,IFERROR(MATCH(8,Calcul!$O$60:$O$184,0),0))&amp;"")</f>
        <v/>
      </c>
    </row>
    <row r="70" customFormat="false" ht="15" hidden="false" customHeight="false" outlineLevel="0" collapsed="false">
      <c r="A70" s="24" t="str">
        <f aca="false">IF(IFERROR(MATCH(9,Calcul!$O$60:$O$184,0),0)=0,"",INDEX('Liste outils'!$B$6:$B$130,IFERROR(MATCH(9,Calcul!$O$60:$O$184,0),0))&amp;"")</f>
        <v/>
      </c>
      <c r="B70" s="25" t="str">
        <f aca="false">IF(IFERROR(MATCH(9,Calcul!$O$60:$O$184,0),0)=0,"",INDEX('Liste outils'!$C$6:$C$130,IFERROR(MATCH(9,Calcul!$O$60:$O$184,0),0))&amp;"")</f>
        <v/>
      </c>
      <c r="C70" s="25" t="str">
        <f aca="false">IF(IFERROR(MATCH(9,Calcul!$O$60:$O$184,0),0)=0,"",INDEX('Liste outils'!$J$6:$J$130,IFERROR(MATCH(9,Calcul!$O$60:$O$184,0),0))&amp;"")</f>
        <v/>
      </c>
      <c r="D70" s="25" t="str">
        <f aca="false">IF(IFERROR(MATCH(9,Calcul!$O$60:$O$184,0),0)=0,"",IF(ISNUMBER(INDEX('Liste outils'!$H$6:$H$130,IFERROR(MATCH(9,Calcul!$O$60:$O$184,0),0))),IF(NOT(ISNUMBER(INDEX('Liste outils'!$H$6:$H$130,IFERROR(MATCH(9,Calcul!$O$60:$O$184,0),0)))),"",IF(NOT(ISNUMBER(INDEX('Liste outils'!$H$6:$H$130,IFERROR(MATCH(9,Calcul!$O$60:$O$184,0),0)))),"",IF(INDEX('Liste outils'!$H$6:$H$130,IFERROR(MATCH(9,Calcul!$O$60:$O$184,0),0))&lt;=0,"",IF(ABS(INDEX('Liste outils'!$H$6:$H$130,IFERROR(MATCH(9,Calcul!$O$60:$O$184,0),0))*64-ROUND(INDEX('Liste outils'!$H$6:$H$130,IFERROR(MATCH(9,Calcul!$O$60:$O$184,0),0))*64,0))&gt;0.0005,"≈ ","")&amp;IF(INT(ROUND(INDEX('Liste outils'!$H$6:$H$130,IFERROR(MATCH(9,Calcul!$O$60:$O$184,0),0))*64,0)/64)&gt;0,INT(ROUND(INDEX('Liste outils'!$H$6:$H$130,IFERROR(MATCH(9,Calcul!$O$60:$O$184,0),0))*64,0)/64)&amp;IF(MOD(ROUND(INDEX('Liste outils'!$H$6:$H$130,IFERROR(MATCH(9,Calcul!$O$60:$O$184,0),0))*64,0),64)&gt;0," ",""),"")&amp;IF(MOD(ROUND(INDEX('Liste outils'!$H$6:$H$130,IFERROR(MATCH(9,Calcul!$O$60:$O$184,0),0))*64,0),64)&gt;0,MOD(ROUND(INDEX('Liste outils'!$H$6:$H$130,IFERROR(MATCH(9,Calcul!$O$60:$O$184,0),0))*64,0),64)/GCD(MOD(ROUND(INDEX('Liste outils'!$H$6:$H$130,IFERROR(MATCH(9,Calcul!$O$60:$O$184,0),0))*64,0),64),64)&amp;"/"&amp;64/GCD(MOD(ROUND(INDEX('Liste outils'!$H$6:$H$130,IFERROR(MATCH(9,Calcul!$O$60:$O$184,0),0))*64,0),64),64),IF(ROUND(INDEX('Liste outils'!$H$6:$H$130,IFERROR(MATCH(9,Calcul!$O$60:$O$184,0),0))*64,0)=0,"0",""))&amp;""""))&amp;" · "&amp;FIXED(INDEX('Liste outils'!$H$6:$H$130,IFERROR(MATCH(9,Calcul!$O$60:$O$184,0),0)),4,TRUE())&amp;" po · "&amp;FIXED(INDEX('Liste outils'!$H$6:$H$130,IFERROR(MATCH(9,Calcul!$O$60:$O$184,0),0))*25.4,3,TRUE())&amp;" mm"),""))</f>
        <v/>
      </c>
      <c r="E70" s="25" t="str">
        <f aca="false">IF(IFERROR(MATCH(9,Calcul!$O$60:$O$184,0),0)=0,"",INDEX('Liste outils'!$AB$6:$AB$130,IFERROR(MATCH(9,Calcul!$O$60:$O$184,0),0))&amp;"")</f>
        <v/>
      </c>
      <c r="F70" s="25" t="str">
        <f aca="false">IF(IFERROR(MATCH(9,Calcul!$O$60:$O$184,0),0)=0,"",INDEX('Liste outils'!$O$6:$O$130,IFERROR(MATCH(9,Calcul!$O$60:$O$184,0),0))&amp;"")</f>
        <v/>
      </c>
      <c r="G70" s="25" t="str">
        <f aca="false">IF(IFERROR(MATCH(9,Calcul!$O$60:$O$184,0),0)=0,"",INDEX('Liste outils'!$AC$6:$AC$130,IFERROR(MATCH(9,Calcul!$O$60:$O$184,0),0))&amp;"")</f>
        <v/>
      </c>
    </row>
    <row r="71" customFormat="false" ht="15" hidden="false" customHeight="false" outlineLevel="0" collapsed="false">
      <c r="A71" s="24" t="str">
        <f aca="false">IF(IFERROR(MATCH(10,Calcul!$O$60:$O$184,0),0)=0,"",INDEX('Liste outils'!$B$6:$B$130,IFERROR(MATCH(10,Calcul!$O$60:$O$184,0),0))&amp;"")</f>
        <v/>
      </c>
      <c r="B71" s="25" t="str">
        <f aca="false">IF(IFERROR(MATCH(10,Calcul!$O$60:$O$184,0),0)=0,"",INDEX('Liste outils'!$C$6:$C$130,IFERROR(MATCH(10,Calcul!$O$60:$O$184,0),0))&amp;"")</f>
        <v/>
      </c>
      <c r="C71" s="25" t="str">
        <f aca="false">IF(IFERROR(MATCH(10,Calcul!$O$60:$O$184,0),0)=0,"",INDEX('Liste outils'!$J$6:$J$130,IFERROR(MATCH(10,Calcul!$O$60:$O$184,0),0))&amp;"")</f>
        <v/>
      </c>
      <c r="D71" s="25" t="str">
        <f aca="false">IF(IFERROR(MATCH(10,Calcul!$O$60:$O$184,0),0)=0,"",IF(ISNUMBER(INDEX('Liste outils'!$H$6:$H$130,IFERROR(MATCH(10,Calcul!$O$60:$O$184,0),0))),IF(NOT(ISNUMBER(INDEX('Liste outils'!$H$6:$H$130,IFERROR(MATCH(10,Calcul!$O$60:$O$184,0),0)))),"",IF(NOT(ISNUMBER(INDEX('Liste outils'!$H$6:$H$130,IFERROR(MATCH(10,Calcul!$O$60:$O$184,0),0)))),"",IF(INDEX('Liste outils'!$H$6:$H$130,IFERROR(MATCH(10,Calcul!$O$60:$O$184,0),0))&lt;=0,"",IF(ABS(INDEX('Liste outils'!$H$6:$H$130,IFERROR(MATCH(10,Calcul!$O$60:$O$184,0),0))*64-ROUND(INDEX('Liste outils'!$H$6:$H$130,IFERROR(MATCH(10,Calcul!$O$60:$O$184,0),0))*64,0))&gt;0.0005,"≈ ","")&amp;IF(INT(ROUND(INDEX('Liste outils'!$H$6:$H$130,IFERROR(MATCH(10,Calcul!$O$60:$O$184,0),0))*64,0)/64)&gt;0,INT(ROUND(INDEX('Liste outils'!$H$6:$H$130,IFERROR(MATCH(10,Calcul!$O$60:$O$184,0),0))*64,0)/64)&amp;IF(MOD(ROUND(INDEX('Liste outils'!$H$6:$H$130,IFERROR(MATCH(10,Calcul!$O$60:$O$184,0),0))*64,0),64)&gt;0," ",""),"")&amp;IF(MOD(ROUND(INDEX('Liste outils'!$H$6:$H$130,IFERROR(MATCH(10,Calcul!$O$60:$O$184,0),0))*64,0),64)&gt;0,MOD(ROUND(INDEX('Liste outils'!$H$6:$H$130,IFERROR(MATCH(10,Calcul!$O$60:$O$184,0),0))*64,0),64)/GCD(MOD(ROUND(INDEX('Liste outils'!$H$6:$H$130,IFERROR(MATCH(10,Calcul!$O$60:$O$184,0),0))*64,0),64),64)&amp;"/"&amp;64/GCD(MOD(ROUND(INDEX('Liste outils'!$H$6:$H$130,IFERROR(MATCH(10,Calcul!$O$60:$O$184,0),0))*64,0),64),64),IF(ROUND(INDEX('Liste outils'!$H$6:$H$130,IFERROR(MATCH(10,Calcul!$O$60:$O$184,0),0))*64,0)=0,"0",""))&amp;""""))&amp;" · "&amp;FIXED(INDEX('Liste outils'!$H$6:$H$130,IFERROR(MATCH(10,Calcul!$O$60:$O$184,0),0)),4,TRUE())&amp;" po · "&amp;FIXED(INDEX('Liste outils'!$H$6:$H$130,IFERROR(MATCH(10,Calcul!$O$60:$O$184,0),0))*25.4,3,TRUE())&amp;" mm"),""))</f>
        <v/>
      </c>
      <c r="E71" s="25" t="str">
        <f aca="false">IF(IFERROR(MATCH(10,Calcul!$O$60:$O$184,0),0)=0,"",INDEX('Liste outils'!$AB$6:$AB$130,IFERROR(MATCH(10,Calcul!$O$60:$O$184,0),0))&amp;"")</f>
        <v/>
      </c>
      <c r="F71" s="25" t="str">
        <f aca="false">IF(IFERROR(MATCH(10,Calcul!$O$60:$O$184,0),0)=0,"",INDEX('Liste outils'!$O$6:$O$130,IFERROR(MATCH(10,Calcul!$O$60:$O$184,0),0))&amp;"")</f>
        <v/>
      </c>
      <c r="G71" s="25" t="str">
        <f aca="false">IF(IFERROR(MATCH(10,Calcul!$O$60:$O$184,0),0)=0,"",INDEX('Liste outils'!$AC$6:$AC$130,IFERROR(MATCH(10,Calcul!$O$60:$O$184,0),0))&amp;"")</f>
        <v/>
      </c>
    </row>
    <row r="72" customFormat="false" ht="15" hidden="false" customHeight="false" outlineLevel="0" collapsed="false">
      <c r="A72" s="24" t="str">
        <f aca="false">IF(IFERROR(MATCH(11,Calcul!$O$60:$O$184,0),0)=0,"",INDEX('Liste outils'!$B$6:$B$130,IFERROR(MATCH(11,Calcul!$O$60:$O$184,0),0))&amp;"")</f>
        <v/>
      </c>
      <c r="B72" s="25" t="str">
        <f aca="false">IF(IFERROR(MATCH(11,Calcul!$O$60:$O$184,0),0)=0,"",INDEX('Liste outils'!$C$6:$C$130,IFERROR(MATCH(11,Calcul!$O$60:$O$184,0),0))&amp;"")</f>
        <v/>
      </c>
      <c r="C72" s="25" t="str">
        <f aca="false">IF(IFERROR(MATCH(11,Calcul!$O$60:$O$184,0),0)=0,"",INDEX('Liste outils'!$J$6:$J$130,IFERROR(MATCH(11,Calcul!$O$60:$O$184,0),0))&amp;"")</f>
        <v/>
      </c>
      <c r="D72" s="25" t="str">
        <f aca="false">IF(IFERROR(MATCH(11,Calcul!$O$60:$O$184,0),0)=0,"",IF(ISNUMBER(INDEX('Liste outils'!$H$6:$H$130,IFERROR(MATCH(11,Calcul!$O$60:$O$184,0),0))),IF(NOT(ISNUMBER(INDEX('Liste outils'!$H$6:$H$130,IFERROR(MATCH(11,Calcul!$O$60:$O$184,0),0)))),"",IF(NOT(ISNUMBER(INDEX('Liste outils'!$H$6:$H$130,IFERROR(MATCH(11,Calcul!$O$60:$O$184,0),0)))),"",IF(INDEX('Liste outils'!$H$6:$H$130,IFERROR(MATCH(11,Calcul!$O$60:$O$184,0),0))&lt;=0,"",IF(ABS(INDEX('Liste outils'!$H$6:$H$130,IFERROR(MATCH(11,Calcul!$O$60:$O$184,0),0))*64-ROUND(INDEX('Liste outils'!$H$6:$H$130,IFERROR(MATCH(11,Calcul!$O$60:$O$184,0),0))*64,0))&gt;0.0005,"≈ ","")&amp;IF(INT(ROUND(INDEX('Liste outils'!$H$6:$H$130,IFERROR(MATCH(11,Calcul!$O$60:$O$184,0),0))*64,0)/64)&gt;0,INT(ROUND(INDEX('Liste outils'!$H$6:$H$130,IFERROR(MATCH(11,Calcul!$O$60:$O$184,0),0))*64,0)/64)&amp;IF(MOD(ROUND(INDEX('Liste outils'!$H$6:$H$130,IFERROR(MATCH(11,Calcul!$O$60:$O$184,0),0))*64,0),64)&gt;0," ",""),"")&amp;IF(MOD(ROUND(INDEX('Liste outils'!$H$6:$H$130,IFERROR(MATCH(11,Calcul!$O$60:$O$184,0),0))*64,0),64)&gt;0,MOD(ROUND(INDEX('Liste outils'!$H$6:$H$130,IFERROR(MATCH(11,Calcul!$O$60:$O$184,0),0))*64,0),64)/GCD(MOD(ROUND(INDEX('Liste outils'!$H$6:$H$130,IFERROR(MATCH(11,Calcul!$O$60:$O$184,0),0))*64,0),64),64)&amp;"/"&amp;64/GCD(MOD(ROUND(INDEX('Liste outils'!$H$6:$H$130,IFERROR(MATCH(11,Calcul!$O$60:$O$184,0),0))*64,0),64),64),IF(ROUND(INDEX('Liste outils'!$H$6:$H$130,IFERROR(MATCH(11,Calcul!$O$60:$O$184,0),0))*64,0)=0,"0",""))&amp;""""))&amp;" · "&amp;FIXED(INDEX('Liste outils'!$H$6:$H$130,IFERROR(MATCH(11,Calcul!$O$60:$O$184,0),0)),4,TRUE())&amp;" po · "&amp;FIXED(INDEX('Liste outils'!$H$6:$H$130,IFERROR(MATCH(11,Calcul!$O$60:$O$184,0),0))*25.4,3,TRUE())&amp;" mm"),""))</f>
        <v/>
      </c>
      <c r="E72" s="25" t="str">
        <f aca="false">IF(IFERROR(MATCH(11,Calcul!$O$60:$O$184,0),0)=0,"",INDEX('Liste outils'!$AB$6:$AB$130,IFERROR(MATCH(11,Calcul!$O$60:$O$184,0),0))&amp;"")</f>
        <v/>
      </c>
      <c r="F72" s="25" t="str">
        <f aca="false">IF(IFERROR(MATCH(11,Calcul!$O$60:$O$184,0),0)=0,"",INDEX('Liste outils'!$O$6:$O$130,IFERROR(MATCH(11,Calcul!$O$60:$O$184,0),0))&amp;"")</f>
        <v/>
      </c>
      <c r="G72" s="25" t="str">
        <f aca="false">IF(IFERROR(MATCH(11,Calcul!$O$60:$O$184,0),0)=0,"",INDEX('Liste outils'!$AC$6:$AC$130,IFERROR(MATCH(11,Calcul!$O$60:$O$184,0),0))&amp;"")</f>
        <v/>
      </c>
    </row>
    <row r="73" customFormat="false" ht="15" hidden="false" customHeight="false" outlineLevel="0" collapsed="false">
      <c r="A73" s="24" t="str">
        <f aca="false">IF(IFERROR(MATCH(12,Calcul!$O$60:$O$184,0),0)=0,"",INDEX('Liste outils'!$B$6:$B$130,IFERROR(MATCH(12,Calcul!$O$60:$O$184,0),0))&amp;"")</f>
        <v/>
      </c>
      <c r="B73" s="25" t="str">
        <f aca="false">IF(IFERROR(MATCH(12,Calcul!$O$60:$O$184,0),0)=0,"",INDEX('Liste outils'!$C$6:$C$130,IFERROR(MATCH(12,Calcul!$O$60:$O$184,0),0))&amp;"")</f>
        <v/>
      </c>
      <c r="C73" s="25" t="str">
        <f aca="false">IF(IFERROR(MATCH(12,Calcul!$O$60:$O$184,0),0)=0,"",INDEX('Liste outils'!$J$6:$J$130,IFERROR(MATCH(12,Calcul!$O$60:$O$184,0),0))&amp;"")</f>
        <v/>
      </c>
      <c r="D73" s="25" t="str">
        <f aca="false">IF(IFERROR(MATCH(12,Calcul!$O$60:$O$184,0),0)=0,"",IF(ISNUMBER(INDEX('Liste outils'!$H$6:$H$130,IFERROR(MATCH(12,Calcul!$O$60:$O$184,0),0))),IF(NOT(ISNUMBER(INDEX('Liste outils'!$H$6:$H$130,IFERROR(MATCH(12,Calcul!$O$60:$O$184,0),0)))),"",IF(NOT(ISNUMBER(INDEX('Liste outils'!$H$6:$H$130,IFERROR(MATCH(12,Calcul!$O$60:$O$184,0),0)))),"",IF(INDEX('Liste outils'!$H$6:$H$130,IFERROR(MATCH(12,Calcul!$O$60:$O$184,0),0))&lt;=0,"",IF(ABS(INDEX('Liste outils'!$H$6:$H$130,IFERROR(MATCH(12,Calcul!$O$60:$O$184,0),0))*64-ROUND(INDEX('Liste outils'!$H$6:$H$130,IFERROR(MATCH(12,Calcul!$O$60:$O$184,0),0))*64,0))&gt;0.0005,"≈ ","")&amp;IF(INT(ROUND(INDEX('Liste outils'!$H$6:$H$130,IFERROR(MATCH(12,Calcul!$O$60:$O$184,0),0))*64,0)/64)&gt;0,INT(ROUND(INDEX('Liste outils'!$H$6:$H$130,IFERROR(MATCH(12,Calcul!$O$60:$O$184,0),0))*64,0)/64)&amp;IF(MOD(ROUND(INDEX('Liste outils'!$H$6:$H$130,IFERROR(MATCH(12,Calcul!$O$60:$O$184,0),0))*64,0),64)&gt;0," ",""),"")&amp;IF(MOD(ROUND(INDEX('Liste outils'!$H$6:$H$130,IFERROR(MATCH(12,Calcul!$O$60:$O$184,0),0))*64,0),64)&gt;0,MOD(ROUND(INDEX('Liste outils'!$H$6:$H$130,IFERROR(MATCH(12,Calcul!$O$60:$O$184,0),0))*64,0),64)/GCD(MOD(ROUND(INDEX('Liste outils'!$H$6:$H$130,IFERROR(MATCH(12,Calcul!$O$60:$O$184,0),0))*64,0),64),64)&amp;"/"&amp;64/GCD(MOD(ROUND(INDEX('Liste outils'!$H$6:$H$130,IFERROR(MATCH(12,Calcul!$O$60:$O$184,0),0))*64,0),64),64),IF(ROUND(INDEX('Liste outils'!$H$6:$H$130,IFERROR(MATCH(12,Calcul!$O$60:$O$184,0),0))*64,0)=0,"0",""))&amp;""""))&amp;" · "&amp;FIXED(INDEX('Liste outils'!$H$6:$H$130,IFERROR(MATCH(12,Calcul!$O$60:$O$184,0),0)),4,TRUE())&amp;" po · "&amp;FIXED(INDEX('Liste outils'!$H$6:$H$130,IFERROR(MATCH(12,Calcul!$O$60:$O$184,0),0))*25.4,3,TRUE())&amp;" mm"),""))</f>
        <v/>
      </c>
      <c r="E73" s="25" t="str">
        <f aca="false">IF(IFERROR(MATCH(12,Calcul!$O$60:$O$184,0),0)=0,"",INDEX('Liste outils'!$AB$6:$AB$130,IFERROR(MATCH(12,Calcul!$O$60:$O$184,0),0))&amp;"")</f>
        <v/>
      </c>
      <c r="F73" s="25" t="str">
        <f aca="false">IF(IFERROR(MATCH(12,Calcul!$O$60:$O$184,0),0)=0,"",INDEX('Liste outils'!$O$6:$O$130,IFERROR(MATCH(12,Calcul!$O$60:$O$184,0),0))&amp;"")</f>
        <v/>
      </c>
      <c r="G73" s="25" t="str">
        <f aca="false">IF(IFERROR(MATCH(12,Calcul!$O$60:$O$184,0),0)=0,"",INDEX('Liste outils'!$AC$6:$AC$130,IFERROR(MATCH(12,Calcul!$O$60:$O$184,0),0))&amp;"")</f>
        <v/>
      </c>
    </row>
    <row r="74" customFormat="false" ht="15" hidden="false" customHeight="false" outlineLevel="0" collapsed="false">
      <c r="A74" s="24" t="str">
        <f aca="false">IF(IFERROR(MATCH(13,Calcul!$O$60:$O$184,0),0)=0,"",INDEX('Liste outils'!$B$6:$B$130,IFERROR(MATCH(13,Calcul!$O$60:$O$184,0),0))&amp;"")</f>
        <v/>
      </c>
      <c r="B74" s="25" t="str">
        <f aca="false">IF(IFERROR(MATCH(13,Calcul!$O$60:$O$184,0),0)=0,"",INDEX('Liste outils'!$C$6:$C$130,IFERROR(MATCH(13,Calcul!$O$60:$O$184,0),0))&amp;"")</f>
        <v/>
      </c>
      <c r="C74" s="25" t="str">
        <f aca="false">IF(IFERROR(MATCH(13,Calcul!$O$60:$O$184,0),0)=0,"",INDEX('Liste outils'!$J$6:$J$130,IFERROR(MATCH(13,Calcul!$O$60:$O$184,0),0))&amp;"")</f>
        <v/>
      </c>
      <c r="D74" s="25" t="str">
        <f aca="false">IF(IFERROR(MATCH(13,Calcul!$O$60:$O$184,0),0)=0,"",IF(ISNUMBER(INDEX('Liste outils'!$H$6:$H$130,IFERROR(MATCH(13,Calcul!$O$60:$O$184,0),0))),IF(NOT(ISNUMBER(INDEX('Liste outils'!$H$6:$H$130,IFERROR(MATCH(13,Calcul!$O$60:$O$184,0),0)))),"",IF(NOT(ISNUMBER(INDEX('Liste outils'!$H$6:$H$130,IFERROR(MATCH(13,Calcul!$O$60:$O$184,0),0)))),"",IF(INDEX('Liste outils'!$H$6:$H$130,IFERROR(MATCH(13,Calcul!$O$60:$O$184,0),0))&lt;=0,"",IF(ABS(INDEX('Liste outils'!$H$6:$H$130,IFERROR(MATCH(13,Calcul!$O$60:$O$184,0),0))*64-ROUND(INDEX('Liste outils'!$H$6:$H$130,IFERROR(MATCH(13,Calcul!$O$60:$O$184,0),0))*64,0))&gt;0.0005,"≈ ","")&amp;IF(INT(ROUND(INDEX('Liste outils'!$H$6:$H$130,IFERROR(MATCH(13,Calcul!$O$60:$O$184,0),0))*64,0)/64)&gt;0,INT(ROUND(INDEX('Liste outils'!$H$6:$H$130,IFERROR(MATCH(13,Calcul!$O$60:$O$184,0),0))*64,0)/64)&amp;IF(MOD(ROUND(INDEX('Liste outils'!$H$6:$H$130,IFERROR(MATCH(13,Calcul!$O$60:$O$184,0),0))*64,0),64)&gt;0," ",""),"")&amp;IF(MOD(ROUND(INDEX('Liste outils'!$H$6:$H$130,IFERROR(MATCH(13,Calcul!$O$60:$O$184,0),0))*64,0),64)&gt;0,MOD(ROUND(INDEX('Liste outils'!$H$6:$H$130,IFERROR(MATCH(13,Calcul!$O$60:$O$184,0),0))*64,0),64)/GCD(MOD(ROUND(INDEX('Liste outils'!$H$6:$H$130,IFERROR(MATCH(13,Calcul!$O$60:$O$184,0),0))*64,0),64),64)&amp;"/"&amp;64/GCD(MOD(ROUND(INDEX('Liste outils'!$H$6:$H$130,IFERROR(MATCH(13,Calcul!$O$60:$O$184,0),0))*64,0),64),64),IF(ROUND(INDEX('Liste outils'!$H$6:$H$130,IFERROR(MATCH(13,Calcul!$O$60:$O$184,0),0))*64,0)=0,"0",""))&amp;""""))&amp;" · "&amp;FIXED(INDEX('Liste outils'!$H$6:$H$130,IFERROR(MATCH(13,Calcul!$O$60:$O$184,0),0)),4,TRUE())&amp;" po · "&amp;FIXED(INDEX('Liste outils'!$H$6:$H$130,IFERROR(MATCH(13,Calcul!$O$60:$O$184,0),0))*25.4,3,TRUE())&amp;" mm"),""))</f>
        <v/>
      </c>
      <c r="E74" s="25" t="str">
        <f aca="false">IF(IFERROR(MATCH(13,Calcul!$O$60:$O$184,0),0)=0,"",INDEX('Liste outils'!$AB$6:$AB$130,IFERROR(MATCH(13,Calcul!$O$60:$O$184,0),0))&amp;"")</f>
        <v/>
      </c>
      <c r="F74" s="25" t="str">
        <f aca="false">IF(IFERROR(MATCH(13,Calcul!$O$60:$O$184,0),0)=0,"",INDEX('Liste outils'!$O$6:$O$130,IFERROR(MATCH(13,Calcul!$O$60:$O$184,0),0))&amp;"")</f>
        <v/>
      </c>
      <c r="G74" s="25" t="str">
        <f aca="false">IF(IFERROR(MATCH(13,Calcul!$O$60:$O$184,0),0)=0,"",INDEX('Liste outils'!$AC$6:$AC$130,IFERROR(MATCH(13,Calcul!$O$60:$O$184,0),0))&amp;"")</f>
        <v/>
      </c>
    </row>
    <row r="75" customFormat="false" ht="15" hidden="false" customHeight="false" outlineLevel="0" collapsed="false">
      <c r="A75" s="24" t="str">
        <f aca="false">IF(IFERROR(MATCH(14,Calcul!$O$60:$O$184,0),0)=0,"",INDEX('Liste outils'!$B$6:$B$130,IFERROR(MATCH(14,Calcul!$O$60:$O$184,0),0))&amp;"")</f>
        <v/>
      </c>
      <c r="B75" s="25" t="str">
        <f aca="false">IF(IFERROR(MATCH(14,Calcul!$O$60:$O$184,0),0)=0,"",INDEX('Liste outils'!$C$6:$C$130,IFERROR(MATCH(14,Calcul!$O$60:$O$184,0),0))&amp;"")</f>
        <v/>
      </c>
      <c r="C75" s="25" t="str">
        <f aca="false">IF(IFERROR(MATCH(14,Calcul!$O$60:$O$184,0),0)=0,"",INDEX('Liste outils'!$J$6:$J$130,IFERROR(MATCH(14,Calcul!$O$60:$O$184,0),0))&amp;"")</f>
        <v/>
      </c>
      <c r="D75" s="25" t="str">
        <f aca="false">IF(IFERROR(MATCH(14,Calcul!$O$60:$O$184,0),0)=0,"",IF(ISNUMBER(INDEX('Liste outils'!$H$6:$H$130,IFERROR(MATCH(14,Calcul!$O$60:$O$184,0),0))),IF(NOT(ISNUMBER(INDEX('Liste outils'!$H$6:$H$130,IFERROR(MATCH(14,Calcul!$O$60:$O$184,0),0)))),"",IF(NOT(ISNUMBER(INDEX('Liste outils'!$H$6:$H$130,IFERROR(MATCH(14,Calcul!$O$60:$O$184,0),0)))),"",IF(INDEX('Liste outils'!$H$6:$H$130,IFERROR(MATCH(14,Calcul!$O$60:$O$184,0),0))&lt;=0,"",IF(ABS(INDEX('Liste outils'!$H$6:$H$130,IFERROR(MATCH(14,Calcul!$O$60:$O$184,0),0))*64-ROUND(INDEX('Liste outils'!$H$6:$H$130,IFERROR(MATCH(14,Calcul!$O$60:$O$184,0),0))*64,0))&gt;0.0005,"≈ ","")&amp;IF(INT(ROUND(INDEX('Liste outils'!$H$6:$H$130,IFERROR(MATCH(14,Calcul!$O$60:$O$184,0),0))*64,0)/64)&gt;0,INT(ROUND(INDEX('Liste outils'!$H$6:$H$130,IFERROR(MATCH(14,Calcul!$O$60:$O$184,0),0))*64,0)/64)&amp;IF(MOD(ROUND(INDEX('Liste outils'!$H$6:$H$130,IFERROR(MATCH(14,Calcul!$O$60:$O$184,0),0))*64,0),64)&gt;0," ",""),"")&amp;IF(MOD(ROUND(INDEX('Liste outils'!$H$6:$H$130,IFERROR(MATCH(14,Calcul!$O$60:$O$184,0),0))*64,0),64)&gt;0,MOD(ROUND(INDEX('Liste outils'!$H$6:$H$130,IFERROR(MATCH(14,Calcul!$O$60:$O$184,0),0))*64,0),64)/GCD(MOD(ROUND(INDEX('Liste outils'!$H$6:$H$130,IFERROR(MATCH(14,Calcul!$O$60:$O$184,0),0))*64,0),64),64)&amp;"/"&amp;64/GCD(MOD(ROUND(INDEX('Liste outils'!$H$6:$H$130,IFERROR(MATCH(14,Calcul!$O$60:$O$184,0),0))*64,0),64),64),IF(ROUND(INDEX('Liste outils'!$H$6:$H$130,IFERROR(MATCH(14,Calcul!$O$60:$O$184,0),0))*64,0)=0,"0",""))&amp;""""))&amp;" · "&amp;FIXED(INDEX('Liste outils'!$H$6:$H$130,IFERROR(MATCH(14,Calcul!$O$60:$O$184,0),0)),4,TRUE())&amp;" po · "&amp;FIXED(INDEX('Liste outils'!$H$6:$H$130,IFERROR(MATCH(14,Calcul!$O$60:$O$184,0),0))*25.4,3,TRUE())&amp;" mm"),""))</f>
        <v/>
      </c>
      <c r="E75" s="25" t="str">
        <f aca="false">IF(IFERROR(MATCH(14,Calcul!$O$60:$O$184,0),0)=0,"",INDEX('Liste outils'!$AB$6:$AB$130,IFERROR(MATCH(14,Calcul!$O$60:$O$184,0),0))&amp;"")</f>
        <v/>
      </c>
      <c r="F75" s="25" t="str">
        <f aca="false">IF(IFERROR(MATCH(14,Calcul!$O$60:$O$184,0),0)=0,"",INDEX('Liste outils'!$O$6:$O$130,IFERROR(MATCH(14,Calcul!$O$60:$O$184,0),0))&amp;"")</f>
        <v/>
      </c>
      <c r="G75" s="25" t="str">
        <f aca="false">IF(IFERROR(MATCH(14,Calcul!$O$60:$O$184,0),0)=0,"",INDEX('Liste outils'!$AC$6:$AC$130,IFERROR(MATCH(14,Calcul!$O$60:$O$184,0),0))&amp;"")</f>
        <v/>
      </c>
    </row>
    <row r="76" customFormat="false" ht="15" hidden="false" customHeight="false" outlineLevel="0" collapsed="false">
      <c r="A76" s="24" t="str">
        <f aca="false">IF(IFERROR(MATCH(15,Calcul!$O$60:$O$184,0),0)=0,"",INDEX('Liste outils'!$B$6:$B$130,IFERROR(MATCH(15,Calcul!$O$60:$O$184,0),0))&amp;"")</f>
        <v/>
      </c>
      <c r="B76" s="25" t="str">
        <f aca="false">IF(IFERROR(MATCH(15,Calcul!$O$60:$O$184,0),0)=0,"",INDEX('Liste outils'!$C$6:$C$130,IFERROR(MATCH(15,Calcul!$O$60:$O$184,0),0))&amp;"")</f>
        <v/>
      </c>
      <c r="C76" s="25" t="str">
        <f aca="false">IF(IFERROR(MATCH(15,Calcul!$O$60:$O$184,0),0)=0,"",INDEX('Liste outils'!$J$6:$J$130,IFERROR(MATCH(15,Calcul!$O$60:$O$184,0),0))&amp;"")</f>
        <v/>
      </c>
      <c r="D76" s="25" t="str">
        <f aca="false">IF(IFERROR(MATCH(15,Calcul!$O$60:$O$184,0),0)=0,"",IF(ISNUMBER(INDEX('Liste outils'!$H$6:$H$130,IFERROR(MATCH(15,Calcul!$O$60:$O$184,0),0))),IF(NOT(ISNUMBER(INDEX('Liste outils'!$H$6:$H$130,IFERROR(MATCH(15,Calcul!$O$60:$O$184,0),0)))),"",IF(NOT(ISNUMBER(INDEX('Liste outils'!$H$6:$H$130,IFERROR(MATCH(15,Calcul!$O$60:$O$184,0),0)))),"",IF(INDEX('Liste outils'!$H$6:$H$130,IFERROR(MATCH(15,Calcul!$O$60:$O$184,0),0))&lt;=0,"",IF(ABS(INDEX('Liste outils'!$H$6:$H$130,IFERROR(MATCH(15,Calcul!$O$60:$O$184,0),0))*64-ROUND(INDEX('Liste outils'!$H$6:$H$130,IFERROR(MATCH(15,Calcul!$O$60:$O$184,0),0))*64,0))&gt;0.0005,"≈ ","")&amp;IF(INT(ROUND(INDEX('Liste outils'!$H$6:$H$130,IFERROR(MATCH(15,Calcul!$O$60:$O$184,0),0))*64,0)/64)&gt;0,INT(ROUND(INDEX('Liste outils'!$H$6:$H$130,IFERROR(MATCH(15,Calcul!$O$60:$O$184,0),0))*64,0)/64)&amp;IF(MOD(ROUND(INDEX('Liste outils'!$H$6:$H$130,IFERROR(MATCH(15,Calcul!$O$60:$O$184,0),0))*64,0),64)&gt;0," ",""),"")&amp;IF(MOD(ROUND(INDEX('Liste outils'!$H$6:$H$130,IFERROR(MATCH(15,Calcul!$O$60:$O$184,0),0))*64,0),64)&gt;0,MOD(ROUND(INDEX('Liste outils'!$H$6:$H$130,IFERROR(MATCH(15,Calcul!$O$60:$O$184,0),0))*64,0),64)/GCD(MOD(ROUND(INDEX('Liste outils'!$H$6:$H$130,IFERROR(MATCH(15,Calcul!$O$60:$O$184,0),0))*64,0),64),64)&amp;"/"&amp;64/GCD(MOD(ROUND(INDEX('Liste outils'!$H$6:$H$130,IFERROR(MATCH(15,Calcul!$O$60:$O$184,0),0))*64,0),64),64),IF(ROUND(INDEX('Liste outils'!$H$6:$H$130,IFERROR(MATCH(15,Calcul!$O$60:$O$184,0),0))*64,0)=0,"0",""))&amp;""""))&amp;" · "&amp;FIXED(INDEX('Liste outils'!$H$6:$H$130,IFERROR(MATCH(15,Calcul!$O$60:$O$184,0),0)),4,TRUE())&amp;" po · "&amp;FIXED(INDEX('Liste outils'!$H$6:$H$130,IFERROR(MATCH(15,Calcul!$O$60:$O$184,0),0))*25.4,3,TRUE())&amp;" mm"),""))</f>
        <v/>
      </c>
      <c r="E76" s="25" t="str">
        <f aca="false">IF(IFERROR(MATCH(15,Calcul!$O$60:$O$184,0),0)=0,"",INDEX('Liste outils'!$AB$6:$AB$130,IFERROR(MATCH(15,Calcul!$O$60:$O$184,0),0))&amp;"")</f>
        <v/>
      </c>
      <c r="F76" s="25" t="str">
        <f aca="false">IF(IFERROR(MATCH(15,Calcul!$O$60:$O$184,0),0)=0,"",INDEX('Liste outils'!$O$6:$O$130,IFERROR(MATCH(15,Calcul!$O$60:$O$184,0),0))&amp;"")</f>
        <v/>
      </c>
      <c r="G76" s="25" t="str">
        <f aca="false">IF(IFERROR(MATCH(15,Calcul!$O$60:$O$184,0),0)=0,"",INDEX('Liste outils'!$AC$6:$AC$130,IFERROR(MATCH(15,Calcul!$O$60:$O$184,0),0))&amp;"")</f>
        <v/>
      </c>
    </row>
    <row r="77" customFormat="false" ht="15" hidden="false" customHeight="false" outlineLevel="0" collapsed="false">
      <c r="A77" s="24" t="str">
        <f aca="false">IF(IFERROR(MATCH(16,Calcul!$O$60:$O$184,0),0)=0,"",INDEX('Liste outils'!$B$6:$B$130,IFERROR(MATCH(16,Calcul!$O$60:$O$184,0),0))&amp;"")</f>
        <v/>
      </c>
      <c r="B77" s="25" t="str">
        <f aca="false">IF(IFERROR(MATCH(16,Calcul!$O$60:$O$184,0),0)=0,"",INDEX('Liste outils'!$C$6:$C$130,IFERROR(MATCH(16,Calcul!$O$60:$O$184,0),0))&amp;"")</f>
        <v/>
      </c>
      <c r="C77" s="25" t="str">
        <f aca="false">IF(IFERROR(MATCH(16,Calcul!$O$60:$O$184,0),0)=0,"",INDEX('Liste outils'!$J$6:$J$130,IFERROR(MATCH(16,Calcul!$O$60:$O$184,0),0))&amp;"")</f>
        <v/>
      </c>
      <c r="D77" s="25" t="str">
        <f aca="false">IF(IFERROR(MATCH(16,Calcul!$O$60:$O$184,0),0)=0,"",IF(ISNUMBER(INDEX('Liste outils'!$H$6:$H$130,IFERROR(MATCH(16,Calcul!$O$60:$O$184,0),0))),IF(NOT(ISNUMBER(INDEX('Liste outils'!$H$6:$H$130,IFERROR(MATCH(16,Calcul!$O$60:$O$184,0),0)))),"",IF(NOT(ISNUMBER(INDEX('Liste outils'!$H$6:$H$130,IFERROR(MATCH(16,Calcul!$O$60:$O$184,0),0)))),"",IF(INDEX('Liste outils'!$H$6:$H$130,IFERROR(MATCH(16,Calcul!$O$60:$O$184,0),0))&lt;=0,"",IF(ABS(INDEX('Liste outils'!$H$6:$H$130,IFERROR(MATCH(16,Calcul!$O$60:$O$184,0),0))*64-ROUND(INDEX('Liste outils'!$H$6:$H$130,IFERROR(MATCH(16,Calcul!$O$60:$O$184,0),0))*64,0))&gt;0.0005,"≈ ","")&amp;IF(INT(ROUND(INDEX('Liste outils'!$H$6:$H$130,IFERROR(MATCH(16,Calcul!$O$60:$O$184,0),0))*64,0)/64)&gt;0,INT(ROUND(INDEX('Liste outils'!$H$6:$H$130,IFERROR(MATCH(16,Calcul!$O$60:$O$184,0),0))*64,0)/64)&amp;IF(MOD(ROUND(INDEX('Liste outils'!$H$6:$H$130,IFERROR(MATCH(16,Calcul!$O$60:$O$184,0),0))*64,0),64)&gt;0," ",""),"")&amp;IF(MOD(ROUND(INDEX('Liste outils'!$H$6:$H$130,IFERROR(MATCH(16,Calcul!$O$60:$O$184,0),0))*64,0),64)&gt;0,MOD(ROUND(INDEX('Liste outils'!$H$6:$H$130,IFERROR(MATCH(16,Calcul!$O$60:$O$184,0),0))*64,0),64)/GCD(MOD(ROUND(INDEX('Liste outils'!$H$6:$H$130,IFERROR(MATCH(16,Calcul!$O$60:$O$184,0),0))*64,0),64),64)&amp;"/"&amp;64/GCD(MOD(ROUND(INDEX('Liste outils'!$H$6:$H$130,IFERROR(MATCH(16,Calcul!$O$60:$O$184,0),0))*64,0),64),64),IF(ROUND(INDEX('Liste outils'!$H$6:$H$130,IFERROR(MATCH(16,Calcul!$O$60:$O$184,0),0))*64,0)=0,"0",""))&amp;""""))&amp;" · "&amp;FIXED(INDEX('Liste outils'!$H$6:$H$130,IFERROR(MATCH(16,Calcul!$O$60:$O$184,0),0)),4,TRUE())&amp;" po · "&amp;FIXED(INDEX('Liste outils'!$H$6:$H$130,IFERROR(MATCH(16,Calcul!$O$60:$O$184,0),0))*25.4,3,TRUE())&amp;" mm"),""))</f>
        <v/>
      </c>
      <c r="E77" s="25" t="str">
        <f aca="false">IF(IFERROR(MATCH(16,Calcul!$O$60:$O$184,0),0)=0,"",INDEX('Liste outils'!$AB$6:$AB$130,IFERROR(MATCH(16,Calcul!$O$60:$O$184,0),0))&amp;"")</f>
        <v/>
      </c>
      <c r="F77" s="25" t="str">
        <f aca="false">IF(IFERROR(MATCH(16,Calcul!$O$60:$O$184,0),0)=0,"",INDEX('Liste outils'!$O$6:$O$130,IFERROR(MATCH(16,Calcul!$O$60:$O$184,0),0))&amp;"")</f>
        <v/>
      </c>
      <c r="G77" s="25" t="str">
        <f aca="false">IF(IFERROR(MATCH(16,Calcul!$O$60:$O$184,0),0)=0,"",INDEX('Liste outils'!$AC$6:$AC$130,IFERROR(MATCH(16,Calcul!$O$60:$O$184,0),0))&amp;"")</f>
        <v/>
      </c>
    </row>
  </sheetData>
  <mergeCells count="1">
    <mergeCell ref="B11:F11"/>
  </mergeCells>
  <dataValidations count="2">
    <dataValidation allowBlank="false" errorStyle="stop" operator="between" showDropDown="false" showErrorMessage="false" showInputMessage="false" sqref="B5" type="list">
      <formula1>"Fraction,Décimal,mm"</formula1>
      <formula2>0</formula2>
    </dataValidation>
    <dataValidation allowBlank="false" errorStyle="stop" operator="between" showDropDown="false" showErrorMessage="false" showInputMessage="false" sqref="B6" type="list">
      <formula1>"1/8,1/16,1/32,1/64"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22"/>
    <col collapsed="false" customWidth="true" hidden="false" outlineLevel="0" max="3" min="3" style="0" width="11"/>
    <col collapsed="false" customWidth="true" hidden="false" outlineLevel="0" max="4" min="4" style="0" width="12"/>
    <col collapsed="false" customWidth="true" hidden="false" outlineLevel="0" max="7" min="5" style="0" width="30"/>
    <col collapsed="false" customWidth="true" hidden="false" outlineLevel="0" max="8" min="8" style="0" width="8"/>
    <col collapsed="false" customWidth="true" hidden="false" outlineLevel="0" max="9" min="9" style="0" width="30"/>
    <col collapsed="false" customWidth="true" hidden="false" outlineLevel="0" max="10" min="10" style="0" width="11"/>
    <col collapsed="false" customWidth="true" hidden="false" outlineLevel="0" max="12" min="11" style="0" width="13"/>
    <col collapsed="false" customWidth="true" hidden="false" outlineLevel="0" max="15" min="13" style="0" width="11"/>
    <col collapsed="false" customWidth="true" hidden="false" outlineLevel="0" max="17" min="16" style="0" width="13"/>
    <col collapsed="false" customWidth="true" hidden="false" outlineLevel="0" max="19" min="18" style="0" width="14"/>
    <col collapsed="false" customWidth="true" hidden="false" outlineLevel="0" max="20" min="20" style="0" width="15"/>
    <col collapsed="false" customWidth="true" hidden="false" outlineLevel="0" max="21" min="21" style="0" width="12"/>
    <col collapsed="false" customWidth="true" hidden="false" outlineLevel="0" max="22" min="22" style="0" width="28"/>
  </cols>
  <sheetData>
    <row r="1" customFormat="false" ht="19.7" hidden="false" customHeight="false" outlineLevel="0" collapsed="false">
      <c r="A1" s="1" t="s">
        <v>33</v>
      </c>
    </row>
    <row r="2" customFormat="false" ht="15" hidden="false" customHeight="false" outlineLevel="0" collapsed="false">
      <c r="A2" s="2" t="s">
        <v>34</v>
      </c>
    </row>
    <row r="4" customFormat="false" ht="15" hidden="false" customHeight="false" outlineLevel="0" collapsed="false">
      <c r="A4" s="3" t="s">
        <v>35</v>
      </c>
      <c r="B4" s="5" t="s">
        <v>36</v>
      </c>
    </row>
    <row r="5" customFormat="false" ht="15" hidden="false" customHeight="false" outlineLevel="0" collapsed="false">
      <c r="A5" s="3" t="s">
        <v>37</v>
      </c>
      <c r="B5" s="5" t="s">
        <v>38</v>
      </c>
    </row>
    <row r="6" customFormat="false" ht="15" hidden="false" customHeight="false" outlineLevel="0" collapsed="false">
      <c r="A6" s="3" t="s">
        <v>39</v>
      </c>
      <c r="B6" s="5" t="s">
        <v>40</v>
      </c>
      <c r="C6" s="2" t="s">
        <v>41</v>
      </c>
    </row>
    <row r="7" customFormat="false" ht="15" hidden="false" customHeight="false" outlineLevel="0" collapsed="false">
      <c r="A7" s="3" t="s">
        <v>42</v>
      </c>
      <c r="B7" s="4" t="s">
        <v>43</v>
      </c>
      <c r="C7" s="2" t="s">
        <v>44</v>
      </c>
    </row>
    <row r="8" customFormat="false" ht="15" hidden="false" customHeight="false" outlineLevel="0" collapsed="false">
      <c r="A8" s="3" t="s">
        <v>45</v>
      </c>
      <c r="B8" s="5" t="s">
        <v>6</v>
      </c>
      <c r="C8" s="26" t="str">
        <f aca="false">IF(Calcul!$I$10&gt;0,"Épaisseur : "&amp;IF(NOT(ISNUMBER(Calcul!$I$10)),"",IF(NOT(ISNUMBER(Calcul!$I$10)),"",IF(Calcul!$I$10&lt;=0,"",IF(ABS(Calcul!$I$10*64-ROUND(Calcul!$I$10*64,0))&gt;0.0005,"≈ ","")&amp;IF(INT(ROUND(Calcul!$I$10*64,0)/64)&gt;0,INT(ROUND(Calcul!$I$10*64,0)/64)&amp;IF(MOD(ROUND(Calcul!$I$10*64,0),64)&gt;0," ",""),"")&amp;IF(MOD(ROUND(Calcul!$I$10*64,0),64)&gt;0,MOD(ROUND(Calcul!$I$10*64,0),64)/GCD(MOD(ROUND(Calcul!$I$10*64,0),64),64)&amp;"/"&amp;64/GCD(MOD(ROUND(Calcul!$I$10*64,0),64),64),IF(ROUND(Calcul!$I$10*64,0)=0,"0",""))&amp;""""))&amp;" · "&amp;FIXED(Calcul!$I$10,4,TRUE())&amp;" po · "&amp;FIXED(Calcul!$I$10*25.4,3,TRUE())&amp;" mm"),"Entre une épaisseur")</f>
        <v>Épaisseur : 1/2" · 0.5000 po · 12.700 mm</v>
      </c>
    </row>
    <row r="10" customFormat="false" ht="16.15" hidden="false" customHeight="false" outlineLevel="0" collapsed="false">
      <c r="A10" s="27" t="s">
        <v>46</v>
      </c>
    </row>
    <row r="11" customFormat="false" ht="15" hidden="false" customHeight="false" outlineLevel="0" collapsed="false">
      <c r="A11" s="2" t="str">
        <f aca="false">IF(Calcul!$I$10&gt;0,"Fraises dont la LOC couvre l'épaisseur, une par diamètre d'abord, puis classées. Passes : jamais plus profond que le diamètre de l'outil.","Entre l'épaisseur pour vérifier la LOC et calculer les passes.")</f>
        <v>Fraises dont la LOC couvre l'épaisseur, une par diamètre d'abord, puis classées. Passes : jamais plus profond que le diamètre de l'outil.</v>
      </c>
    </row>
    <row r="13" customFormat="false" ht="39.55" hidden="false" customHeight="false" outlineLevel="0" collapsed="false">
      <c r="A13" s="12" t="s">
        <v>47</v>
      </c>
      <c r="B13" s="12" t="s">
        <v>48</v>
      </c>
      <c r="C13" s="12" t="s">
        <v>49</v>
      </c>
      <c r="D13" s="12" t="s">
        <v>28</v>
      </c>
      <c r="E13" s="12" t="s">
        <v>50</v>
      </c>
      <c r="F13" s="12" t="s">
        <v>29</v>
      </c>
      <c r="G13" s="12" t="s">
        <v>51</v>
      </c>
      <c r="H13" s="12" t="s">
        <v>52</v>
      </c>
      <c r="I13" s="12" t="s">
        <v>53</v>
      </c>
      <c r="J13" s="12" t="s">
        <v>54</v>
      </c>
      <c r="K13" s="12" t="s">
        <v>55</v>
      </c>
      <c r="L13" s="12" t="s">
        <v>56</v>
      </c>
      <c r="M13" s="12" t="s">
        <v>57</v>
      </c>
      <c r="N13" s="12" t="s">
        <v>58</v>
      </c>
      <c r="O13" s="12" t="s">
        <v>59</v>
      </c>
      <c r="P13" s="12" t="s">
        <v>60</v>
      </c>
      <c r="Q13" s="12" t="s">
        <v>61</v>
      </c>
      <c r="R13" s="12" t="s">
        <v>62</v>
      </c>
      <c r="S13" s="12" t="s">
        <v>63</v>
      </c>
      <c r="T13" s="12" t="s">
        <v>64</v>
      </c>
      <c r="U13" s="12" t="s">
        <v>30</v>
      </c>
      <c r="V13" s="12" t="s">
        <v>32</v>
      </c>
    </row>
    <row r="14" customFormat="false" ht="43.5" hidden="false" customHeight="true" outlineLevel="0" collapsed="false">
      <c r="A14" s="28" t="s">
        <v>65</v>
      </c>
      <c r="B14" s="29" t="str">
        <f aca="false">IF(Calcul!$BX$60=0,"",IF(INDEX(Calcul!$AU$60:$AU$110,Calcul!$BX$60)=1,"Estimation, à vérifier","Conforme Onsrud"))</f>
        <v>Conforme Onsrud</v>
      </c>
      <c r="C14" s="30" t="str">
        <f aca="false">IF(Calcul!$BX$60=0,"",INDEX(Calcul!$R$60:$R$110,Calcul!$BX$60))</f>
        <v>EM0043</v>
      </c>
      <c r="D14" s="29" t="str">
        <f aca="false">IF(Calcul!$BX$60=0,"",INDEX(Calcul!$W$60:$W$110,Calcul!$BX$60)&amp;"")</f>
        <v>Upcut</v>
      </c>
      <c r="E14" s="29" t="str">
        <f aca="false">IF(Calcul!$BX$60=0,"",IF(NOT(ISNUMBER(INDEX(Calcul!$S$60:$S$110,Calcul!$BX$60))),"",IF(NOT(ISNUMBER(INDEX(Calcul!$S$60:$S$110,Calcul!$BX$60))),"",IF(INDEX(Calcul!$S$60:$S$110,Calcul!$BX$60)&lt;=0,"",IF(ABS(INDEX(Calcul!$S$60:$S$110,Calcul!$BX$60)*64-ROUND(INDEX(Calcul!$S$60:$S$110,Calcul!$BX$60)*64,0))&gt;0.0005,"≈ ","")&amp;IF(INT(ROUND(INDEX(Calcul!$S$60:$S$110,Calcul!$BX$60)*64,0)/64)&gt;0,INT(ROUND(INDEX(Calcul!$S$60:$S$110,Calcul!$BX$60)*64,0)/64)&amp;IF(MOD(ROUND(INDEX(Calcul!$S$60:$S$110,Calcul!$BX$60)*64,0),64)&gt;0," ",""),"")&amp;IF(MOD(ROUND(INDEX(Calcul!$S$60:$S$110,Calcul!$BX$60)*64,0),64)&gt;0,MOD(ROUND(INDEX(Calcul!$S$60:$S$110,Calcul!$BX$60)*64,0),64)/GCD(MOD(ROUND(INDEX(Calcul!$S$60:$S$110,Calcul!$BX$60)*64,0),64),64)&amp;"/"&amp;64/GCD(MOD(ROUND(INDEX(Calcul!$S$60:$S$110,Calcul!$BX$60)*64,0),64),64),IF(ROUND(INDEX(Calcul!$S$60:$S$110,Calcul!$BX$60)*64,0)=0,"0",""))&amp;""""))&amp;" · "&amp;FIXED(INDEX(Calcul!$S$60:$S$110,Calcul!$BX$60),4,TRUE())&amp;" po · "&amp;FIXED(INDEX(Calcul!$S$60:$S$110,Calcul!$BX$60)*25.4,3,TRUE())&amp;" mm"))</f>
        <v>1/2" · 0.5000 po · 12.700 mm</v>
      </c>
      <c r="F14" s="29" t="str">
        <f aca="false">IF(Calcul!$BX$60=0,"",IF(NOT(ISNUMBER(INDEX(Calcul!$T$60:$T$110,Calcul!$BX$60))),"",IF(NOT(ISNUMBER(INDEX(Calcul!$T$60:$T$110,Calcul!$BX$60))),"",IF(INDEX(Calcul!$T$60:$T$110,Calcul!$BX$60)&lt;=0,"",IF(ABS(INDEX(Calcul!$T$60:$T$110,Calcul!$BX$60)*64-ROUND(INDEX(Calcul!$T$60:$T$110,Calcul!$BX$60)*64,0))&gt;0.0005,"≈ ","")&amp;IF(INT(ROUND(INDEX(Calcul!$T$60:$T$110,Calcul!$BX$60)*64,0)/64)&gt;0,INT(ROUND(INDEX(Calcul!$T$60:$T$110,Calcul!$BX$60)*64,0)/64)&amp;IF(MOD(ROUND(INDEX(Calcul!$T$60:$T$110,Calcul!$BX$60)*64,0),64)&gt;0," ",""),"")&amp;IF(MOD(ROUND(INDEX(Calcul!$T$60:$T$110,Calcul!$BX$60)*64,0),64)&gt;0,MOD(ROUND(INDEX(Calcul!$T$60:$T$110,Calcul!$BX$60)*64,0),64)/GCD(MOD(ROUND(INDEX(Calcul!$T$60:$T$110,Calcul!$BX$60)*64,0),64),64)&amp;"/"&amp;64/GCD(MOD(ROUND(INDEX(Calcul!$T$60:$T$110,Calcul!$BX$60)*64,0),64),64),IF(ROUND(INDEX(Calcul!$T$60:$T$110,Calcul!$BX$60)*64,0)=0,"0",""))&amp;""""))&amp;" · "&amp;FIXED(INDEX(Calcul!$T$60:$T$110,Calcul!$BX$60),4,TRUE())&amp;" po · "&amp;FIXED(INDEX(Calcul!$T$60:$T$110,Calcul!$BX$60)*25.4,3,TRUE())&amp;" mm"))</f>
        <v>7/8" · 0.8750 po · 22.225 mm</v>
      </c>
      <c r="G14" s="29" t="str">
        <f aca="false">IF(OR(Calcul!$BX$60=0,Calcul!$I$10&lt;=0),"",IF(ISNUMBER(INDEX(Calcul!$T$60:$T$110,Calcul!$BX$60)),IF(INDEX(Calcul!$T$60:$T$110,Calcul!$BX$60)-Calcul!$I$10&lt;0.0005,"pile l'épaisseur",IF(NOT(ISNUMBER((INDEX(Calcul!$T$60:$T$110,Calcul!$BX$60)-Calcul!$I$10))),"",IF(NOT(ISNUMBER((INDEX(Calcul!$T$60:$T$110,Calcul!$BX$60)-Calcul!$I$10))),"",IF((INDEX(Calcul!$T$60:$T$110,Calcul!$BX$60)-Calcul!$I$10)&lt;=0,"",IF(ABS((INDEX(Calcul!$T$60:$T$110,Calcul!$BX$60)-Calcul!$I$10)*64-ROUND((INDEX(Calcul!$T$60:$T$110,Calcul!$BX$60)-Calcul!$I$10)*64,0))&gt;0.0005,"≈ ","")&amp;IF(INT(ROUND((INDEX(Calcul!$T$60:$T$110,Calcul!$BX$60)-Calcul!$I$10)*64,0)/64)&gt;0,INT(ROUND((INDEX(Calcul!$T$60:$T$110,Calcul!$BX$60)-Calcul!$I$10)*64,0)/64)&amp;IF(MOD(ROUND((INDEX(Calcul!$T$60:$T$110,Calcul!$BX$60)-Calcul!$I$10)*64,0),64)&gt;0," ",""),"")&amp;IF(MOD(ROUND((INDEX(Calcul!$T$60:$T$110,Calcul!$BX$60)-Calcul!$I$10)*64,0),64)&gt;0,MOD(ROUND((INDEX(Calcul!$T$60:$T$110,Calcul!$BX$60)-Calcul!$I$10)*64,0),64)/GCD(MOD(ROUND((INDEX(Calcul!$T$60:$T$110,Calcul!$BX$60)-Calcul!$I$10)*64,0),64),64)&amp;"/"&amp;64/GCD(MOD(ROUND((INDEX(Calcul!$T$60:$T$110,Calcul!$BX$60)-Calcul!$I$10)*64,0),64),64),IF(ROUND((INDEX(Calcul!$T$60:$T$110,Calcul!$BX$60)-Calcul!$I$10)*64,0)=0,"0",""))&amp;""""))&amp;" · "&amp;FIXED((INDEX(Calcul!$T$60:$T$110,Calcul!$BX$60)-Calcul!$I$10),4,TRUE())&amp;" po · "&amp;FIXED((INDEX(Calcul!$T$60:$T$110,Calcul!$BX$60)-Calcul!$I$10)*25.4,3,TRUE())&amp;" mm")),""))</f>
        <v>3/8" · 0.3750 po · 9.525 mm</v>
      </c>
      <c r="H14" s="29" t="n">
        <f aca="false">IF(Calcul!$BX$60=0,"",INDEX(Calcul!$AW$60:$AW$110,Calcul!$BX$60))</f>
        <v>1</v>
      </c>
      <c r="I14" s="29" t="str">
        <f aca="false">IF(OR(Calcul!$BX$60=0,Calcul!$I$10&lt;=0),"",IF(NOT(ISNUMBER(INDEX(Calcul!$AX$60:$AX$110,Calcul!$BX$60))),"",IF(NOT(ISNUMBER(INDEX(Calcul!$AX$60:$AX$110,Calcul!$BX$60))),"",IF(INDEX(Calcul!$AX$60:$AX$110,Calcul!$BX$60)&lt;=0,"",IF(ABS(INDEX(Calcul!$AX$60:$AX$110,Calcul!$BX$60)*64-ROUND(INDEX(Calcul!$AX$60:$AX$110,Calcul!$BX$60)*64,0))&gt;0.0005,"≈ ","")&amp;IF(INT(ROUND(INDEX(Calcul!$AX$60:$AX$110,Calcul!$BX$60)*64,0)/64)&gt;0,INT(ROUND(INDEX(Calcul!$AX$60:$AX$110,Calcul!$BX$60)*64,0)/64)&amp;IF(MOD(ROUND(INDEX(Calcul!$AX$60:$AX$110,Calcul!$BX$60)*64,0),64)&gt;0," ",""),"")&amp;IF(MOD(ROUND(INDEX(Calcul!$AX$60:$AX$110,Calcul!$BX$60)*64,0),64)&gt;0,MOD(ROUND(INDEX(Calcul!$AX$60:$AX$110,Calcul!$BX$60)*64,0),64)/GCD(MOD(ROUND(INDEX(Calcul!$AX$60:$AX$110,Calcul!$BX$60)*64,0),64),64)&amp;"/"&amp;64/GCD(MOD(ROUND(INDEX(Calcul!$AX$60:$AX$110,Calcul!$BX$60)*64,0),64),64),IF(ROUND(INDEX(Calcul!$AX$60:$AX$110,Calcul!$BX$60)*64,0)=0,"0",""))&amp;""""))&amp;" · "&amp;FIXED(INDEX(Calcul!$AX$60:$AX$110,Calcul!$BX$60),4,TRUE())&amp;" po · "&amp;FIXED(INDEX(Calcul!$AX$60:$AX$110,Calcul!$BX$60)*25.4,3,TRUE())&amp;" mm"))</f>
        <v>1/2" · 0.5000 po · 12.700 mm</v>
      </c>
      <c r="J14" s="31" t="n">
        <f aca="false">IF(Calcul!$BX$60=0,"",INDEX(Calcul!$BE$60:$BE$110,Calcul!$BX$60))</f>
        <v>20000</v>
      </c>
      <c r="K14" s="32" t="n">
        <f aca="false">IF(Calcul!$BX$60=0,"",ROUND(INDEX(Calcul!$BF$60:$BF$110,Calcul!$BX$60),0))</f>
        <v>280</v>
      </c>
      <c r="L14" s="31" t="n">
        <f aca="false">IF(Calcul!$BX$60=0,"",ROUND(INDEX(Calcul!$BF$60:$BF$110,Calcul!$BX$60)*25.4,0))</f>
        <v>7112</v>
      </c>
      <c r="M14" s="33" t="n">
        <f aca="false">IF(Calcul!$BX$60=0,"",INDEX(Calcul!$BA$60:$BA$110,Calcul!$BX$60))</f>
        <v>0.007</v>
      </c>
      <c r="N14" s="34" t="n">
        <f aca="false">IF(Calcul!$BX$60=0,"",INDEX(Calcul!$BA$60:$BA$110,Calcul!$BX$60)*25.4)</f>
        <v>0.1778</v>
      </c>
      <c r="O14" s="35" t="n">
        <f aca="false">IF(Calcul!$BX$60=0,"",IF(INDEX(Calcul!$AV$60:$AV$110,Calcul!$BX$60)&gt;0,INDEX(Calcul!$AV$60:$AV$110,Calcul!$BX$60),"—"))</f>
        <v>18000</v>
      </c>
      <c r="P14" s="36" t="n">
        <f aca="false">IF(Calcul!$BX$60=0,"",IF(INDEX(Calcul!$AV$60:$AV$110,Calcul!$BX$60)&gt;0,ROUND(INDEX(Calcul!$AV$60:$AV$110,Calcul!$BX$60)*INDEX(Calcul!$U$60:$U$110,Calcul!$BX$60)*INDEX(Calcul!$BA$60:$BA$110,Calcul!$BX$60),0),"—"))</f>
        <v>252</v>
      </c>
      <c r="Q14" s="35" t="n">
        <f aca="false">IF(Calcul!$BX$60=0,"",IF(INDEX(Calcul!$AV$60:$AV$110,Calcul!$BX$60)&gt;0,ROUND(INDEX(Calcul!$AV$60:$AV$110,Calcul!$BX$60)*INDEX(Calcul!$U$60:$U$110,Calcul!$BX$60)*INDEX(Calcul!$BA$60:$BA$110,Calcul!$BX$60)*25.4,0),"—"))</f>
        <v>6401</v>
      </c>
      <c r="R14" s="29" t="str">
        <f aca="false">IF(Calcul!$BX$60=0,"",IF(INDEX(Calcul!$AP$60:$AP$110,Calcul!$BX$60)="","—",INDEX(Calcul!$AP$60:$AP$110,Calcul!$BX$60)))</f>
        <v>66-300</v>
      </c>
      <c r="S14" s="29" t="str">
        <f aca="false">IF(Calcul!$BX$60=0,"",CHOOSE(INDEX(Calcul!$AS$60:$AS$110,Calcul!$BX$60)+1,"—","Bon choix","Meilleur choix","Choix idéal"))</f>
        <v>—</v>
      </c>
      <c r="T14" s="29" t="str">
        <f aca="false">IF(Calcul!$BX$60=0,"",Calcul!$I$11)</f>
        <v>160–180 po/min</v>
      </c>
      <c r="U14" s="29" t="str">
        <f aca="false">IF(Calcul!$BX$60=0,"",INDEX(Calcul!$Y$60:$Y$110,Calcul!$BX$60)&amp;"")</f>
        <v>A-1-F-2</v>
      </c>
      <c r="V14" s="29" t="str">
        <f aca="false">IF(Calcul!$BX$60=0,"",INDEX(Calcul!$Z$60:$Z$110,Calcul!$BX$60)&amp;"")</f>
        <v/>
      </c>
    </row>
    <row r="15" customFormat="false" ht="43.5" hidden="false" customHeight="true" outlineLevel="0" collapsed="false">
      <c r="A15" s="28" t="s">
        <v>66</v>
      </c>
      <c r="B15" s="29" t="str">
        <f aca="false">IF(Calcul!$BX$61=0,"",IF(INDEX(Calcul!$AU$60:$AU$110,Calcul!$BX$61)=1,"Estimation, à vérifier","Conforme Onsrud"))</f>
        <v>Conforme Onsrud</v>
      </c>
      <c r="C15" s="30" t="str">
        <f aca="false">IF(Calcul!$BX$61=0,"",INDEX(Calcul!$R$60:$R$110,Calcul!$BX$61))</f>
        <v>EM0011</v>
      </c>
      <c r="D15" s="29" t="str">
        <f aca="false">IF(Calcul!$BX$61=0,"",INDEX(Calcul!$W$60:$W$110,Calcul!$BX$61)&amp;"")</f>
        <v>Upcut</v>
      </c>
      <c r="E15" s="29" t="str">
        <f aca="false">IF(Calcul!$BX$61=0,"",IF(NOT(ISNUMBER(INDEX(Calcul!$S$60:$S$110,Calcul!$BX$61))),"",IF(NOT(ISNUMBER(INDEX(Calcul!$S$60:$S$110,Calcul!$BX$61))),"",IF(INDEX(Calcul!$S$60:$S$110,Calcul!$BX$61)&lt;=0,"",IF(ABS(INDEX(Calcul!$S$60:$S$110,Calcul!$BX$61)*64-ROUND(INDEX(Calcul!$S$60:$S$110,Calcul!$BX$61)*64,0))&gt;0.0005,"≈ ","")&amp;IF(INT(ROUND(INDEX(Calcul!$S$60:$S$110,Calcul!$BX$61)*64,0)/64)&gt;0,INT(ROUND(INDEX(Calcul!$S$60:$S$110,Calcul!$BX$61)*64,0)/64)&amp;IF(MOD(ROUND(INDEX(Calcul!$S$60:$S$110,Calcul!$BX$61)*64,0),64)&gt;0," ",""),"")&amp;IF(MOD(ROUND(INDEX(Calcul!$S$60:$S$110,Calcul!$BX$61)*64,0),64)&gt;0,MOD(ROUND(INDEX(Calcul!$S$60:$S$110,Calcul!$BX$61)*64,0),64)/GCD(MOD(ROUND(INDEX(Calcul!$S$60:$S$110,Calcul!$BX$61)*64,0),64),64)&amp;"/"&amp;64/GCD(MOD(ROUND(INDEX(Calcul!$S$60:$S$110,Calcul!$BX$61)*64,0),64),64),IF(ROUND(INDEX(Calcul!$S$60:$S$110,Calcul!$BX$61)*64,0)=0,"0",""))&amp;""""))&amp;" · "&amp;FIXED(INDEX(Calcul!$S$60:$S$110,Calcul!$BX$61),4,TRUE())&amp;" po · "&amp;FIXED(INDEX(Calcul!$S$60:$S$110,Calcul!$BX$61)*25.4,3,TRUE())&amp;" mm"))</f>
        <v>3/8" · 0.3750 po · 9.525 mm</v>
      </c>
      <c r="F15" s="29" t="str">
        <f aca="false">IF(Calcul!$BX$61=0,"",IF(NOT(ISNUMBER(INDEX(Calcul!$T$60:$T$110,Calcul!$BX$61))),"",IF(NOT(ISNUMBER(INDEX(Calcul!$T$60:$T$110,Calcul!$BX$61))),"",IF(INDEX(Calcul!$T$60:$T$110,Calcul!$BX$61)&lt;=0,"",IF(ABS(INDEX(Calcul!$T$60:$T$110,Calcul!$BX$61)*64-ROUND(INDEX(Calcul!$T$60:$T$110,Calcul!$BX$61)*64,0))&gt;0.0005,"≈ ","")&amp;IF(INT(ROUND(INDEX(Calcul!$T$60:$T$110,Calcul!$BX$61)*64,0)/64)&gt;0,INT(ROUND(INDEX(Calcul!$T$60:$T$110,Calcul!$BX$61)*64,0)/64)&amp;IF(MOD(ROUND(INDEX(Calcul!$T$60:$T$110,Calcul!$BX$61)*64,0),64)&gt;0," ",""),"")&amp;IF(MOD(ROUND(INDEX(Calcul!$T$60:$T$110,Calcul!$BX$61)*64,0),64)&gt;0,MOD(ROUND(INDEX(Calcul!$T$60:$T$110,Calcul!$BX$61)*64,0),64)/GCD(MOD(ROUND(INDEX(Calcul!$T$60:$T$110,Calcul!$BX$61)*64,0),64),64)&amp;"/"&amp;64/GCD(MOD(ROUND(INDEX(Calcul!$T$60:$T$110,Calcul!$BX$61)*64,0),64),64),IF(ROUND(INDEX(Calcul!$T$60:$T$110,Calcul!$BX$61)*64,0)=0,"0",""))&amp;""""))&amp;" · "&amp;FIXED(INDEX(Calcul!$T$60:$T$110,Calcul!$BX$61),4,TRUE())&amp;" po · "&amp;FIXED(INDEX(Calcul!$T$60:$T$110,Calcul!$BX$61)*25.4,3,TRUE())&amp;" mm"))</f>
        <v>5/8" · 0.6250 po · 15.875 mm</v>
      </c>
      <c r="G15" s="29" t="str">
        <f aca="false">IF(OR(Calcul!$BX$61=0,Calcul!$I$10&lt;=0),"",IF(ISNUMBER(INDEX(Calcul!$T$60:$T$110,Calcul!$BX$61)),IF(INDEX(Calcul!$T$60:$T$110,Calcul!$BX$61)-Calcul!$I$10&lt;0.0005,"pile l'épaisseur",IF(NOT(ISNUMBER((INDEX(Calcul!$T$60:$T$110,Calcul!$BX$61)-Calcul!$I$10))),"",IF(NOT(ISNUMBER((INDEX(Calcul!$T$60:$T$110,Calcul!$BX$61)-Calcul!$I$10))),"",IF((INDEX(Calcul!$T$60:$T$110,Calcul!$BX$61)-Calcul!$I$10)&lt;=0,"",IF(ABS((INDEX(Calcul!$T$60:$T$110,Calcul!$BX$61)-Calcul!$I$10)*64-ROUND((INDEX(Calcul!$T$60:$T$110,Calcul!$BX$61)-Calcul!$I$10)*64,0))&gt;0.0005,"≈ ","")&amp;IF(INT(ROUND((INDEX(Calcul!$T$60:$T$110,Calcul!$BX$61)-Calcul!$I$10)*64,0)/64)&gt;0,INT(ROUND((INDEX(Calcul!$T$60:$T$110,Calcul!$BX$61)-Calcul!$I$10)*64,0)/64)&amp;IF(MOD(ROUND((INDEX(Calcul!$T$60:$T$110,Calcul!$BX$61)-Calcul!$I$10)*64,0),64)&gt;0," ",""),"")&amp;IF(MOD(ROUND((INDEX(Calcul!$T$60:$T$110,Calcul!$BX$61)-Calcul!$I$10)*64,0),64)&gt;0,MOD(ROUND((INDEX(Calcul!$T$60:$T$110,Calcul!$BX$61)-Calcul!$I$10)*64,0),64)/GCD(MOD(ROUND((INDEX(Calcul!$T$60:$T$110,Calcul!$BX$61)-Calcul!$I$10)*64,0),64),64)&amp;"/"&amp;64/GCD(MOD(ROUND((INDEX(Calcul!$T$60:$T$110,Calcul!$BX$61)-Calcul!$I$10)*64,0),64),64),IF(ROUND((INDEX(Calcul!$T$60:$T$110,Calcul!$BX$61)-Calcul!$I$10)*64,0)=0,"0",""))&amp;""""))&amp;" · "&amp;FIXED((INDEX(Calcul!$T$60:$T$110,Calcul!$BX$61)-Calcul!$I$10),4,TRUE())&amp;" po · "&amp;FIXED((INDEX(Calcul!$T$60:$T$110,Calcul!$BX$61)-Calcul!$I$10)*25.4,3,TRUE())&amp;" mm")),""))</f>
        <v>1/8" · 0.1250 po · 3.175 mm</v>
      </c>
      <c r="H15" s="29" t="n">
        <f aca="false">IF(Calcul!$BX$61=0,"",INDEX(Calcul!$AW$60:$AW$110,Calcul!$BX$61))</f>
        <v>2</v>
      </c>
      <c r="I15" s="29" t="str">
        <f aca="false">IF(OR(Calcul!$BX$61=0,Calcul!$I$10&lt;=0),"",IF(NOT(ISNUMBER(INDEX(Calcul!$AX$60:$AX$110,Calcul!$BX$61))),"",IF(NOT(ISNUMBER(INDEX(Calcul!$AX$60:$AX$110,Calcul!$BX$61))),"",IF(INDEX(Calcul!$AX$60:$AX$110,Calcul!$BX$61)&lt;=0,"",IF(ABS(INDEX(Calcul!$AX$60:$AX$110,Calcul!$BX$61)*64-ROUND(INDEX(Calcul!$AX$60:$AX$110,Calcul!$BX$61)*64,0))&gt;0.0005,"≈ ","")&amp;IF(INT(ROUND(INDEX(Calcul!$AX$60:$AX$110,Calcul!$BX$61)*64,0)/64)&gt;0,INT(ROUND(INDEX(Calcul!$AX$60:$AX$110,Calcul!$BX$61)*64,0)/64)&amp;IF(MOD(ROUND(INDEX(Calcul!$AX$60:$AX$110,Calcul!$BX$61)*64,0),64)&gt;0," ",""),"")&amp;IF(MOD(ROUND(INDEX(Calcul!$AX$60:$AX$110,Calcul!$BX$61)*64,0),64)&gt;0,MOD(ROUND(INDEX(Calcul!$AX$60:$AX$110,Calcul!$BX$61)*64,0),64)/GCD(MOD(ROUND(INDEX(Calcul!$AX$60:$AX$110,Calcul!$BX$61)*64,0),64),64)&amp;"/"&amp;64/GCD(MOD(ROUND(INDEX(Calcul!$AX$60:$AX$110,Calcul!$BX$61)*64,0),64),64),IF(ROUND(INDEX(Calcul!$AX$60:$AX$110,Calcul!$BX$61)*64,0)=0,"0",""))&amp;""""))&amp;" · "&amp;FIXED(INDEX(Calcul!$AX$60:$AX$110,Calcul!$BX$61),4,TRUE())&amp;" po · "&amp;FIXED(INDEX(Calcul!$AX$60:$AX$110,Calcul!$BX$61)*25.4,3,TRUE())&amp;" mm"))</f>
        <v>1/4" · 0.2500 po · 6.350 mm</v>
      </c>
      <c r="J15" s="31" t="n">
        <f aca="false">IF(Calcul!$BX$61=0,"",INDEX(Calcul!$BE$60:$BE$110,Calcul!$BX$61))</f>
        <v>23000</v>
      </c>
      <c r="K15" s="32" t="n">
        <f aca="false">IF(Calcul!$BX$61=0,"",ROUND(INDEX(Calcul!$BF$60:$BF$110,Calcul!$BX$61),0))</f>
        <v>322</v>
      </c>
      <c r="L15" s="31" t="n">
        <f aca="false">IF(Calcul!$BX$61=0,"",ROUND(INDEX(Calcul!$BF$60:$BF$110,Calcul!$BX$61)*25.4,0))</f>
        <v>8179</v>
      </c>
      <c r="M15" s="33" t="n">
        <f aca="false">IF(Calcul!$BX$61=0,"",INDEX(Calcul!$BA$60:$BA$110,Calcul!$BX$61))</f>
        <v>0.007</v>
      </c>
      <c r="N15" s="34" t="n">
        <f aca="false">IF(Calcul!$BX$61=0,"",INDEX(Calcul!$BA$60:$BA$110,Calcul!$BX$61)*25.4)</f>
        <v>0.1778</v>
      </c>
      <c r="O15" s="35" t="n">
        <f aca="false">IF(Calcul!$BX$61=0,"",IF(INDEX(Calcul!$AV$60:$AV$110,Calcul!$BX$61)&gt;0,INDEX(Calcul!$AV$60:$AV$110,Calcul!$BX$61),"—"))</f>
        <v>18000</v>
      </c>
      <c r="P15" s="36" t="n">
        <f aca="false">IF(Calcul!$BX$61=0,"",IF(INDEX(Calcul!$AV$60:$AV$110,Calcul!$BX$61)&gt;0,ROUND(INDEX(Calcul!$AV$60:$AV$110,Calcul!$BX$61)*INDEX(Calcul!$U$60:$U$110,Calcul!$BX$61)*INDEX(Calcul!$BA$60:$BA$110,Calcul!$BX$61),0),"—"))</f>
        <v>252</v>
      </c>
      <c r="Q15" s="35" t="n">
        <f aca="false">IF(Calcul!$BX$61=0,"",IF(INDEX(Calcul!$AV$60:$AV$110,Calcul!$BX$61)&gt;0,ROUND(INDEX(Calcul!$AV$60:$AV$110,Calcul!$BX$61)*INDEX(Calcul!$U$60:$U$110,Calcul!$BX$61)*INDEX(Calcul!$BA$60:$BA$110,Calcul!$BX$61)*25.4,0),"—"))</f>
        <v>6401</v>
      </c>
      <c r="R15" s="29" t="str">
        <f aca="false">IF(Calcul!$BX$61=0,"",IF(INDEX(Calcul!$AP$60:$AP$110,Calcul!$BX$61)="","—",INDEX(Calcul!$AP$60:$AP$110,Calcul!$BX$61)))</f>
        <v>66-300</v>
      </c>
      <c r="S15" s="29" t="str">
        <f aca="false">IF(Calcul!$BX$61=0,"",CHOOSE(INDEX(Calcul!$AS$60:$AS$110,Calcul!$BX$61)+1,"—","Bon choix","Meilleur choix","Choix idéal"))</f>
        <v>—</v>
      </c>
      <c r="T15" s="29" t="str">
        <f aca="false">IF(Calcul!$BX$61=0,"",Calcul!$I$11)</f>
        <v>160–180 po/min</v>
      </c>
      <c r="U15" s="29" t="str">
        <f aca="false">IF(Calcul!$BX$61=0,"",INDEX(Calcul!$Y$60:$Y$110,Calcul!$BX$61)&amp;"")</f>
        <v>A-1-C-2</v>
      </c>
      <c r="V15" s="29" t="str">
        <f aca="false">IF(Calcul!$BX$61=0,"",INDEX(Calcul!$Z$60:$Z$110,Calcul!$BX$61)&amp;"")</f>
        <v>Pocket, Surface</v>
      </c>
    </row>
    <row r="16" customFormat="false" ht="43.5" hidden="false" customHeight="true" outlineLevel="0" collapsed="false">
      <c r="A16" s="28" t="s">
        <v>67</v>
      </c>
      <c r="B16" s="29" t="str">
        <f aca="false">IF(Calcul!$BX$62=0,"",IF(INDEX(Calcul!$AU$60:$AU$110,Calcul!$BX$62)=1,"Estimation, à vérifier","Conforme Onsrud"))</f>
        <v>Conforme Onsrud</v>
      </c>
      <c r="C16" s="30" t="str">
        <f aca="false">IF(Calcul!$BX$62=0,"",INDEX(Calcul!$R$60:$R$110,Calcul!$BX$62))</f>
        <v>EM0008</v>
      </c>
      <c r="D16" s="29" t="str">
        <f aca="false">IF(Calcul!$BX$62=0,"",INDEX(Calcul!$W$60:$W$110,Calcul!$BX$62)&amp;"")</f>
        <v>Upcut</v>
      </c>
      <c r="E16" s="29" t="str">
        <f aca="false">IF(Calcul!$BX$62=0,"",IF(NOT(ISNUMBER(INDEX(Calcul!$S$60:$S$110,Calcul!$BX$62))),"",IF(NOT(ISNUMBER(INDEX(Calcul!$S$60:$S$110,Calcul!$BX$62))),"",IF(INDEX(Calcul!$S$60:$S$110,Calcul!$BX$62)&lt;=0,"",IF(ABS(INDEX(Calcul!$S$60:$S$110,Calcul!$BX$62)*64-ROUND(INDEX(Calcul!$S$60:$S$110,Calcul!$BX$62)*64,0))&gt;0.0005,"≈ ","")&amp;IF(INT(ROUND(INDEX(Calcul!$S$60:$S$110,Calcul!$BX$62)*64,0)/64)&gt;0,INT(ROUND(INDEX(Calcul!$S$60:$S$110,Calcul!$BX$62)*64,0)/64)&amp;IF(MOD(ROUND(INDEX(Calcul!$S$60:$S$110,Calcul!$BX$62)*64,0),64)&gt;0," ",""),"")&amp;IF(MOD(ROUND(INDEX(Calcul!$S$60:$S$110,Calcul!$BX$62)*64,0),64)&gt;0,MOD(ROUND(INDEX(Calcul!$S$60:$S$110,Calcul!$BX$62)*64,0),64)/GCD(MOD(ROUND(INDEX(Calcul!$S$60:$S$110,Calcul!$BX$62)*64,0),64),64)&amp;"/"&amp;64/GCD(MOD(ROUND(INDEX(Calcul!$S$60:$S$110,Calcul!$BX$62)*64,0),64),64),IF(ROUND(INDEX(Calcul!$S$60:$S$110,Calcul!$BX$62)*64,0)=0,"0",""))&amp;""""))&amp;" · "&amp;FIXED(INDEX(Calcul!$S$60:$S$110,Calcul!$BX$62),4,TRUE())&amp;" po · "&amp;FIXED(INDEX(Calcul!$S$60:$S$110,Calcul!$BX$62)*25.4,3,TRUE())&amp;" mm"))</f>
        <v>1/4" · 0.2500 po · 6.350 mm</v>
      </c>
      <c r="F16" s="29" t="str">
        <f aca="false">IF(Calcul!$BX$62=0,"",IF(NOT(ISNUMBER(INDEX(Calcul!$T$60:$T$110,Calcul!$BX$62))),"",IF(NOT(ISNUMBER(INDEX(Calcul!$T$60:$T$110,Calcul!$BX$62))),"",IF(INDEX(Calcul!$T$60:$T$110,Calcul!$BX$62)&lt;=0,"",IF(ABS(INDEX(Calcul!$T$60:$T$110,Calcul!$BX$62)*64-ROUND(INDEX(Calcul!$T$60:$T$110,Calcul!$BX$62)*64,0))&gt;0.0005,"≈ ","")&amp;IF(INT(ROUND(INDEX(Calcul!$T$60:$T$110,Calcul!$BX$62)*64,0)/64)&gt;0,INT(ROUND(INDEX(Calcul!$T$60:$T$110,Calcul!$BX$62)*64,0)/64)&amp;IF(MOD(ROUND(INDEX(Calcul!$T$60:$T$110,Calcul!$BX$62)*64,0),64)&gt;0," ",""),"")&amp;IF(MOD(ROUND(INDEX(Calcul!$T$60:$T$110,Calcul!$BX$62)*64,0),64)&gt;0,MOD(ROUND(INDEX(Calcul!$T$60:$T$110,Calcul!$BX$62)*64,0),64)/GCD(MOD(ROUND(INDEX(Calcul!$T$60:$T$110,Calcul!$BX$62)*64,0),64),64)&amp;"/"&amp;64/GCD(MOD(ROUND(INDEX(Calcul!$T$60:$T$110,Calcul!$BX$62)*64,0),64),64),IF(ROUND(INDEX(Calcul!$T$60:$T$110,Calcul!$BX$62)*64,0)=0,"0",""))&amp;""""))&amp;" · "&amp;FIXED(INDEX(Calcul!$T$60:$T$110,Calcul!$BX$62),4,TRUE())&amp;" po · "&amp;FIXED(INDEX(Calcul!$T$60:$T$110,Calcul!$BX$62)*25.4,3,TRUE())&amp;" mm"))</f>
        <v>3/4" · 0.7500 po · 19.050 mm</v>
      </c>
      <c r="G16" s="29" t="str">
        <f aca="false">IF(OR(Calcul!$BX$62=0,Calcul!$I$10&lt;=0),"",IF(ISNUMBER(INDEX(Calcul!$T$60:$T$110,Calcul!$BX$62)),IF(INDEX(Calcul!$T$60:$T$110,Calcul!$BX$62)-Calcul!$I$10&lt;0.0005,"pile l'épaisseur",IF(NOT(ISNUMBER((INDEX(Calcul!$T$60:$T$110,Calcul!$BX$62)-Calcul!$I$10))),"",IF(NOT(ISNUMBER((INDEX(Calcul!$T$60:$T$110,Calcul!$BX$62)-Calcul!$I$10))),"",IF((INDEX(Calcul!$T$60:$T$110,Calcul!$BX$62)-Calcul!$I$10)&lt;=0,"",IF(ABS((INDEX(Calcul!$T$60:$T$110,Calcul!$BX$62)-Calcul!$I$10)*64-ROUND((INDEX(Calcul!$T$60:$T$110,Calcul!$BX$62)-Calcul!$I$10)*64,0))&gt;0.0005,"≈ ","")&amp;IF(INT(ROUND((INDEX(Calcul!$T$60:$T$110,Calcul!$BX$62)-Calcul!$I$10)*64,0)/64)&gt;0,INT(ROUND((INDEX(Calcul!$T$60:$T$110,Calcul!$BX$62)-Calcul!$I$10)*64,0)/64)&amp;IF(MOD(ROUND((INDEX(Calcul!$T$60:$T$110,Calcul!$BX$62)-Calcul!$I$10)*64,0),64)&gt;0," ",""),"")&amp;IF(MOD(ROUND((INDEX(Calcul!$T$60:$T$110,Calcul!$BX$62)-Calcul!$I$10)*64,0),64)&gt;0,MOD(ROUND((INDEX(Calcul!$T$60:$T$110,Calcul!$BX$62)-Calcul!$I$10)*64,0),64)/GCD(MOD(ROUND((INDEX(Calcul!$T$60:$T$110,Calcul!$BX$62)-Calcul!$I$10)*64,0),64),64)&amp;"/"&amp;64/GCD(MOD(ROUND((INDEX(Calcul!$T$60:$T$110,Calcul!$BX$62)-Calcul!$I$10)*64,0),64),64),IF(ROUND((INDEX(Calcul!$T$60:$T$110,Calcul!$BX$62)-Calcul!$I$10)*64,0)=0,"0",""))&amp;""""))&amp;" · "&amp;FIXED((INDEX(Calcul!$T$60:$T$110,Calcul!$BX$62)-Calcul!$I$10),4,TRUE())&amp;" po · "&amp;FIXED((INDEX(Calcul!$T$60:$T$110,Calcul!$BX$62)-Calcul!$I$10)*25.4,3,TRUE())&amp;" mm")),""))</f>
        <v>1/4" · 0.2500 po · 6.350 mm</v>
      </c>
      <c r="H16" s="29" t="n">
        <f aca="false">IF(Calcul!$BX$62=0,"",INDEX(Calcul!$AW$60:$AW$110,Calcul!$BX$62))</f>
        <v>2</v>
      </c>
      <c r="I16" s="29" t="str">
        <f aca="false">IF(OR(Calcul!$BX$62=0,Calcul!$I$10&lt;=0),"",IF(NOT(ISNUMBER(INDEX(Calcul!$AX$60:$AX$110,Calcul!$BX$62))),"",IF(NOT(ISNUMBER(INDEX(Calcul!$AX$60:$AX$110,Calcul!$BX$62))),"",IF(INDEX(Calcul!$AX$60:$AX$110,Calcul!$BX$62)&lt;=0,"",IF(ABS(INDEX(Calcul!$AX$60:$AX$110,Calcul!$BX$62)*64-ROUND(INDEX(Calcul!$AX$60:$AX$110,Calcul!$BX$62)*64,0))&gt;0.0005,"≈ ","")&amp;IF(INT(ROUND(INDEX(Calcul!$AX$60:$AX$110,Calcul!$BX$62)*64,0)/64)&gt;0,INT(ROUND(INDEX(Calcul!$AX$60:$AX$110,Calcul!$BX$62)*64,0)/64)&amp;IF(MOD(ROUND(INDEX(Calcul!$AX$60:$AX$110,Calcul!$BX$62)*64,0),64)&gt;0," ",""),"")&amp;IF(MOD(ROUND(INDEX(Calcul!$AX$60:$AX$110,Calcul!$BX$62)*64,0),64)&gt;0,MOD(ROUND(INDEX(Calcul!$AX$60:$AX$110,Calcul!$BX$62)*64,0),64)/GCD(MOD(ROUND(INDEX(Calcul!$AX$60:$AX$110,Calcul!$BX$62)*64,0),64),64)&amp;"/"&amp;64/GCD(MOD(ROUND(INDEX(Calcul!$AX$60:$AX$110,Calcul!$BX$62)*64,0),64),64),IF(ROUND(INDEX(Calcul!$AX$60:$AX$110,Calcul!$BX$62)*64,0)=0,"0",""))&amp;""""))&amp;" · "&amp;FIXED(INDEX(Calcul!$AX$60:$AX$110,Calcul!$BX$62),4,TRUE())&amp;" po · "&amp;FIXED(INDEX(Calcul!$AX$60:$AX$110,Calcul!$BX$62)*25.4,3,TRUE())&amp;" mm"))</f>
        <v>1/4" · 0.2500 po · 6.350 mm</v>
      </c>
      <c r="J16" s="31" t="n">
        <f aca="false">IF(Calcul!$BX$62=0,"",INDEX(Calcul!$BE$60:$BE$110,Calcul!$BX$62))</f>
        <v>23000</v>
      </c>
      <c r="K16" s="32" t="n">
        <f aca="false">IF(Calcul!$BX$62=0,"",ROUND(INDEX(Calcul!$BF$60:$BF$110,Calcul!$BX$62),0))</f>
        <v>253</v>
      </c>
      <c r="L16" s="31" t="n">
        <f aca="false">IF(Calcul!$BX$62=0,"",ROUND(INDEX(Calcul!$BF$60:$BF$110,Calcul!$BX$62)*25.4,0))</f>
        <v>6426</v>
      </c>
      <c r="M16" s="33" t="n">
        <f aca="false">IF(Calcul!$BX$62=0,"",INDEX(Calcul!$BA$60:$BA$110,Calcul!$BX$62))</f>
        <v>0.011</v>
      </c>
      <c r="N16" s="34" t="n">
        <f aca="false">IF(Calcul!$BX$62=0,"",INDEX(Calcul!$BA$60:$BA$110,Calcul!$BX$62)*25.4)</f>
        <v>0.2794</v>
      </c>
      <c r="O16" s="35" t="n">
        <f aca="false">IF(Calcul!$BX$62=0,"",IF(INDEX(Calcul!$AV$60:$AV$110,Calcul!$BX$62)&gt;0,INDEX(Calcul!$AV$60:$AV$110,Calcul!$BX$62),"—"))</f>
        <v>18000</v>
      </c>
      <c r="P16" s="36" t="n">
        <f aca="false">IF(Calcul!$BX$62=0,"",IF(INDEX(Calcul!$AV$60:$AV$110,Calcul!$BX$62)&gt;0,ROUND(INDEX(Calcul!$AV$60:$AV$110,Calcul!$BX$62)*INDEX(Calcul!$U$60:$U$110,Calcul!$BX$62)*INDEX(Calcul!$BA$60:$BA$110,Calcul!$BX$62),0),"—"))</f>
        <v>198</v>
      </c>
      <c r="Q16" s="35" t="n">
        <f aca="false">IF(Calcul!$BX$62=0,"",IF(INDEX(Calcul!$AV$60:$AV$110,Calcul!$BX$62)&gt;0,ROUND(INDEX(Calcul!$AV$60:$AV$110,Calcul!$BX$62)*INDEX(Calcul!$U$60:$U$110,Calcul!$BX$62)*INDEX(Calcul!$BA$60:$BA$110,Calcul!$BX$62)*25.4,0),"—"))</f>
        <v>5029</v>
      </c>
      <c r="R16" s="29" t="str">
        <f aca="false">IF(Calcul!$BX$62=0,"",IF(INDEX(Calcul!$AP$60:$AP$110,Calcul!$BX$62)="","—",INDEX(Calcul!$AP$60:$AP$110,Calcul!$BX$62)))</f>
        <v>63-700</v>
      </c>
      <c r="S16" s="29" t="str">
        <f aca="false">IF(Calcul!$BX$62=0,"",CHOOSE(INDEX(Calcul!$AS$60:$AS$110,Calcul!$BX$62)+1,"—","Bon choix","Meilleur choix","Choix idéal"))</f>
        <v>Choix idéal</v>
      </c>
      <c r="T16" s="29" t="str">
        <f aca="false">IF(Calcul!$BX$62=0,"",Calcul!$I$11)</f>
        <v>160–180 po/min</v>
      </c>
      <c r="U16" s="29" t="str">
        <f aca="false">IF(Calcul!$BX$62=0,"",INDEX(Calcul!$Y$60:$Y$110,Calcul!$BX$62)&amp;"")</f>
        <v>A-1-B-3</v>
      </c>
      <c r="V16" s="29" t="str">
        <f aca="false">IF(Calcul!$BX$62=0,"",INDEX(Calcul!$Z$60:$Z$110,Calcul!$BX$62)&amp;"")</f>
        <v/>
      </c>
    </row>
    <row r="17" customFormat="false" ht="43.5" hidden="false" customHeight="true" outlineLevel="0" collapsed="false">
      <c r="A17" s="28" t="s">
        <v>68</v>
      </c>
      <c r="B17" s="29" t="str">
        <f aca="false">IF(Calcul!$BX$63=0,"",IF(INDEX(Calcul!$AU$60:$AU$110,Calcul!$BX$63)=1,"Estimation, à vérifier","Conforme Onsrud"))</f>
        <v>Conforme Onsrud</v>
      </c>
      <c r="C17" s="30" t="str">
        <f aca="false">IF(Calcul!$BX$63=0,"",INDEX(Calcul!$R$60:$R$110,Calcul!$BX$63))</f>
        <v>EM0049</v>
      </c>
      <c r="D17" s="29" t="str">
        <f aca="false">IF(Calcul!$BX$63=0,"",INDEX(Calcul!$W$60:$W$110,Calcul!$BX$63)&amp;"")</f>
        <v>Upcut</v>
      </c>
      <c r="E17" s="29" t="str">
        <f aca="false">IF(Calcul!$BX$63=0,"",IF(NOT(ISNUMBER(INDEX(Calcul!$S$60:$S$110,Calcul!$BX$63))),"",IF(NOT(ISNUMBER(INDEX(Calcul!$S$60:$S$110,Calcul!$BX$63))),"",IF(INDEX(Calcul!$S$60:$S$110,Calcul!$BX$63)&lt;=0,"",IF(ABS(INDEX(Calcul!$S$60:$S$110,Calcul!$BX$63)*64-ROUND(INDEX(Calcul!$S$60:$S$110,Calcul!$BX$63)*64,0))&gt;0.0005,"≈ ","")&amp;IF(INT(ROUND(INDEX(Calcul!$S$60:$S$110,Calcul!$BX$63)*64,0)/64)&gt;0,INT(ROUND(INDEX(Calcul!$S$60:$S$110,Calcul!$BX$63)*64,0)/64)&amp;IF(MOD(ROUND(INDEX(Calcul!$S$60:$S$110,Calcul!$BX$63)*64,0),64)&gt;0," ",""),"")&amp;IF(MOD(ROUND(INDEX(Calcul!$S$60:$S$110,Calcul!$BX$63)*64,0),64)&gt;0,MOD(ROUND(INDEX(Calcul!$S$60:$S$110,Calcul!$BX$63)*64,0),64)/GCD(MOD(ROUND(INDEX(Calcul!$S$60:$S$110,Calcul!$BX$63)*64,0),64),64)&amp;"/"&amp;64/GCD(MOD(ROUND(INDEX(Calcul!$S$60:$S$110,Calcul!$BX$63)*64,0),64),64),IF(ROUND(INDEX(Calcul!$S$60:$S$110,Calcul!$BX$63)*64,0)=0,"0",""))&amp;""""))&amp;" · "&amp;FIXED(INDEX(Calcul!$S$60:$S$110,Calcul!$BX$63),4,TRUE())&amp;" po · "&amp;FIXED(INDEX(Calcul!$S$60:$S$110,Calcul!$BX$63)*25.4,3,TRUE())&amp;" mm"))</f>
        <v>3/16" · 0.1875 po · 4.762 mm</v>
      </c>
      <c r="F17" s="29" t="str">
        <f aca="false">IF(Calcul!$BX$63=0,"",IF(NOT(ISNUMBER(INDEX(Calcul!$T$60:$T$110,Calcul!$BX$63))),"",IF(NOT(ISNUMBER(INDEX(Calcul!$T$60:$T$110,Calcul!$BX$63))),"",IF(INDEX(Calcul!$T$60:$T$110,Calcul!$BX$63)&lt;=0,"",IF(ABS(INDEX(Calcul!$T$60:$T$110,Calcul!$BX$63)*64-ROUND(INDEX(Calcul!$T$60:$T$110,Calcul!$BX$63)*64,0))&gt;0.0005,"≈ ","")&amp;IF(INT(ROUND(INDEX(Calcul!$T$60:$T$110,Calcul!$BX$63)*64,0)/64)&gt;0,INT(ROUND(INDEX(Calcul!$T$60:$T$110,Calcul!$BX$63)*64,0)/64)&amp;IF(MOD(ROUND(INDEX(Calcul!$T$60:$T$110,Calcul!$BX$63)*64,0),64)&gt;0," ",""),"")&amp;IF(MOD(ROUND(INDEX(Calcul!$T$60:$T$110,Calcul!$BX$63)*64,0),64)&gt;0,MOD(ROUND(INDEX(Calcul!$T$60:$T$110,Calcul!$BX$63)*64,0),64)/GCD(MOD(ROUND(INDEX(Calcul!$T$60:$T$110,Calcul!$BX$63)*64,0),64),64)&amp;"/"&amp;64/GCD(MOD(ROUND(INDEX(Calcul!$T$60:$T$110,Calcul!$BX$63)*64,0),64),64),IF(ROUND(INDEX(Calcul!$T$60:$T$110,Calcul!$BX$63)*64,0)=0,"0",""))&amp;""""))&amp;" · "&amp;FIXED(INDEX(Calcul!$T$60:$T$110,Calcul!$BX$63),4,TRUE())&amp;" po · "&amp;FIXED(INDEX(Calcul!$T$60:$T$110,Calcul!$BX$63)*25.4,3,TRUE())&amp;" mm"))</f>
        <v>1 1/4" · 1.2500 po · 31.750 mm</v>
      </c>
      <c r="G17" s="29" t="str">
        <f aca="false">IF(OR(Calcul!$BX$63=0,Calcul!$I$10&lt;=0),"",IF(ISNUMBER(INDEX(Calcul!$T$60:$T$110,Calcul!$BX$63)),IF(INDEX(Calcul!$T$60:$T$110,Calcul!$BX$63)-Calcul!$I$10&lt;0.0005,"pile l'épaisseur",IF(NOT(ISNUMBER((INDEX(Calcul!$T$60:$T$110,Calcul!$BX$63)-Calcul!$I$10))),"",IF(NOT(ISNUMBER((INDEX(Calcul!$T$60:$T$110,Calcul!$BX$63)-Calcul!$I$10))),"",IF((INDEX(Calcul!$T$60:$T$110,Calcul!$BX$63)-Calcul!$I$10)&lt;=0,"",IF(ABS((INDEX(Calcul!$T$60:$T$110,Calcul!$BX$63)-Calcul!$I$10)*64-ROUND((INDEX(Calcul!$T$60:$T$110,Calcul!$BX$63)-Calcul!$I$10)*64,0))&gt;0.0005,"≈ ","")&amp;IF(INT(ROUND((INDEX(Calcul!$T$60:$T$110,Calcul!$BX$63)-Calcul!$I$10)*64,0)/64)&gt;0,INT(ROUND((INDEX(Calcul!$T$60:$T$110,Calcul!$BX$63)-Calcul!$I$10)*64,0)/64)&amp;IF(MOD(ROUND((INDEX(Calcul!$T$60:$T$110,Calcul!$BX$63)-Calcul!$I$10)*64,0),64)&gt;0," ",""),"")&amp;IF(MOD(ROUND((INDEX(Calcul!$T$60:$T$110,Calcul!$BX$63)-Calcul!$I$10)*64,0),64)&gt;0,MOD(ROUND((INDEX(Calcul!$T$60:$T$110,Calcul!$BX$63)-Calcul!$I$10)*64,0),64)/GCD(MOD(ROUND((INDEX(Calcul!$T$60:$T$110,Calcul!$BX$63)-Calcul!$I$10)*64,0),64),64)&amp;"/"&amp;64/GCD(MOD(ROUND((INDEX(Calcul!$T$60:$T$110,Calcul!$BX$63)-Calcul!$I$10)*64,0),64),64),IF(ROUND((INDEX(Calcul!$T$60:$T$110,Calcul!$BX$63)-Calcul!$I$10)*64,0)=0,"0",""))&amp;""""))&amp;" · "&amp;FIXED((INDEX(Calcul!$T$60:$T$110,Calcul!$BX$63)-Calcul!$I$10),4,TRUE())&amp;" po · "&amp;FIXED((INDEX(Calcul!$T$60:$T$110,Calcul!$BX$63)-Calcul!$I$10)*25.4,3,TRUE())&amp;" mm")),""))</f>
        <v>3/4" · 0.7500 po · 19.050 mm</v>
      </c>
      <c r="H17" s="29" t="n">
        <f aca="false">IF(Calcul!$BX$63=0,"",INDEX(Calcul!$AW$60:$AW$110,Calcul!$BX$63))</f>
        <v>3</v>
      </c>
      <c r="I17" s="29" t="str">
        <f aca="false">IF(OR(Calcul!$BX$63=0,Calcul!$I$10&lt;=0),"",IF(NOT(ISNUMBER(INDEX(Calcul!$AX$60:$AX$110,Calcul!$BX$63))),"",IF(NOT(ISNUMBER(INDEX(Calcul!$AX$60:$AX$110,Calcul!$BX$63))),"",IF(INDEX(Calcul!$AX$60:$AX$110,Calcul!$BX$63)&lt;=0,"",IF(ABS(INDEX(Calcul!$AX$60:$AX$110,Calcul!$BX$63)*64-ROUND(INDEX(Calcul!$AX$60:$AX$110,Calcul!$BX$63)*64,0))&gt;0.0005,"≈ ","")&amp;IF(INT(ROUND(INDEX(Calcul!$AX$60:$AX$110,Calcul!$BX$63)*64,0)/64)&gt;0,INT(ROUND(INDEX(Calcul!$AX$60:$AX$110,Calcul!$BX$63)*64,0)/64)&amp;IF(MOD(ROUND(INDEX(Calcul!$AX$60:$AX$110,Calcul!$BX$63)*64,0),64)&gt;0," ",""),"")&amp;IF(MOD(ROUND(INDEX(Calcul!$AX$60:$AX$110,Calcul!$BX$63)*64,0),64)&gt;0,MOD(ROUND(INDEX(Calcul!$AX$60:$AX$110,Calcul!$BX$63)*64,0),64)/GCD(MOD(ROUND(INDEX(Calcul!$AX$60:$AX$110,Calcul!$BX$63)*64,0),64),64)&amp;"/"&amp;64/GCD(MOD(ROUND(INDEX(Calcul!$AX$60:$AX$110,Calcul!$BX$63)*64,0),64),64),IF(ROUND(INDEX(Calcul!$AX$60:$AX$110,Calcul!$BX$63)*64,0)=0,"0",""))&amp;""""))&amp;" · "&amp;FIXED(INDEX(Calcul!$AX$60:$AX$110,Calcul!$BX$63),4,TRUE())&amp;" po · "&amp;FIXED(INDEX(Calcul!$AX$60:$AX$110,Calcul!$BX$63)*25.4,3,TRUE())&amp;" mm"))</f>
        <v>≈ 11/64" · 0.1667 po · 4.233 mm</v>
      </c>
      <c r="J17" s="31" t="n">
        <f aca="false">IF(Calcul!$BX$63=0,"",INDEX(Calcul!$BE$60:$BE$110,Calcul!$BX$63))</f>
        <v>23000</v>
      </c>
      <c r="K17" s="32" t="n">
        <f aca="false">IF(Calcul!$BX$63=0,"",ROUND(INDEX(Calcul!$BF$60:$BF$110,Calcul!$BX$63),0))</f>
        <v>207</v>
      </c>
      <c r="L17" s="31" t="n">
        <f aca="false">IF(Calcul!$BX$63=0,"",ROUND(INDEX(Calcul!$BF$60:$BF$110,Calcul!$BX$63)*25.4,0))</f>
        <v>5258</v>
      </c>
      <c r="M17" s="33" t="n">
        <f aca="false">IF(Calcul!$BX$63=0,"",INDEX(Calcul!$BA$60:$BA$110,Calcul!$BX$63))</f>
        <v>0.009</v>
      </c>
      <c r="N17" s="34" t="n">
        <f aca="false">IF(Calcul!$BX$63=0,"",INDEX(Calcul!$BA$60:$BA$110,Calcul!$BX$63)*25.4)</f>
        <v>0.2286</v>
      </c>
      <c r="O17" s="35" t="n">
        <f aca="false">IF(Calcul!$BX$63=0,"",IF(INDEX(Calcul!$AV$60:$AV$110,Calcul!$BX$63)&gt;0,INDEX(Calcul!$AV$60:$AV$110,Calcul!$BX$63),"—"))</f>
        <v>18000</v>
      </c>
      <c r="P17" s="36" t="n">
        <f aca="false">IF(Calcul!$BX$63=0,"",IF(INDEX(Calcul!$AV$60:$AV$110,Calcul!$BX$63)&gt;0,ROUND(INDEX(Calcul!$AV$60:$AV$110,Calcul!$BX$63)*INDEX(Calcul!$U$60:$U$110,Calcul!$BX$63)*INDEX(Calcul!$BA$60:$BA$110,Calcul!$BX$63),0),"—"))</f>
        <v>162</v>
      </c>
      <c r="Q17" s="35" t="n">
        <f aca="false">IF(Calcul!$BX$63=0,"",IF(INDEX(Calcul!$AV$60:$AV$110,Calcul!$BX$63)&gt;0,ROUND(INDEX(Calcul!$AV$60:$AV$110,Calcul!$BX$63)*INDEX(Calcul!$U$60:$U$110,Calcul!$BX$63)*INDEX(Calcul!$BA$60:$BA$110,Calcul!$BX$63)*25.4,0),"—"))</f>
        <v>4115</v>
      </c>
      <c r="R17" s="29" t="str">
        <f aca="false">IF(Calcul!$BX$63=0,"",IF(INDEX(Calcul!$AP$60:$AP$110,Calcul!$BX$63)="","—",INDEX(Calcul!$AP$60:$AP$110,Calcul!$BX$63)))</f>
        <v>64-000/65-000</v>
      </c>
      <c r="S17" s="29" t="str">
        <f aca="false">IF(Calcul!$BX$63=0,"",CHOOSE(INDEX(Calcul!$AS$60:$AS$110,Calcul!$BX$63)+1,"—","Bon choix","Meilleur choix","Choix idéal"))</f>
        <v>Meilleur choix</v>
      </c>
      <c r="T17" s="29" t="str">
        <f aca="false">IF(Calcul!$BX$63=0,"",Calcul!$I$11)</f>
        <v>160–180 po/min</v>
      </c>
      <c r="U17" s="29" t="str">
        <f aca="false">IF(Calcul!$BX$63=0,"",INDEX(Calcul!$Y$60:$Y$110,Calcul!$BX$63)&amp;"")</f>
        <v>A-1-B-4</v>
      </c>
      <c r="V17" s="29" t="str">
        <f aca="false">IF(Calcul!$BX$63=0,"",INDEX(Calcul!$Z$60:$Z$110,Calcul!$BX$63)&amp;"")</f>
        <v>Long LOC</v>
      </c>
    </row>
    <row r="18" customFormat="false" ht="43.5" hidden="false" customHeight="true" outlineLevel="0" collapsed="false">
      <c r="A18" s="28" t="s">
        <v>69</v>
      </c>
      <c r="B18" s="29" t="str">
        <f aca="false">IF(Calcul!$BX$64=0,"",IF(INDEX(Calcul!$AU$60:$AU$110,Calcul!$BX$64)=1,"Estimation, à vérifier","Conforme Onsrud"))</f>
        <v>Conforme Onsrud</v>
      </c>
      <c r="C18" s="30" t="str">
        <f aca="false">IF(Calcul!$BX$64=0,"",INDEX(Calcul!$R$60:$R$110,Calcul!$BX$64))</f>
        <v>EM0005</v>
      </c>
      <c r="D18" s="29" t="str">
        <f aca="false">IF(Calcul!$BX$64=0,"",INDEX(Calcul!$W$60:$W$110,Calcul!$BX$64)&amp;"")</f>
        <v>Upcut</v>
      </c>
      <c r="E18" s="29" t="str">
        <f aca="false">IF(Calcul!$BX$64=0,"",IF(NOT(ISNUMBER(INDEX(Calcul!$S$60:$S$110,Calcul!$BX$64))),"",IF(NOT(ISNUMBER(INDEX(Calcul!$S$60:$S$110,Calcul!$BX$64))),"",IF(INDEX(Calcul!$S$60:$S$110,Calcul!$BX$64)&lt;=0,"",IF(ABS(INDEX(Calcul!$S$60:$S$110,Calcul!$BX$64)*64-ROUND(INDEX(Calcul!$S$60:$S$110,Calcul!$BX$64)*64,0))&gt;0.0005,"≈ ","")&amp;IF(INT(ROUND(INDEX(Calcul!$S$60:$S$110,Calcul!$BX$64)*64,0)/64)&gt;0,INT(ROUND(INDEX(Calcul!$S$60:$S$110,Calcul!$BX$64)*64,0)/64)&amp;IF(MOD(ROUND(INDEX(Calcul!$S$60:$S$110,Calcul!$BX$64)*64,0),64)&gt;0," ",""),"")&amp;IF(MOD(ROUND(INDEX(Calcul!$S$60:$S$110,Calcul!$BX$64)*64,0),64)&gt;0,MOD(ROUND(INDEX(Calcul!$S$60:$S$110,Calcul!$BX$64)*64,0),64)/GCD(MOD(ROUND(INDEX(Calcul!$S$60:$S$110,Calcul!$BX$64)*64,0),64),64)&amp;"/"&amp;64/GCD(MOD(ROUND(INDEX(Calcul!$S$60:$S$110,Calcul!$BX$64)*64,0),64),64),IF(ROUND(INDEX(Calcul!$S$60:$S$110,Calcul!$BX$64)*64,0)=0,"0",""))&amp;""""))&amp;" · "&amp;FIXED(INDEX(Calcul!$S$60:$S$110,Calcul!$BX$64),4,TRUE())&amp;" po · "&amp;FIXED(INDEX(Calcul!$S$60:$S$110,Calcul!$BX$64)*25.4,3,TRUE())&amp;" mm"))</f>
        <v>1/8" · 0.1250 po · 3.175 mm</v>
      </c>
      <c r="F18" s="29" t="str">
        <f aca="false">IF(Calcul!$BX$64=0,"",IF(NOT(ISNUMBER(INDEX(Calcul!$T$60:$T$110,Calcul!$BX$64))),"",IF(NOT(ISNUMBER(INDEX(Calcul!$T$60:$T$110,Calcul!$BX$64))),"",IF(INDEX(Calcul!$T$60:$T$110,Calcul!$BX$64)&lt;=0,"",IF(ABS(INDEX(Calcul!$T$60:$T$110,Calcul!$BX$64)*64-ROUND(INDEX(Calcul!$T$60:$T$110,Calcul!$BX$64)*64,0))&gt;0.0005,"≈ ","")&amp;IF(INT(ROUND(INDEX(Calcul!$T$60:$T$110,Calcul!$BX$64)*64,0)/64)&gt;0,INT(ROUND(INDEX(Calcul!$T$60:$T$110,Calcul!$BX$64)*64,0)/64)&amp;IF(MOD(ROUND(INDEX(Calcul!$T$60:$T$110,Calcul!$BX$64)*64,0),64)&gt;0," ",""),"")&amp;IF(MOD(ROUND(INDEX(Calcul!$T$60:$T$110,Calcul!$BX$64)*64,0),64)&gt;0,MOD(ROUND(INDEX(Calcul!$T$60:$T$110,Calcul!$BX$64)*64,0),64)/GCD(MOD(ROUND(INDEX(Calcul!$T$60:$T$110,Calcul!$BX$64)*64,0),64),64)&amp;"/"&amp;64/GCD(MOD(ROUND(INDEX(Calcul!$T$60:$T$110,Calcul!$BX$64)*64,0),64),64),IF(ROUND(INDEX(Calcul!$T$60:$T$110,Calcul!$BX$64)*64,0)=0,"0",""))&amp;""""))&amp;" · "&amp;FIXED(INDEX(Calcul!$T$60:$T$110,Calcul!$BX$64),4,TRUE())&amp;" po · "&amp;FIXED(INDEX(Calcul!$T$60:$T$110,Calcul!$BX$64)*25.4,3,TRUE())&amp;" mm"))</f>
        <v>1/2" · 0.5000 po · 12.700 mm</v>
      </c>
      <c r="G18" s="29" t="str">
        <f aca="false">IF(OR(Calcul!$BX$64=0,Calcul!$I$10&lt;=0),"",IF(ISNUMBER(INDEX(Calcul!$T$60:$T$110,Calcul!$BX$64)),IF(INDEX(Calcul!$T$60:$T$110,Calcul!$BX$64)-Calcul!$I$10&lt;0.0005,"pile l'épaisseur",IF(NOT(ISNUMBER((INDEX(Calcul!$T$60:$T$110,Calcul!$BX$64)-Calcul!$I$10))),"",IF(NOT(ISNUMBER((INDEX(Calcul!$T$60:$T$110,Calcul!$BX$64)-Calcul!$I$10))),"",IF((INDEX(Calcul!$T$60:$T$110,Calcul!$BX$64)-Calcul!$I$10)&lt;=0,"",IF(ABS((INDEX(Calcul!$T$60:$T$110,Calcul!$BX$64)-Calcul!$I$10)*64-ROUND((INDEX(Calcul!$T$60:$T$110,Calcul!$BX$64)-Calcul!$I$10)*64,0))&gt;0.0005,"≈ ","")&amp;IF(INT(ROUND((INDEX(Calcul!$T$60:$T$110,Calcul!$BX$64)-Calcul!$I$10)*64,0)/64)&gt;0,INT(ROUND((INDEX(Calcul!$T$60:$T$110,Calcul!$BX$64)-Calcul!$I$10)*64,0)/64)&amp;IF(MOD(ROUND((INDEX(Calcul!$T$60:$T$110,Calcul!$BX$64)-Calcul!$I$10)*64,0),64)&gt;0," ",""),"")&amp;IF(MOD(ROUND((INDEX(Calcul!$T$60:$T$110,Calcul!$BX$64)-Calcul!$I$10)*64,0),64)&gt;0,MOD(ROUND((INDEX(Calcul!$T$60:$T$110,Calcul!$BX$64)-Calcul!$I$10)*64,0),64)/GCD(MOD(ROUND((INDEX(Calcul!$T$60:$T$110,Calcul!$BX$64)-Calcul!$I$10)*64,0),64),64)&amp;"/"&amp;64/GCD(MOD(ROUND((INDEX(Calcul!$T$60:$T$110,Calcul!$BX$64)-Calcul!$I$10)*64,0),64),64),IF(ROUND((INDEX(Calcul!$T$60:$T$110,Calcul!$BX$64)-Calcul!$I$10)*64,0)=0,"0",""))&amp;""""))&amp;" · "&amp;FIXED((INDEX(Calcul!$T$60:$T$110,Calcul!$BX$64)-Calcul!$I$10),4,TRUE())&amp;" po · "&amp;FIXED((INDEX(Calcul!$T$60:$T$110,Calcul!$BX$64)-Calcul!$I$10)*25.4,3,TRUE())&amp;" mm")),""))</f>
        <v>pile l'épaisseur</v>
      </c>
      <c r="H18" s="29" t="n">
        <f aca="false">IF(Calcul!$BX$64=0,"",INDEX(Calcul!$AW$60:$AW$110,Calcul!$BX$64))</f>
        <v>4</v>
      </c>
      <c r="I18" s="29" t="str">
        <f aca="false">IF(OR(Calcul!$BX$64=0,Calcul!$I$10&lt;=0),"",IF(NOT(ISNUMBER(INDEX(Calcul!$AX$60:$AX$110,Calcul!$BX$64))),"",IF(NOT(ISNUMBER(INDEX(Calcul!$AX$60:$AX$110,Calcul!$BX$64))),"",IF(INDEX(Calcul!$AX$60:$AX$110,Calcul!$BX$64)&lt;=0,"",IF(ABS(INDEX(Calcul!$AX$60:$AX$110,Calcul!$BX$64)*64-ROUND(INDEX(Calcul!$AX$60:$AX$110,Calcul!$BX$64)*64,0))&gt;0.0005,"≈ ","")&amp;IF(INT(ROUND(INDEX(Calcul!$AX$60:$AX$110,Calcul!$BX$64)*64,0)/64)&gt;0,INT(ROUND(INDEX(Calcul!$AX$60:$AX$110,Calcul!$BX$64)*64,0)/64)&amp;IF(MOD(ROUND(INDEX(Calcul!$AX$60:$AX$110,Calcul!$BX$64)*64,0),64)&gt;0," ",""),"")&amp;IF(MOD(ROUND(INDEX(Calcul!$AX$60:$AX$110,Calcul!$BX$64)*64,0),64)&gt;0,MOD(ROUND(INDEX(Calcul!$AX$60:$AX$110,Calcul!$BX$64)*64,0),64)/GCD(MOD(ROUND(INDEX(Calcul!$AX$60:$AX$110,Calcul!$BX$64)*64,0),64),64)&amp;"/"&amp;64/GCD(MOD(ROUND(INDEX(Calcul!$AX$60:$AX$110,Calcul!$BX$64)*64,0),64),64),IF(ROUND(INDEX(Calcul!$AX$60:$AX$110,Calcul!$BX$64)*64,0)=0,"0",""))&amp;""""))&amp;" · "&amp;FIXED(INDEX(Calcul!$AX$60:$AX$110,Calcul!$BX$64),4,TRUE())&amp;" po · "&amp;FIXED(INDEX(Calcul!$AX$60:$AX$110,Calcul!$BX$64)*25.4,3,TRUE())&amp;" mm"))</f>
        <v>1/8" · 0.1250 po · 3.175 mm</v>
      </c>
      <c r="J18" s="31" t="n">
        <f aca="false">IF(Calcul!$BX$64=0,"",INDEX(Calcul!$BE$60:$BE$110,Calcul!$BX$64))</f>
        <v>23000</v>
      </c>
      <c r="K18" s="32" t="n">
        <f aca="false">IF(Calcul!$BX$64=0,"",ROUND(INDEX(Calcul!$BF$60:$BF$110,Calcul!$BX$64),0))</f>
        <v>161</v>
      </c>
      <c r="L18" s="31" t="n">
        <f aca="false">IF(Calcul!$BX$64=0,"",ROUND(INDEX(Calcul!$BF$60:$BF$110,Calcul!$BX$64)*25.4,0))</f>
        <v>4089</v>
      </c>
      <c r="M18" s="33" t="n">
        <f aca="false">IF(Calcul!$BX$64=0,"",INDEX(Calcul!$BA$60:$BA$110,Calcul!$BX$64))</f>
        <v>0.007</v>
      </c>
      <c r="N18" s="34" t="n">
        <f aca="false">IF(Calcul!$BX$64=0,"",INDEX(Calcul!$BA$60:$BA$110,Calcul!$BX$64)*25.4)</f>
        <v>0.1778</v>
      </c>
      <c r="O18" s="35" t="n">
        <f aca="false">IF(Calcul!$BX$64=0,"",IF(INDEX(Calcul!$AV$60:$AV$110,Calcul!$BX$64)&gt;0,INDEX(Calcul!$AV$60:$AV$110,Calcul!$BX$64),"—"))</f>
        <v>18000</v>
      </c>
      <c r="P18" s="36" t="n">
        <f aca="false">IF(Calcul!$BX$64=0,"",IF(INDEX(Calcul!$AV$60:$AV$110,Calcul!$BX$64)&gt;0,ROUND(INDEX(Calcul!$AV$60:$AV$110,Calcul!$BX$64)*INDEX(Calcul!$U$60:$U$110,Calcul!$BX$64)*INDEX(Calcul!$BA$60:$BA$110,Calcul!$BX$64),0),"—"))</f>
        <v>126</v>
      </c>
      <c r="Q18" s="35" t="n">
        <f aca="false">IF(Calcul!$BX$64=0,"",IF(INDEX(Calcul!$AV$60:$AV$110,Calcul!$BX$64)&gt;0,ROUND(INDEX(Calcul!$AV$60:$AV$110,Calcul!$BX$64)*INDEX(Calcul!$U$60:$U$110,Calcul!$BX$64)*INDEX(Calcul!$BA$60:$BA$110,Calcul!$BX$64)*25.4,0),"—"))</f>
        <v>3200</v>
      </c>
      <c r="R18" s="29" t="str">
        <f aca="false">IF(Calcul!$BX$64=0,"",IF(INDEX(Calcul!$AP$60:$AP$110,Calcul!$BX$64)="","—",INDEX(Calcul!$AP$60:$AP$110,Calcul!$BX$64)))</f>
        <v>63-700</v>
      </c>
      <c r="S18" s="29" t="str">
        <f aca="false">IF(Calcul!$BX$64=0,"",CHOOSE(INDEX(Calcul!$AS$60:$AS$110,Calcul!$BX$64)+1,"—","Bon choix","Meilleur choix","Choix idéal"))</f>
        <v>Choix idéal</v>
      </c>
      <c r="T18" s="29" t="str">
        <f aca="false">IF(Calcul!$BX$64=0,"",Calcul!$I$11)</f>
        <v>160–180 po/min</v>
      </c>
      <c r="U18" s="29" t="str">
        <f aca="false">IF(Calcul!$BX$64=0,"",INDEX(Calcul!$Y$60:$Y$110,Calcul!$BX$64)&amp;"")</f>
        <v>A-1-A-4</v>
      </c>
      <c r="V18" s="29" t="str">
        <f aca="false">IF(Calcul!$BX$64=0,"",INDEX(Calcul!$Z$60:$Z$110,Calcul!$BX$64)&amp;"")</f>
        <v/>
      </c>
    </row>
    <row r="19" customFormat="false" ht="15" hidden="false" customHeight="false" outlineLevel="0" collapsed="false">
      <c r="A19" s="37" t="str">
        <f aca="false">IF(COUNT(Calcul!$BM$60:$BM$110)&lt;5,"Ta liste ne contient que "&amp;COUNT(Calcul!$BM$60:$BM$110)&amp;" outil(s) qui conviennent pour ce choix.","")</f>
        <v/>
      </c>
    </row>
    <row r="21" customFormat="false" ht="15" hidden="false" customHeight="false" outlineLevel="0" collapsed="false">
      <c r="A21" s="38" t="s">
        <v>70</v>
      </c>
    </row>
    <row r="22" customFormat="false" ht="15" hidden="false" customHeight="false" outlineLevel="0" collapsed="false">
      <c r="A22" s="39" t="str">
        <f aca="false">CHOOSE(Calcul!$I$5,"Si les copeaux se ressoudent, augmente l'avance ou passe à un outil à une flûte.","Pour éliminer le ressoudage, augmente l'avance ou passe à un outil à une flûte.")</f>
        <v>Si les copeaux se ressoudent, augmente l'avance ou passe à un outil à une flûte.</v>
      </c>
      <c r="B22" s="39"/>
      <c r="C22" s="39"/>
      <c r="D22" s="39"/>
      <c r="E22" s="39"/>
      <c r="F22" s="39"/>
      <c r="G22" s="39"/>
      <c r="H22" s="39"/>
      <c r="I22" s="39"/>
      <c r="J22" s="39"/>
      <c r="K22" s="39"/>
      <c r="L22" s="39"/>
    </row>
    <row r="23" customFormat="false" ht="15" hidden="false" customHeight="false" outlineLevel="0" collapsed="false">
      <c r="A23" s="39" t="str">
        <f aca="false">CHOOSE(Calcul!$I$5,"Un mauvais chipload cause des cratères, de la fonte ou un mauvais fini.","Avec une fraise downcut, si les copeaux se ressoudent, fais une rainure dans la table martyre.")</f>
        <v>Un mauvais chipload cause des cratères, de la fonte ou un mauvais fini.</v>
      </c>
      <c r="B23" s="39"/>
      <c r="C23" s="39"/>
      <c r="D23" s="39"/>
      <c r="E23" s="39"/>
      <c r="F23" s="39"/>
      <c r="G23" s="39"/>
      <c r="H23" s="39"/>
      <c r="I23" s="39"/>
      <c r="J23" s="39"/>
      <c r="K23" s="39"/>
      <c r="L23" s="39"/>
    </row>
    <row r="24" customFormat="false" ht="15" hidden="false" customHeight="false" outlineLevel="0" collapsed="false">
      <c r="A24" s="39" t="str">
        <f aca="false">CHOOSE(Calcul!$I$5,"","Un mauvais chipload laisse des marques de couteau ou des bavures.")</f>
        <v/>
      </c>
      <c r="B24" s="39"/>
      <c r="C24" s="39"/>
      <c r="D24" s="39"/>
      <c r="E24" s="39"/>
      <c r="F24" s="39"/>
      <c r="G24" s="39"/>
      <c r="H24" s="39"/>
      <c r="I24" s="39"/>
      <c r="J24" s="39"/>
      <c r="K24" s="39"/>
      <c r="L24" s="39"/>
    </row>
    <row r="25" customFormat="false" ht="15" hidden="false" customHeight="true" outlineLevel="0" collapsed="false">
      <c r="A25" s="40" t="s">
        <v>71</v>
      </c>
      <c r="B25" s="40"/>
      <c r="C25" s="40"/>
      <c r="D25" s="40"/>
      <c r="E25" s="40"/>
      <c r="F25" s="40"/>
      <c r="G25" s="40"/>
      <c r="H25" s="40"/>
      <c r="I25" s="40"/>
      <c r="J25" s="40"/>
      <c r="K25" s="40"/>
      <c r="L25" s="40"/>
    </row>
    <row r="26" customFormat="false" ht="15" hidden="false" customHeight="true" outlineLevel="0" collapsed="false">
      <c r="A26" s="39" t="s">
        <v>72</v>
      </c>
      <c r="B26" s="39"/>
      <c r="C26" s="39"/>
      <c r="D26" s="39"/>
      <c r="E26" s="39"/>
      <c r="F26" s="39"/>
      <c r="G26" s="39"/>
      <c r="H26" s="39"/>
      <c r="I26" s="39"/>
      <c r="J26" s="39"/>
      <c r="K26" s="39"/>
      <c r="L26" s="39"/>
    </row>
    <row r="28" customFormat="false" ht="15" hidden="false" customHeight="false" outlineLevel="0" collapsed="false">
      <c r="A28" s="38" t="s">
        <v>73</v>
      </c>
    </row>
    <row r="29" customFormat="false" ht="25.5" hidden="false" customHeight="true" outlineLevel="0" collapsed="false">
      <c r="A29" s="41" t="s">
        <v>74</v>
      </c>
      <c r="B29" s="41"/>
      <c r="C29" s="41"/>
      <c r="D29" s="41"/>
      <c r="E29" s="41"/>
      <c r="F29" s="41"/>
      <c r="G29" s="41"/>
      <c r="H29" s="41"/>
      <c r="I29" s="41"/>
      <c r="J29" s="41"/>
      <c r="K29" s="41"/>
      <c r="L29" s="41"/>
    </row>
    <row r="30" customFormat="false" ht="25.5" hidden="false" customHeight="true" outlineLevel="0" collapsed="false">
      <c r="A30" s="41" t="s">
        <v>75</v>
      </c>
      <c r="B30" s="41"/>
      <c r="C30" s="41"/>
      <c r="D30" s="41"/>
      <c r="E30" s="41"/>
      <c r="F30" s="41"/>
      <c r="G30" s="41"/>
      <c r="H30" s="41"/>
      <c r="I30" s="41"/>
      <c r="J30" s="41"/>
      <c r="K30" s="41"/>
      <c r="L30" s="41"/>
    </row>
    <row r="31" customFormat="false" ht="25.5" hidden="false" customHeight="true" outlineLevel="0" collapsed="false">
      <c r="A31" s="41" t="s">
        <v>76</v>
      </c>
      <c r="B31" s="41"/>
      <c r="C31" s="41"/>
      <c r="D31" s="41"/>
      <c r="E31" s="41"/>
      <c r="F31" s="41"/>
      <c r="G31" s="41"/>
      <c r="H31" s="41"/>
      <c r="I31" s="41"/>
      <c r="J31" s="41"/>
      <c r="K31" s="41"/>
      <c r="L31" s="41"/>
    </row>
    <row r="32" customFormat="false" ht="25.5" hidden="false" customHeight="true" outlineLevel="0" collapsed="false">
      <c r="A32" s="41" t="s">
        <v>77</v>
      </c>
      <c r="B32" s="41"/>
      <c r="C32" s="41"/>
      <c r="D32" s="41"/>
      <c r="E32" s="41"/>
      <c r="F32" s="41"/>
      <c r="G32" s="41"/>
      <c r="H32" s="41"/>
      <c r="I32" s="41"/>
      <c r="J32" s="41"/>
      <c r="K32" s="41"/>
      <c r="L32" s="41"/>
    </row>
    <row r="33" customFormat="false" ht="25.5" hidden="false" customHeight="true" outlineLevel="0" collapsed="false">
      <c r="A33" s="41" t="s">
        <v>78</v>
      </c>
      <c r="B33" s="41"/>
      <c r="C33" s="41"/>
      <c r="D33" s="41"/>
      <c r="E33" s="41"/>
      <c r="F33" s="41"/>
      <c r="G33" s="41"/>
      <c r="H33" s="41"/>
      <c r="I33" s="41"/>
      <c r="J33" s="41"/>
      <c r="K33" s="41"/>
      <c r="L33" s="41"/>
    </row>
    <row r="34" customFormat="false" ht="25.5" hidden="false" customHeight="true" outlineLevel="0" collapsed="false">
      <c r="A34" s="41" t="s">
        <v>79</v>
      </c>
      <c r="B34" s="41"/>
      <c r="C34" s="41"/>
      <c r="D34" s="41"/>
      <c r="E34" s="41"/>
      <c r="F34" s="41"/>
      <c r="G34" s="41"/>
      <c r="H34" s="41"/>
      <c r="I34" s="41"/>
      <c r="J34" s="41"/>
      <c r="K34" s="41"/>
      <c r="L34" s="41"/>
    </row>
  </sheetData>
  <mergeCells count="11">
    <mergeCell ref="A22:L22"/>
    <mergeCell ref="A23:L23"/>
    <mergeCell ref="A24:L24"/>
    <mergeCell ref="A25:L25"/>
    <mergeCell ref="A26:L26"/>
    <mergeCell ref="A29:L29"/>
    <mergeCell ref="A30:L30"/>
    <mergeCell ref="A31:L31"/>
    <mergeCell ref="A32:L32"/>
    <mergeCell ref="A33:L33"/>
    <mergeCell ref="A34:L34"/>
  </mergeCells>
  <conditionalFormatting sqref="B14:B18">
    <cfRule type="expression" priority="2" aboveAverage="0" equalAverage="0" bottom="0" percent="0" rank="0" text="" dxfId="0">
      <formula>B14="Conforme Onsrud"</formula>
    </cfRule>
    <cfRule type="expression" priority="3" aboveAverage="0" equalAverage="0" bottom="0" percent="0" rank="0" text="" dxfId="1">
      <formula>LEFT(B14,10)="Estimation"</formula>
    </cfRule>
  </conditionalFormatting>
  <dataValidations count="4">
    <dataValidation allowBlank="false" errorStyle="stop" operator="between" showDropDown="false" showErrorMessage="false" showInputMessage="false" sqref="B4" type="list">
      <formula1>"Polycarbonate,Acrylique,HDPE,UHMW,Autre plastique dur,Autre plastique mou"</formula1>
      <formula2>0</formula2>
    </dataValidation>
    <dataValidation allowBlank="false" errorStyle="stop" operator="between" showDropDown="false" showErrorMessage="false" showInputMessage="false" sqref="B5" type="list">
      <formula1>"Détourage / profil,Trous / poches,Chanfrein / V / gravure,3D / bout rond"</formula1>
      <formula2>0</formula2>
    </dataValidation>
    <dataValidation allowBlank="false" errorStyle="stop" operator="between" showDropDown="false" showErrorMessage="false" showInputMessage="false" sqref="B6" type="list">
      <formula1>"Upcut,Downcut"</formula1>
      <formula2>0</formula2>
    </dataValidation>
    <dataValidation allowBlank="false" errorStyle="stop" operator="between" showDropDown="false" showErrorMessage="false" showInputMessage="false" sqref="B8" type="list">
      <formula1>"Fraction,Décimal,mm"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4" min="3" style="0" width="30"/>
    <col collapsed="false" customWidth="true" hidden="false" outlineLevel="0" max="5" min="5" style="0" width="12"/>
    <col collapsed="false" customWidth="true" hidden="false" outlineLevel="0" max="6" min="6" style="0" width="8"/>
    <col collapsed="false" customWidth="true" hidden="false" outlineLevel="0" max="7" min="7" style="0" width="20"/>
    <col collapsed="false" customWidth="true" hidden="false" outlineLevel="0" max="8" min="8" style="0" width="14"/>
    <col collapsed="false" customWidth="true" hidden="false" outlineLevel="0" max="9" min="9" style="0" width="12"/>
    <col collapsed="false" customWidth="true" hidden="false" outlineLevel="0" max="11" min="10" style="0" width="30"/>
  </cols>
  <sheetData>
    <row r="1" customFormat="false" ht="19.7" hidden="false" customHeight="false" outlineLevel="0" collapsed="false">
      <c r="A1" s="1" t="s">
        <v>80</v>
      </c>
    </row>
    <row r="2" customFormat="false" ht="15" hidden="false" customHeight="false" outlineLevel="0" collapsed="false">
      <c r="A2" s="2" t="s">
        <v>81</v>
      </c>
    </row>
    <row r="4" customFormat="false" ht="15" hidden="false" customHeight="false" outlineLevel="0" collapsed="false">
      <c r="A4" s="3" t="s">
        <v>82</v>
      </c>
      <c r="B4" s="4"/>
      <c r="C4" s="2" t="s">
        <v>83</v>
      </c>
    </row>
    <row r="5" customFormat="false" ht="15" hidden="false" customHeight="false" outlineLevel="0" collapsed="false">
      <c r="A5" s="3" t="s">
        <v>27</v>
      </c>
      <c r="B5" s="5" t="s">
        <v>84</v>
      </c>
    </row>
    <row r="6" customFormat="false" ht="15" hidden="false" customHeight="false" outlineLevel="0" collapsed="false">
      <c r="A6" s="3" t="s">
        <v>85</v>
      </c>
      <c r="B6" s="4"/>
      <c r="C6" s="2" t="s">
        <v>86</v>
      </c>
    </row>
    <row r="7" customFormat="false" ht="15" hidden="false" customHeight="false" outlineLevel="0" collapsed="false">
      <c r="A7" s="3" t="s">
        <v>87</v>
      </c>
      <c r="B7" s="5" t="s">
        <v>6</v>
      </c>
      <c r="C7" s="26" t="str">
        <f aca="false">IF(ISNUMBER(Calcul!$L$11),"Ø "&amp;IF(NOT(ISNUMBER(Calcul!$L$11)),"",IF(NOT(ISNUMBER(Calcul!$L$11)),"",IF(Calcul!$L$11&lt;=0,"",IF(ABS(Calcul!$L$11*64-ROUND(Calcul!$L$11*64,0))&gt;0.0005,"≈ ","")&amp;IF(INT(ROUND(Calcul!$L$11*64,0)/64)&gt;0,INT(ROUND(Calcul!$L$11*64,0)/64)&amp;IF(MOD(ROUND(Calcul!$L$11*64,0),64)&gt;0," ",""),"")&amp;IF(MOD(ROUND(Calcul!$L$11*64,0),64)&gt;0,MOD(ROUND(Calcul!$L$11*64,0),64)/GCD(MOD(ROUND(Calcul!$L$11*64,0),64),64)&amp;"/"&amp;64/GCD(MOD(ROUND(Calcul!$L$11*64,0),64),64),IF(ROUND(Calcul!$L$11*64,0)=0,"0",""))&amp;""""))&amp;" · "&amp;FIXED(Calcul!$L$11,4,TRUE())&amp;" po · "&amp;FIXED(Calcul!$L$11*25.4,3,TRUE())&amp;" mm"),"")</f>
        <v/>
      </c>
    </row>
    <row r="8" customFormat="false" ht="15" hidden="false" customHeight="false" outlineLevel="0" collapsed="false">
      <c r="A8" s="3" t="s">
        <v>88</v>
      </c>
      <c r="B8" s="4"/>
      <c r="C8" s="2" t="s">
        <v>89</v>
      </c>
    </row>
    <row r="9" customFormat="false" ht="15" hidden="false" customHeight="false" outlineLevel="0" collapsed="false">
      <c r="A9" s="3" t="s">
        <v>45</v>
      </c>
      <c r="B9" s="5" t="s">
        <v>6</v>
      </c>
      <c r="C9" s="26" t="str">
        <f aca="false">IF(ISNUMBER(Calcul!$O$11),"Épaisseur "&amp;IF(NOT(ISNUMBER(Calcul!$O$11)),"",IF(NOT(ISNUMBER(Calcul!$O$11)),"",IF(Calcul!$O$11&lt;=0,"",IF(ABS(Calcul!$O$11*64-ROUND(Calcul!$O$11*64,0))&gt;0.0005,"≈ ","")&amp;IF(INT(ROUND(Calcul!$O$11*64,0)/64)&gt;0,INT(ROUND(Calcul!$O$11*64,0)/64)&amp;IF(MOD(ROUND(Calcul!$O$11*64,0),64)&gt;0," ",""),"")&amp;IF(MOD(ROUND(Calcul!$O$11*64,0),64)&gt;0,MOD(ROUND(Calcul!$O$11*64,0),64)/GCD(MOD(ROUND(Calcul!$O$11*64,0),64),64)&amp;"/"&amp;64/GCD(MOD(ROUND(Calcul!$O$11*64,0),64),64),IF(ROUND(Calcul!$O$11*64,0)=0,"0",""))&amp;""""))&amp;" · "&amp;FIXED(Calcul!$O$11,4,TRUE())&amp;" po · "&amp;FIXED(Calcul!$O$11*25.4,3,TRUE())&amp;" mm"),"")</f>
        <v/>
      </c>
    </row>
    <row r="11" customFormat="false" ht="15" hidden="false" customHeight="false" outlineLevel="0" collapsed="false">
      <c r="A11" s="23" t="str">
        <f aca="false">COUNT(Calcul!$P$60:$P$184)&amp;" outil(s) sur 125"</f>
        <v>125 outil(s) sur 125</v>
      </c>
    </row>
    <row r="13" customFormat="false" ht="26.85" hidden="false" customHeight="false" outlineLevel="0" collapsed="false">
      <c r="A13" s="12" t="s">
        <v>26</v>
      </c>
      <c r="B13" s="12" t="s">
        <v>27</v>
      </c>
      <c r="C13" s="12" t="s">
        <v>50</v>
      </c>
      <c r="D13" s="12" t="s">
        <v>29</v>
      </c>
      <c r="E13" s="12" t="s">
        <v>28</v>
      </c>
      <c r="F13" s="12" t="s">
        <v>90</v>
      </c>
      <c r="G13" s="12" t="s">
        <v>31</v>
      </c>
      <c r="H13" s="12" t="s">
        <v>91</v>
      </c>
      <c r="I13" s="12" t="s">
        <v>30</v>
      </c>
      <c r="J13" s="12" t="s">
        <v>92</v>
      </c>
      <c r="K13" s="12" t="s">
        <v>32</v>
      </c>
    </row>
    <row r="14" customFormat="false" ht="15" hidden="false" customHeight="false" outlineLevel="0" collapsed="false">
      <c r="A14" s="24" t="str">
        <f aca="false">IF(Calcul!$BY$60=0,"",INDEX('Liste outils'!$B$6:$B$130,Calcul!$BY$60)&amp;"")</f>
        <v>EM0002</v>
      </c>
      <c r="B14" s="25" t="str">
        <f aca="false">IF(Calcul!$BY$60=0,"",INDEX('Liste outils'!$C$6:$C$130,Calcul!$BY$60)&amp;"")</f>
        <v>End Mill</v>
      </c>
      <c r="C14" s="25" t="str">
        <f aca="false">IF(Calcul!$BY$60=0,"",IF(ISNUMBER(INDEX('Liste outils'!$E$6:$E$130,Calcul!$BY$60)),IF(NOT(ISNUMBER(INDEX('Liste outils'!$E$6:$E$130,Calcul!$BY$60))),"",IF(NOT(ISNUMBER(INDEX('Liste outils'!$E$6:$E$130,Calcul!$BY$60))),"",IF(INDEX('Liste outils'!$E$6:$E$130,Calcul!$BY$60)&lt;=0,"",IF(ABS(INDEX('Liste outils'!$E$6:$E$130,Calcul!$BY$60)*64-ROUND(INDEX('Liste outils'!$E$6:$E$130,Calcul!$BY$60)*64,0))&gt;0.0005,"≈ ","")&amp;IF(INT(ROUND(INDEX('Liste outils'!$E$6:$E$130,Calcul!$BY$60)*64,0)/64)&gt;0,INT(ROUND(INDEX('Liste outils'!$E$6:$E$130,Calcul!$BY$60)*64,0)/64)&amp;IF(MOD(ROUND(INDEX('Liste outils'!$E$6:$E$130,Calcul!$BY$60)*64,0),64)&gt;0," ",""),"")&amp;IF(MOD(ROUND(INDEX('Liste outils'!$E$6:$E$130,Calcul!$BY$60)*64,0),64)&gt;0,MOD(ROUND(INDEX('Liste outils'!$E$6:$E$130,Calcul!$BY$60)*64,0),64)/GCD(MOD(ROUND(INDEX('Liste outils'!$E$6:$E$130,Calcul!$BY$60)*64,0),64),64)&amp;"/"&amp;64/GCD(MOD(ROUND(INDEX('Liste outils'!$E$6:$E$130,Calcul!$BY$60)*64,0),64),64),IF(ROUND(INDEX('Liste outils'!$E$6:$E$130,Calcul!$BY$60)*64,0)=0,"0",""))&amp;""""))&amp;" · "&amp;FIXED(INDEX('Liste outils'!$E$6:$E$130,Calcul!$BY$60),4,TRUE())&amp;" po · "&amp;FIXED(INDEX('Liste outils'!$E$6:$E$130,Calcul!$BY$60)*25.4,3,TRUE())&amp;" mm"),""))</f>
        <v>≈ 1/32" · 0.0390 po · 0.991 mm</v>
      </c>
      <c r="D14" s="25" t="str">
        <f aca="false">IF(Calcul!$BY$60=0,"",IF(ISNUMBER(INDEX('Liste outils'!$H$6:$H$130,Calcul!$BY$60)),IF(NOT(ISNUMBER(INDEX('Liste outils'!$H$6:$H$130,Calcul!$BY$60))),"",IF(NOT(ISNUMBER(INDEX('Liste outils'!$H$6:$H$130,Calcul!$BY$60))),"",IF(INDEX('Liste outils'!$H$6:$H$130,Calcul!$BY$60)&lt;=0,"",IF(ABS(INDEX('Liste outils'!$H$6:$H$130,Calcul!$BY$60)*64-ROUND(INDEX('Liste outils'!$H$6:$H$130,Calcul!$BY$60)*64,0))&gt;0.0005,"≈ ","")&amp;IF(INT(ROUND(INDEX('Liste outils'!$H$6:$H$130,Calcul!$BY$60)*64,0)/64)&gt;0,INT(ROUND(INDEX('Liste outils'!$H$6:$H$130,Calcul!$BY$60)*64,0)/64)&amp;IF(MOD(ROUND(INDEX('Liste outils'!$H$6:$H$130,Calcul!$BY$60)*64,0),64)&gt;0," ",""),"")&amp;IF(MOD(ROUND(INDEX('Liste outils'!$H$6:$H$130,Calcul!$BY$60)*64,0),64)&gt;0,MOD(ROUND(INDEX('Liste outils'!$H$6:$H$130,Calcul!$BY$60)*64,0),64)/GCD(MOD(ROUND(INDEX('Liste outils'!$H$6:$H$130,Calcul!$BY$60)*64,0),64),64)&amp;"/"&amp;64/GCD(MOD(ROUND(INDEX('Liste outils'!$H$6:$H$130,Calcul!$BY$60)*64,0),64),64),IF(ROUND(INDEX('Liste outils'!$H$6:$H$130,Calcul!$BY$60)*64,0)=0,"0",""))&amp;""""))&amp;" · "&amp;FIXED(INDEX('Liste outils'!$H$6:$H$130,Calcul!$BY$60),4,TRUE())&amp;" po · "&amp;FIXED(INDEX('Liste outils'!$H$6:$H$130,Calcul!$BY$60)*25.4,3,TRUE())&amp;" mm"),""))</f>
        <v>13/64" · 0.2031 po · 5.159 mm</v>
      </c>
      <c r="E14" s="25" t="str">
        <f aca="false">IF(Calcul!$BY$60=0,"",INDEX('Liste outils'!$J$6:$J$130,Calcul!$BY$60)&amp;"")</f>
        <v>Upcut</v>
      </c>
      <c r="F14" s="25" t="str">
        <f aca="false">IF(Calcul!$BY$60=0,"",INDEX('Liste outils'!$K$6:$K$130,Calcul!$BY$60)&amp;"")</f>
        <v>2</v>
      </c>
      <c r="G14" s="25" t="str">
        <f aca="false">IF(Calcul!$BY$60=0,"",INDEX('Liste outils'!$O$6:$O$130,Calcul!$BY$60)&amp;"")</f>
        <v>49839</v>
      </c>
      <c r="H14" s="25" t="str">
        <f aca="false">IF(Calcul!$BY$60=0,"",INDEX('Liste outils'!$P$6:$P$130,Calcul!$BY$60)&amp;"")</f>
        <v>HARVEY TOOL</v>
      </c>
      <c r="I14" s="25" t="str">
        <f aca="false">IF(Calcul!$BY$60=0,"",INDEX('Liste outils'!$AB$6:$AB$130,Calcul!$BY$60)&amp;"")</f>
        <v>A-1-A-1</v>
      </c>
      <c r="J14" s="25" t="str">
        <f aca="false">IF(Calcul!$BY$60=0,"",INDEX('Liste outils'!$AA$6:$AA$130,Calcul!$BY$60)&amp;"")</f>
        <v/>
      </c>
      <c r="K14" s="25" t="str">
        <f aca="false">IF(Calcul!$BY$60=0,"",INDEX('Liste outils'!$AC$6:$AC$130,Calcul!$BY$60)&amp;"")</f>
        <v/>
      </c>
    </row>
    <row r="15" customFormat="false" ht="15" hidden="false" customHeight="false" outlineLevel="0" collapsed="false">
      <c r="A15" s="24" t="str">
        <f aca="false">IF(Calcul!$BY$61=0,"",INDEX('Liste outils'!$B$6:$B$130,Calcul!$BY$61)&amp;"")</f>
        <v>EM0042</v>
      </c>
      <c r="B15" s="25" t="str">
        <f aca="false">IF(Calcul!$BY$61=0,"",INDEX('Liste outils'!$C$6:$C$130,Calcul!$BY$61)&amp;"")</f>
        <v>End Mill</v>
      </c>
      <c r="C15" s="25" t="str">
        <f aca="false">IF(Calcul!$BY$61=0,"",IF(ISNUMBER(INDEX('Liste outils'!$E$6:$E$130,Calcul!$BY$61)),IF(NOT(ISNUMBER(INDEX('Liste outils'!$E$6:$E$130,Calcul!$BY$61))),"",IF(NOT(ISNUMBER(INDEX('Liste outils'!$E$6:$E$130,Calcul!$BY$61))),"",IF(INDEX('Liste outils'!$E$6:$E$130,Calcul!$BY$61)&lt;=0,"",IF(ABS(INDEX('Liste outils'!$E$6:$E$130,Calcul!$BY$61)*64-ROUND(INDEX('Liste outils'!$E$6:$E$130,Calcul!$BY$61)*64,0))&gt;0.0005,"≈ ","")&amp;IF(INT(ROUND(INDEX('Liste outils'!$E$6:$E$130,Calcul!$BY$61)*64,0)/64)&gt;0,INT(ROUND(INDEX('Liste outils'!$E$6:$E$130,Calcul!$BY$61)*64,0)/64)&amp;IF(MOD(ROUND(INDEX('Liste outils'!$E$6:$E$130,Calcul!$BY$61)*64,0),64)&gt;0," ",""),"")&amp;IF(MOD(ROUND(INDEX('Liste outils'!$E$6:$E$130,Calcul!$BY$61)*64,0),64)&gt;0,MOD(ROUND(INDEX('Liste outils'!$E$6:$E$130,Calcul!$BY$61)*64,0),64)/GCD(MOD(ROUND(INDEX('Liste outils'!$E$6:$E$130,Calcul!$BY$61)*64,0),64),64)&amp;"/"&amp;64/GCD(MOD(ROUND(INDEX('Liste outils'!$E$6:$E$130,Calcul!$BY$61)*64,0),64),64),IF(ROUND(INDEX('Liste outils'!$E$6:$E$130,Calcul!$BY$61)*64,0)=0,"0",""))&amp;""""))&amp;" · "&amp;FIXED(INDEX('Liste outils'!$E$6:$E$130,Calcul!$BY$61),4,TRUE())&amp;" po · "&amp;FIXED(INDEX('Liste outils'!$E$6:$E$130,Calcul!$BY$61)*25.4,3,TRUE())&amp;" mm"),""))</f>
        <v>1/16" · 0.0625 po · 1.588 mm</v>
      </c>
      <c r="D15" s="25" t="str">
        <f aca="false">IF(Calcul!$BY$61=0,"",IF(ISNUMBER(INDEX('Liste outils'!$H$6:$H$130,Calcul!$BY$61)),IF(NOT(ISNUMBER(INDEX('Liste outils'!$H$6:$H$130,Calcul!$BY$61))),"",IF(NOT(ISNUMBER(INDEX('Liste outils'!$H$6:$H$130,Calcul!$BY$61))),"",IF(INDEX('Liste outils'!$H$6:$H$130,Calcul!$BY$61)&lt;=0,"",IF(ABS(INDEX('Liste outils'!$H$6:$H$130,Calcul!$BY$61)*64-ROUND(INDEX('Liste outils'!$H$6:$H$130,Calcul!$BY$61)*64,0))&gt;0.0005,"≈ ","")&amp;IF(INT(ROUND(INDEX('Liste outils'!$H$6:$H$130,Calcul!$BY$61)*64,0)/64)&gt;0,INT(ROUND(INDEX('Liste outils'!$H$6:$H$130,Calcul!$BY$61)*64,0)/64)&amp;IF(MOD(ROUND(INDEX('Liste outils'!$H$6:$H$130,Calcul!$BY$61)*64,0),64)&gt;0," ",""),"")&amp;IF(MOD(ROUND(INDEX('Liste outils'!$H$6:$H$130,Calcul!$BY$61)*64,0),64)&gt;0,MOD(ROUND(INDEX('Liste outils'!$H$6:$H$130,Calcul!$BY$61)*64,0),64)/GCD(MOD(ROUND(INDEX('Liste outils'!$H$6:$H$130,Calcul!$BY$61)*64,0),64),64)&amp;"/"&amp;64/GCD(MOD(ROUND(INDEX('Liste outils'!$H$6:$H$130,Calcul!$BY$61)*64,0),64),64),IF(ROUND(INDEX('Liste outils'!$H$6:$H$130,Calcul!$BY$61)*64,0)=0,"0",""))&amp;""""))&amp;" · "&amp;FIXED(INDEX('Liste outils'!$H$6:$H$130,Calcul!$BY$61),4,TRUE())&amp;" po · "&amp;FIXED(INDEX('Liste outils'!$H$6:$H$130,Calcul!$BY$61)*25.4,3,TRUE())&amp;" mm"),""))</f>
        <v>1/4" · 0.2500 po · 6.350 mm</v>
      </c>
      <c r="E15" s="25" t="str">
        <f aca="false">IF(Calcul!$BY$61=0,"",INDEX('Liste outils'!$J$6:$J$130,Calcul!$BY$61)&amp;"")</f>
        <v>Upcut</v>
      </c>
      <c r="F15" s="25" t="str">
        <f aca="false">IF(Calcul!$BY$61=0,"",INDEX('Liste outils'!$K$6:$K$130,Calcul!$BY$61)&amp;"")</f>
        <v>1</v>
      </c>
      <c r="G15" s="25" t="str">
        <f aca="false">IF(Calcul!$BY$61=0,"",INDEX('Liste outils'!$O$6:$O$130,Calcul!$BY$61)&amp;"")</f>
        <v>63-701</v>
      </c>
      <c r="H15" s="25" t="str">
        <f aca="false">IF(Calcul!$BY$61=0,"",INDEX('Liste outils'!$P$6:$P$130,Calcul!$BY$61)&amp;"")</f>
        <v>LMT Onsrud</v>
      </c>
      <c r="I15" s="25" t="str">
        <f aca="false">IF(Calcul!$BY$61=0,"",INDEX('Liste outils'!$AB$6:$AB$130,Calcul!$BY$61)&amp;"")</f>
        <v>A-1-F-1</v>
      </c>
      <c r="J15" s="25" t="str">
        <f aca="false">IF(Calcul!$BY$61=0,"",INDEX('Liste outils'!$AA$6:$AA$130,Calcul!$BY$61)&amp;"")</f>
        <v>Hard Plastic, Solid Surface</v>
      </c>
      <c r="K15" s="25" t="str">
        <f aca="false">IF(Calcul!$BY$61=0,"",INDEX('Liste outils'!$AC$6:$AC$130,Calcul!$BY$61)&amp;"")</f>
        <v/>
      </c>
    </row>
    <row r="16" customFormat="false" ht="15" hidden="false" customHeight="false" outlineLevel="0" collapsed="false">
      <c r="A16" s="24" t="str">
        <f aca="false">IF(Calcul!$BY$62=0,"",INDEX('Liste outils'!$B$6:$B$130,Calcul!$BY$62)&amp;"")</f>
        <v>EM0051</v>
      </c>
      <c r="B16" s="25" t="str">
        <f aca="false">IF(Calcul!$BY$62=0,"",INDEX('Liste outils'!$C$6:$C$130,Calcul!$BY$62)&amp;"")</f>
        <v>End Mill</v>
      </c>
      <c r="C16" s="25" t="str">
        <f aca="false">IF(Calcul!$BY$62=0,"",IF(ISNUMBER(INDEX('Liste outils'!$E$6:$E$130,Calcul!$BY$62)),IF(NOT(ISNUMBER(INDEX('Liste outils'!$E$6:$E$130,Calcul!$BY$62))),"",IF(NOT(ISNUMBER(INDEX('Liste outils'!$E$6:$E$130,Calcul!$BY$62))),"",IF(INDEX('Liste outils'!$E$6:$E$130,Calcul!$BY$62)&lt;=0,"",IF(ABS(INDEX('Liste outils'!$E$6:$E$130,Calcul!$BY$62)*64-ROUND(INDEX('Liste outils'!$E$6:$E$130,Calcul!$BY$62)*64,0))&gt;0.0005,"≈ ","")&amp;IF(INT(ROUND(INDEX('Liste outils'!$E$6:$E$130,Calcul!$BY$62)*64,0)/64)&gt;0,INT(ROUND(INDEX('Liste outils'!$E$6:$E$130,Calcul!$BY$62)*64,0)/64)&amp;IF(MOD(ROUND(INDEX('Liste outils'!$E$6:$E$130,Calcul!$BY$62)*64,0),64)&gt;0," ",""),"")&amp;IF(MOD(ROUND(INDEX('Liste outils'!$E$6:$E$130,Calcul!$BY$62)*64,0),64)&gt;0,MOD(ROUND(INDEX('Liste outils'!$E$6:$E$130,Calcul!$BY$62)*64,0),64)/GCD(MOD(ROUND(INDEX('Liste outils'!$E$6:$E$130,Calcul!$BY$62)*64,0),64),64)&amp;"/"&amp;64/GCD(MOD(ROUND(INDEX('Liste outils'!$E$6:$E$130,Calcul!$BY$62)*64,0),64),64),IF(ROUND(INDEX('Liste outils'!$E$6:$E$130,Calcul!$BY$62)*64,0)=0,"0",""))&amp;""""))&amp;" · "&amp;FIXED(INDEX('Liste outils'!$E$6:$E$130,Calcul!$BY$62),4,TRUE())&amp;" po · "&amp;FIXED(INDEX('Liste outils'!$E$6:$E$130,Calcul!$BY$62)*25.4,3,TRUE())&amp;" mm"),""))</f>
        <v>1/16" · 0.0625 po · 1.588 mm</v>
      </c>
      <c r="D16" s="25" t="str">
        <f aca="false">IF(Calcul!$BY$62=0,"",IF(ISNUMBER(INDEX('Liste outils'!$H$6:$H$130,Calcul!$BY$62)),IF(NOT(ISNUMBER(INDEX('Liste outils'!$H$6:$H$130,Calcul!$BY$62))),"",IF(NOT(ISNUMBER(INDEX('Liste outils'!$H$6:$H$130,Calcul!$BY$62))),"",IF(INDEX('Liste outils'!$H$6:$H$130,Calcul!$BY$62)&lt;=0,"",IF(ABS(INDEX('Liste outils'!$H$6:$H$130,Calcul!$BY$62)*64-ROUND(INDEX('Liste outils'!$H$6:$H$130,Calcul!$BY$62)*64,0))&gt;0.0005,"≈ ","")&amp;IF(INT(ROUND(INDEX('Liste outils'!$H$6:$H$130,Calcul!$BY$62)*64,0)/64)&gt;0,INT(ROUND(INDEX('Liste outils'!$H$6:$H$130,Calcul!$BY$62)*64,0)/64)&amp;IF(MOD(ROUND(INDEX('Liste outils'!$H$6:$H$130,Calcul!$BY$62)*64,0),64)&gt;0," ",""),"")&amp;IF(MOD(ROUND(INDEX('Liste outils'!$H$6:$H$130,Calcul!$BY$62)*64,0),64)&gt;0,MOD(ROUND(INDEX('Liste outils'!$H$6:$H$130,Calcul!$BY$62)*64,0),64)/GCD(MOD(ROUND(INDEX('Liste outils'!$H$6:$H$130,Calcul!$BY$62)*64,0),64),64)&amp;"/"&amp;64/GCD(MOD(ROUND(INDEX('Liste outils'!$H$6:$H$130,Calcul!$BY$62)*64,0),64),64),IF(ROUND(INDEX('Liste outils'!$H$6:$H$130,Calcul!$BY$62)*64,0)=0,"0",""))&amp;""""))&amp;" · "&amp;FIXED(INDEX('Liste outils'!$H$6:$H$130,Calcul!$BY$62),4,TRUE())&amp;" po · "&amp;FIXED(INDEX('Liste outils'!$H$6:$H$130,Calcul!$BY$62)*25.4,3,TRUE())&amp;" mm"),""))</f>
        <v>1/4" · 0.2500 po · 6.350 mm</v>
      </c>
      <c r="E16" s="25" t="str">
        <f aca="false">IF(Calcul!$BY$62=0,"",INDEX('Liste outils'!$J$6:$J$130,Calcul!$BY$62)&amp;"")</f>
        <v>Upcut</v>
      </c>
      <c r="F16" s="25" t="str">
        <f aca="false">IF(Calcul!$BY$62=0,"",INDEX('Liste outils'!$K$6:$K$130,Calcul!$BY$62)&amp;"")</f>
        <v>1</v>
      </c>
      <c r="G16" s="25" t="str">
        <f aca="false">IF(Calcul!$BY$62=0,"",INDEX('Liste outils'!$O$6:$O$130,Calcul!$BY$62)&amp;"")</f>
        <v>63-700</v>
      </c>
      <c r="H16" s="25" t="str">
        <f aca="false">IF(Calcul!$BY$62=0,"",INDEX('Liste outils'!$P$6:$P$130,Calcul!$BY$62)&amp;"")</f>
        <v>LMT Onsrud</v>
      </c>
      <c r="I16" s="25" t="str">
        <f aca="false">IF(Calcul!$BY$62=0,"",INDEX('Liste outils'!$AB$6:$AB$130,Calcul!$BY$62)&amp;"")</f>
        <v>A-1-F-1</v>
      </c>
      <c r="J16" s="25" t="str">
        <f aca="false">IF(Calcul!$BY$62=0,"",INDEX('Liste outils'!$AA$6:$AA$130,Calcul!$BY$62)&amp;"")</f>
        <v>Hard Plastic, Solid Surface</v>
      </c>
      <c r="K16" s="25" t="str">
        <f aca="false">IF(Calcul!$BY$62=0,"",INDEX('Liste outils'!$AC$6:$AC$130,Calcul!$BY$62)&amp;"")</f>
        <v/>
      </c>
    </row>
    <row r="17" customFormat="false" ht="57.45" hidden="false" customHeight="false" outlineLevel="0" collapsed="false">
      <c r="A17" s="24" t="str">
        <f aca="false">IF(Calcul!$BY$63=0,"",INDEX('Liste outils'!$B$6:$B$130,Calcul!$BY$63)&amp;"")</f>
        <v>EM0036</v>
      </c>
      <c r="B17" s="25" t="str">
        <f aca="false">IF(Calcul!$BY$63=0,"",INDEX('Liste outils'!$C$6:$C$130,Calcul!$BY$63)&amp;"")</f>
        <v>End Mill</v>
      </c>
      <c r="C17" s="25" t="str">
        <f aca="false">IF(Calcul!$BY$63=0,"",IF(ISNUMBER(INDEX('Liste outils'!$E$6:$E$130,Calcul!$BY$63)),IF(NOT(ISNUMBER(INDEX('Liste outils'!$E$6:$E$130,Calcul!$BY$63))),"",IF(NOT(ISNUMBER(INDEX('Liste outils'!$E$6:$E$130,Calcul!$BY$63))),"",IF(INDEX('Liste outils'!$E$6:$E$130,Calcul!$BY$63)&lt;=0,"",IF(ABS(INDEX('Liste outils'!$E$6:$E$130,Calcul!$BY$63)*64-ROUND(INDEX('Liste outils'!$E$6:$E$130,Calcul!$BY$63)*64,0))&gt;0.0005,"≈ ","")&amp;IF(INT(ROUND(INDEX('Liste outils'!$E$6:$E$130,Calcul!$BY$63)*64,0)/64)&gt;0,INT(ROUND(INDEX('Liste outils'!$E$6:$E$130,Calcul!$BY$63)*64,0)/64)&amp;IF(MOD(ROUND(INDEX('Liste outils'!$E$6:$E$130,Calcul!$BY$63)*64,0),64)&gt;0," ",""),"")&amp;IF(MOD(ROUND(INDEX('Liste outils'!$E$6:$E$130,Calcul!$BY$63)*64,0),64)&gt;0,MOD(ROUND(INDEX('Liste outils'!$E$6:$E$130,Calcul!$BY$63)*64,0),64)/GCD(MOD(ROUND(INDEX('Liste outils'!$E$6:$E$130,Calcul!$BY$63)*64,0),64),64)&amp;"/"&amp;64/GCD(MOD(ROUND(INDEX('Liste outils'!$E$6:$E$130,Calcul!$BY$63)*64,0),64),64),IF(ROUND(INDEX('Liste outils'!$E$6:$E$130,Calcul!$BY$63)*64,0)=0,"0",""))&amp;""""))&amp;" · "&amp;FIXED(INDEX('Liste outils'!$E$6:$E$130,Calcul!$BY$63),4,TRUE())&amp;" po · "&amp;FIXED(INDEX('Liste outils'!$E$6:$E$130,Calcul!$BY$63)*25.4,3,TRUE())&amp;" mm"),""))</f>
        <v>≈ 3/32" · 0.0980 po · 2.489 mm</v>
      </c>
      <c r="D17" s="25" t="str">
        <f aca="false">IF(Calcul!$BY$63=0,"",IF(ISNUMBER(INDEX('Liste outils'!$H$6:$H$130,Calcul!$BY$63)),IF(NOT(ISNUMBER(INDEX('Liste outils'!$H$6:$H$130,Calcul!$BY$63))),"",IF(NOT(ISNUMBER(INDEX('Liste outils'!$H$6:$H$130,Calcul!$BY$63))),"",IF(INDEX('Liste outils'!$H$6:$H$130,Calcul!$BY$63)&lt;=0,"",IF(ABS(INDEX('Liste outils'!$H$6:$H$130,Calcul!$BY$63)*64-ROUND(INDEX('Liste outils'!$H$6:$H$130,Calcul!$BY$63)*64,0))&gt;0.0005,"≈ ","")&amp;IF(INT(ROUND(INDEX('Liste outils'!$H$6:$H$130,Calcul!$BY$63)*64,0)/64)&gt;0,INT(ROUND(INDEX('Liste outils'!$H$6:$H$130,Calcul!$BY$63)*64,0)/64)&amp;IF(MOD(ROUND(INDEX('Liste outils'!$H$6:$H$130,Calcul!$BY$63)*64,0),64)&gt;0," ",""),"")&amp;IF(MOD(ROUND(INDEX('Liste outils'!$H$6:$H$130,Calcul!$BY$63)*64,0),64)&gt;0,MOD(ROUND(INDEX('Liste outils'!$H$6:$H$130,Calcul!$BY$63)*64,0),64)/GCD(MOD(ROUND(INDEX('Liste outils'!$H$6:$H$130,Calcul!$BY$63)*64,0),64),64)&amp;"/"&amp;64/GCD(MOD(ROUND(INDEX('Liste outils'!$H$6:$H$130,Calcul!$BY$63)*64,0),64),64),IF(ROUND(INDEX('Liste outils'!$H$6:$H$130,Calcul!$BY$63)*64,0)=0,"0",""))&amp;""""))&amp;" · "&amp;FIXED(INDEX('Liste outils'!$H$6:$H$130,Calcul!$BY$63),4,TRUE())&amp;" po · "&amp;FIXED(INDEX('Liste outils'!$H$6:$H$130,Calcul!$BY$63)*25.4,3,TRUE())&amp;" mm"),""))</f>
        <v>1/4" · 0.2500 po · 6.350 mm</v>
      </c>
      <c r="E17" s="25" t="str">
        <f aca="false">IF(Calcul!$BY$63=0,"",INDEX('Liste outils'!$J$6:$J$130,Calcul!$BY$63)&amp;"")</f>
        <v>Right</v>
      </c>
      <c r="F17" s="25" t="str">
        <f aca="false">IF(Calcul!$BY$63=0,"",INDEX('Liste outils'!$K$6:$K$130,Calcul!$BY$63)&amp;"")</f>
        <v>4</v>
      </c>
      <c r="G17" s="25" t="str">
        <f aca="false">IF(Calcul!$BY$63=0,"",INDEX('Liste outils'!$O$6:$O$130,Calcul!$BY$63)&amp;"")</f>
        <v>71020-C3</v>
      </c>
      <c r="H17" s="25" t="str">
        <f aca="false">IF(Calcul!$BY$63=0,"",INDEX('Liste outils'!$P$6:$P$130,Calcul!$BY$63)&amp;"")</f>
        <v>Harvey Tool</v>
      </c>
      <c r="I17" s="25" t="str">
        <f aca="false">IF(Calcul!$BY$63=0,"",INDEX('Liste outils'!$AB$6:$AB$130,Calcul!$BY$63)&amp;"")</f>
        <v>A-1-K-3</v>
      </c>
      <c r="J17" s="25" t="str">
        <f aca="false">IF(Calcul!$BY$63=0,"",INDEX('Liste outils'!$AA$6:$AA$130,Calcul!$BY$63)&amp;"")</f>
        <v>Aluminum, Non-Ferrous Metal, Cast Iron, Steel, Stainless Steel, Exotic Metal, Titanium, Plastic, Wood, Composites, Graphite, Hardened Alloys, Green (Unfired)</v>
      </c>
      <c r="K17" s="25" t="str">
        <f aca="false">IF(Calcul!$BY$63=0,"",INDEX('Liste outils'!$AC$6:$AC$130,Calcul!$BY$63)&amp;"")</f>
        <v>Small thread</v>
      </c>
    </row>
    <row r="18" customFormat="false" ht="23.85" hidden="false" customHeight="false" outlineLevel="0" collapsed="false">
      <c r="A18" s="24" t="str">
        <f aca="false">IF(Calcul!$BY$64=0,"",INDEX('Liste outils'!$B$6:$B$130,Calcul!$BY$64)&amp;"")</f>
        <v>EM0026</v>
      </c>
      <c r="B18" s="25" t="str">
        <f aca="false">IF(Calcul!$BY$64=0,"",INDEX('Liste outils'!$C$6:$C$130,Calcul!$BY$64)&amp;"")</f>
        <v>End Mill</v>
      </c>
      <c r="C18" s="25" t="str">
        <f aca="false">IF(Calcul!$BY$64=0,"",IF(ISNUMBER(INDEX('Liste outils'!$E$6:$E$130,Calcul!$BY$64)),IF(NOT(ISNUMBER(INDEX('Liste outils'!$E$6:$E$130,Calcul!$BY$64))),"",IF(NOT(ISNUMBER(INDEX('Liste outils'!$E$6:$E$130,Calcul!$BY$64))),"",IF(INDEX('Liste outils'!$E$6:$E$130,Calcul!$BY$64)&lt;=0,"",IF(ABS(INDEX('Liste outils'!$E$6:$E$130,Calcul!$BY$64)*64-ROUND(INDEX('Liste outils'!$E$6:$E$130,Calcul!$BY$64)*64,0))&gt;0.0005,"≈ ","")&amp;IF(INT(ROUND(INDEX('Liste outils'!$E$6:$E$130,Calcul!$BY$64)*64,0)/64)&gt;0,INT(ROUND(INDEX('Liste outils'!$E$6:$E$130,Calcul!$BY$64)*64,0)/64)&amp;IF(MOD(ROUND(INDEX('Liste outils'!$E$6:$E$130,Calcul!$BY$64)*64,0),64)&gt;0," ",""),"")&amp;IF(MOD(ROUND(INDEX('Liste outils'!$E$6:$E$130,Calcul!$BY$64)*64,0),64)&gt;0,MOD(ROUND(INDEX('Liste outils'!$E$6:$E$130,Calcul!$BY$64)*64,0),64)/GCD(MOD(ROUND(INDEX('Liste outils'!$E$6:$E$130,Calcul!$BY$64)*64,0),64),64)&amp;"/"&amp;64/GCD(MOD(ROUND(INDEX('Liste outils'!$E$6:$E$130,Calcul!$BY$64)*64,0),64),64),IF(ROUND(INDEX('Liste outils'!$E$6:$E$130,Calcul!$BY$64)*64,0)=0,"0",""))&amp;""""))&amp;" · "&amp;FIXED(INDEX('Liste outils'!$E$6:$E$130,Calcul!$BY$64),4,TRUE())&amp;" po · "&amp;FIXED(INDEX('Liste outils'!$E$6:$E$130,Calcul!$BY$64)*25.4,3,TRUE())&amp;" mm"),""))</f>
        <v>1/8" · 0.1250 po · 3.175 mm</v>
      </c>
      <c r="D18" s="25" t="str">
        <f aca="false">IF(Calcul!$BY$64=0,"",IF(ISNUMBER(INDEX('Liste outils'!$H$6:$H$130,Calcul!$BY$64)),IF(NOT(ISNUMBER(INDEX('Liste outils'!$H$6:$H$130,Calcul!$BY$64))),"",IF(NOT(ISNUMBER(INDEX('Liste outils'!$H$6:$H$130,Calcul!$BY$64))),"",IF(INDEX('Liste outils'!$H$6:$H$130,Calcul!$BY$64)&lt;=0,"",IF(ABS(INDEX('Liste outils'!$H$6:$H$130,Calcul!$BY$64)*64-ROUND(INDEX('Liste outils'!$H$6:$H$130,Calcul!$BY$64)*64,0))&gt;0.0005,"≈ ","")&amp;IF(INT(ROUND(INDEX('Liste outils'!$H$6:$H$130,Calcul!$BY$64)*64,0)/64)&gt;0,INT(ROUND(INDEX('Liste outils'!$H$6:$H$130,Calcul!$BY$64)*64,0)/64)&amp;IF(MOD(ROUND(INDEX('Liste outils'!$H$6:$H$130,Calcul!$BY$64)*64,0),64)&gt;0," ",""),"")&amp;IF(MOD(ROUND(INDEX('Liste outils'!$H$6:$H$130,Calcul!$BY$64)*64,0),64)&gt;0,MOD(ROUND(INDEX('Liste outils'!$H$6:$H$130,Calcul!$BY$64)*64,0),64)/GCD(MOD(ROUND(INDEX('Liste outils'!$H$6:$H$130,Calcul!$BY$64)*64,0),64),64)&amp;"/"&amp;64/GCD(MOD(ROUND(INDEX('Liste outils'!$H$6:$H$130,Calcul!$BY$64)*64,0),64),64),IF(ROUND(INDEX('Liste outils'!$H$6:$H$130,Calcul!$BY$64)*64,0)=0,"0",""))&amp;""""))&amp;" · "&amp;FIXED(INDEX('Liste outils'!$H$6:$H$130,Calcul!$BY$64),4,TRUE())&amp;" po · "&amp;FIXED(INDEX('Liste outils'!$H$6:$H$130,Calcul!$BY$64)*25.4,3,TRUE())&amp;" mm"),""))</f>
        <v>3/8" · 0.3750 po · 9.525 mm</v>
      </c>
      <c r="E18" s="25" t="str">
        <f aca="false">IF(Calcul!$BY$64=0,"",INDEX('Liste outils'!$J$6:$J$130,Calcul!$BY$64)&amp;"")</f>
        <v>Right</v>
      </c>
      <c r="F18" s="25" t="str">
        <f aca="false">IF(Calcul!$BY$64=0,"",INDEX('Liste outils'!$K$6:$K$130,Calcul!$BY$64)&amp;"")</f>
        <v>1</v>
      </c>
      <c r="G18" s="25" t="str">
        <f aca="false">IF(Calcul!$BY$64=0,"",INDEX('Liste outils'!$O$6:$O$130,Calcul!$BY$64)&amp;"")</f>
        <v>709508</v>
      </c>
      <c r="H18" s="25" t="str">
        <f aca="false">IF(Calcul!$BY$64=0,"",INDEX('Liste outils'!$P$6:$P$130,Calcul!$BY$64)&amp;"")</f>
        <v>Harvey Tool</v>
      </c>
      <c r="I18" s="25" t="str">
        <f aca="false">IF(Calcul!$BY$64=0,"",INDEX('Liste outils'!$AB$6:$AB$130,Calcul!$BY$64)&amp;"")</f>
        <v>A-1-H-4</v>
      </c>
      <c r="J18" s="25" t="str">
        <f aca="false">IF(Calcul!$BY$64=0,"",INDEX('Liste outils'!$AA$6:$AA$130,Calcul!$BY$64)&amp;"")</f>
        <v>Non-Ferrous Metal, Aluminum, Plastic, Composites, Graphite</v>
      </c>
      <c r="K18" s="25" t="str">
        <f aca="false">IF(Calcul!$BY$64=0,"",INDEX('Liste outils'!$AC$6:$AC$130,Calcul!$BY$64)&amp;"")</f>
        <v/>
      </c>
    </row>
    <row r="19" customFormat="false" ht="15" hidden="false" customHeight="false" outlineLevel="0" collapsed="false">
      <c r="A19" s="24" t="str">
        <f aca="false">IF(Calcul!$BY$65=0,"",INDEX('Liste outils'!$B$6:$B$130,Calcul!$BY$65)&amp;"")</f>
        <v>EM0003</v>
      </c>
      <c r="B19" s="25" t="str">
        <f aca="false">IF(Calcul!$BY$65=0,"",INDEX('Liste outils'!$C$6:$C$130,Calcul!$BY$65)&amp;"")</f>
        <v>End Mill</v>
      </c>
      <c r="C19" s="25" t="str">
        <f aca="false">IF(Calcul!$BY$65=0,"",IF(ISNUMBER(INDEX('Liste outils'!$E$6:$E$130,Calcul!$BY$65)),IF(NOT(ISNUMBER(INDEX('Liste outils'!$E$6:$E$130,Calcul!$BY$65))),"",IF(NOT(ISNUMBER(INDEX('Liste outils'!$E$6:$E$130,Calcul!$BY$65))),"",IF(INDEX('Liste outils'!$E$6:$E$130,Calcul!$BY$65)&lt;=0,"",IF(ABS(INDEX('Liste outils'!$E$6:$E$130,Calcul!$BY$65)*64-ROUND(INDEX('Liste outils'!$E$6:$E$130,Calcul!$BY$65)*64,0))&gt;0.0005,"≈ ","")&amp;IF(INT(ROUND(INDEX('Liste outils'!$E$6:$E$130,Calcul!$BY$65)*64,0)/64)&gt;0,INT(ROUND(INDEX('Liste outils'!$E$6:$E$130,Calcul!$BY$65)*64,0)/64)&amp;IF(MOD(ROUND(INDEX('Liste outils'!$E$6:$E$130,Calcul!$BY$65)*64,0),64)&gt;0," ",""),"")&amp;IF(MOD(ROUND(INDEX('Liste outils'!$E$6:$E$130,Calcul!$BY$65)*64,0),64)&gt;0,MOD(ROUND(INDEX('Liste outils'!$E$6:$E$130,Calcul!$BY$65)*64,0),64)/GCD(MOD(ROUND(INDEX('Liste outils'!$E$6:$E$130,Calcul!$BY$65)*64,0),64),64)&amp;"/"&amp;64/GCD(MOD(ROUND(INDEX('Liste outils'!$E$6:$E$130,Calcul!$BY$65)*64,0),64),64),IF(ROUND(INDEX('Liste outils'!$E$6:$E$130,Calcul!$BY$65)*64,0)=0,"0",""))&amp;""""))&amp;" · "&amp;FIXED(INDEX('Liste outils'!$E$6:$E$130,Calcul!$BY$65),4,TRUE())&amp;" po · "&amp;FIXED(INDEX('Liste outils'!$E$6:$E$130,Calcul!$BY$65)*25.4,3,TRUE())&amp;" mm"),""))</f>
        <v>1/8" · 0.1250 po · 3.175 mm</v>
      </c>
      <c r="D19" s="25" t="str">
        <f aca="false">IF(Calcul!$BY$65=0,"",IF(ISNUMBER(INDEX('Liste outils'!$H$6:$H$130,Calcul!$BY$65)),IF(NOT(ISNUMBER(INDEX('Liste outils'!$H$6:$H$130,Calcul!$BY$65))),"",IF(NOT(ISNUMBER(INDEX('Liste outils'!$H$6:$H$130,Calcul!$BY$65))),"",IF(INDEX('Liste outils'!$H$6:$H$130,Calcul!$BY$65)&lt;=0,"",IF(ABS(INDEX('Liste outils'!$H$6:$H$130,Calcul!$BY$65)*64-ROUND(INDEX('Liste outils'!$H$6:$H$130,Calcul!$BY$65)*64,0))&gt;0.0005,"≈ ","")&amp;IF(INT(ROUND(INDEX('Liste outils'!$H$6:$H$130,Calcul!$BY$65)*64,0)/64)&gt;0,INT(ROUND(INDEX('Liste outils'!$H$6:$H$130,Calcul!$BY$65)*64,0)/64)&amp;IF(MOD(ROUND(INDEX('Liste outils'!$H$6:$H$130,Calcul!$BY$65)*64,0),64)&gt;0," ",""),"")&amp;IF(MOD(ROUND(INDEX('Liste outils'!$H$6:$H$130,Calcul!$BY$65)*64,0),64)&gt;0,MOD(ROUND(INDEX('Liste outils'!$H$6:$H$130,Calcul!$BY$65)*64,0),64)/GCD(MOD(ROUND(INDEX('Liste outils'!$H$6:$H$130,Calcul!$BY$65)*64,0),64),64)&amp;"/"&amp;64/GCD(MOD(ROUND(INDEX('Liste outils'!$H$6:$H$130,Calcul!$BY$65)*64,0),64),64),IF(ROUND(INDEX('Liste outils'!$H$6:$H$130,Calcul!$BY$65)*64,0)=0,"0",""))&amp;""""))&amp;" · "&amp;FIXED(INDEX('Liste outils'!$H$6:$H$130,Calcul!$BY$65),4,TRUE())&amp;" po · "&amp;FIXED(INDEX('Liste outils'!$H$6:$H$130,Calcul!$BY$65)*25.4,3,TRUE())&amp;" mm"),""))</f>
        <v>1/2" · 0.5000 po · 12.700 mm</v>
      </c>
      <c r="E19" s="25" t="str">
        <f aca="false">IF(Calcul!$BY$65=0,"",INDEX('Liste outils'!$J$6:$J$130,Calcul!$BY$65)&amp;"")</f>
        <v>Upcut</v>
      </c>
      <c r="F19" s="25" t="str">
        <f aca="false">IF(Calcul!$BY$65=0,"",INDEX('Liste outils'!$K$6:$K$130,Calcul!$BY$65)&amp;"")</f>
        <v>1</v>
      </c>
      <c r="G19" s="25" t="str">
        <f aca="false">IF(Calcul!$BY$65=0,"",INDEX('Liste outils'!$O$6:$O$130,Calcul!$BY$65)&amp;"")</f>
        <v>63-763</v>
      </c>
      <c r="H19" s="25" t="str">
        <f aca="false">IF(Calcul!$BY$65=0,"",INDEX('Liste outils'!$P$6:$P$130,Calcul!$BY$65)&amp;"")</f>
        <v>LMT Onsrud</v>
      </c>
      <c r="I19" s="25" t="str">
        <f aca="false">IF(Calcul!$BY$65=0,"",INDEX('Liste outils'!$AB$6:$AB$130,Calcul!$BY$65)&amp;"")</f>
        <v>A-1-A-2</v>
      </c>
      <c r="J19" s="25" t="str">
        <f aca="false">IF(Calcul!$BY$65=0,"",INDEX('Liste outils'!$AA$6:$AA$130,Calcul!$BY$65)&amp;"")</f>
        <v>Soft Plastic</v>
      </c>
      <c r="K19" s="25" t="str">
        <f aca="false">IF(Calcul!$BY$65=0,"",INDEX('Liste outils'!$AC$6:$AC$130,Calcul!$BY$65)&amp;"")</f>
        <v/>
      </c>
    </row>
    <row r="20" customFormat="false" ht="15" hidden="false" customHeight="false" outlineLevel="0" collapsed="false">
      <c r="A20" s="24" t="str">
        <f aca="false">IF(Calcul!$BY$66=0,"",INDEX('Liste outils'!$B$6:$B$130,Calcul!$BY$66)&amp;"")</f>
        <v>EM0005</v>
      </c>
      <c r="B20" s="25" t="str">
        <f aca="false">IF(Calcul!$BY$66=0,"",INDEX('Liste outils'!$C$6:$C$130,Calcul!$BY$66)&amp;"")</f>
        <v>End Mill</v>
      </c>
      <c r="C20" s="25" t="str">
        <f aca="false">IF(Calcul!$BY$66=0,"",IF(ISNUMBER(INDEX('Liste outils'!$E$6:$E$130,Calcul!$BY$66)),IF(NOT(ISNUMBER(INDEX('Liste outils'!$E$6:$E$130,Calcul!$BY$66))),"",IF(NOT(ISNUMBER(INDEX('Liste outils'!$E$6:$E$130,Calcul!$BY$66))),"",IF(INDEX('Liste outils'!$E$6:$E$130,Calcul!$BY$66)&lt;=0,"",IF(ABS(INDEX('Liste outils'!$E$6:$E$130,Calcul!$BY$66)*64-ROUND(INDEX('Liste outils'!$E$6:$E$130,Calcul!$BY$66)*64,0))&gt;0.0005,"≈ ","")&amp;IF(INT(ROUND(INDEX('Liste outils'!$E$6:$E$130,Calcul!$BY$66)*64,0)/64)&gt;0,INT(ROUND(INDEX('Liste outils'!$E$6:$E$130,Calcul!$BY$66)*64,0)/64)&amp;IF(MOD(ROUND(INDEX('Liste outils'!$E$6:$E$130,Calcul!$BY$66)*64,0),64)&gt;0," ",""),"")&amp;IF(MOD(ROUND(INDEX('Liste outils'!$E$6:$E$130,Calcul!$BY$66)*64,0),64)&gt;0,MOD(ROUND(INDEX('Liste outils'!$E$6:$E$130,Calcul!$BY$66)*64,0),64)/GCD(MOD(ROUND(INDEX('Liste outils'!$E$6:$E$130,Calcul!$BY$66)*64,0),64),64)&amp;"/"&amp;64/GCD(MOD(ROUND(INDEX('Liste outils'!$E$6:$E$130,Calcul!$BY$66)*64,0),64),64),IF(ROUND(INDEX('Liste outils'!$E$6:$E$130,Calcul!$BY$66)*64,0)=0,"0",""))&amp;""""))&amp;" · "&amp;FIXED(INDEX('Liste outils'!$E$6:$E$130,Calcul!$BY$66),4,TRUE())&amp;" po · "&amp;FIXED(INDEX('Liste outils'!$E$6:$E$130,Calcul!$BY$66)*25.4,3,TRUE())&amp;" mm"),""))</f>
        <v>1/8" · 0.1250 po · 3.175 mm</v>
      </c>
      <c r="D20" s="25" t="str">
        <f aca="false">IF(Calcul!$BY$66=0,"",IF(ISNUMBER(INDEX('Liste outils'!$H$6:$H$130,Calcul!$BY$66)),IF(NOT(ISNUMBER(INDEX('Liste outils'!$H$6:$H$130,Calcul!$BY$66))),"",IF(NOT(ISNUMBER(INDEX('Liste outils'!$H$6:$H$130,Calcul!$BY$66))),"",IF(INDEX('Liste outils'!$H$6:$H$130,Calcul!$BY$66)&lt;=0,"",IF(ABS(INDEX('Liste outils'!$H$6:$H$130,Calcul!$BY$66)*64-ROUND(INDEX('Liste outils'!$H$6:$H$130,Calcul!$BY$66)*64,0))&gt;0.0005,"≈ ","")&amp;IF(INT(ROUND(INDEX('Liste outils'!$H$6:$H$130,Calcul!$BY$66)*64,0)/64)&gt;0,INT(ROUND(INDEX('Liste outils'!$H$6:$H$130,Calcul!$BY$66)*64,0)/64)&amp;IF(MOD(ROUND(INDEX('Liste outils'!$H$6:$H$130,Calcul!$BY$66)*64,0),64)&gt;0," ",""),"")&amp;IF(MOD(ROUND(INDEX('Liste outils'!$H$6:$H$130,Calcul!$BY$66)*64,0),64)&gt;0,MOD(ROUND(INDEX('Liste outils'!$H$6:$H$130,Calcul!$BY$66)*64,0),64)/GCD(MOD(ROUND(INDEX('Liste outils'!$H$6:$H$130,Calcul!$BY$66)*64,0),64),64)&amp;"/"&amp;64/GCD(MOD(ROUND(INDEX('Liste outils'!$H$6:$H$130,Calcul!$BY$66)*64,0),64),64),IF(ROUND(INDEX('Liste outils'!$H$6:$H$130,Calcul!$BY$66)*64,0)=0,"0",""))&amp;""""))&amp;" · "&amp;FIXED(INDEX('Liste outils'!$H$6:$H$130,Calcul!$BY$66),4,TRUE())&amp;" po · "&amp;FIXED(INDEX('Liste outils'!$H$6:$H$130,Calcul!$BY$66)*25.4,3,TRUE())&amp;" mm"),""))</f>
        <v>1/2" · 0.5000 po · 12.700 mm</v>
      </c>
      <c r="E20" s="25" t="str">
        <f aca="false">IF(Calcul!$BY$66=0,"",INDEX('Liste outils'!$J$6:$J$130,Calcul!$BY$66)&amp;"")</f>
        <v>Upcut</v>
      </c>
      <c r="F20" s="25" t="str">
        <f aca="false">IF(Calcul!$BY$66=0,"",INDEX('Liste outils'!$K$6:$K$130,Calcul!$BY$66)&amp;"")</f>
        <v>1</v>
      </c>
      <c r="G20" s="25" t="str">
        <f aca="false">IF(Calcul!$BY$66=0,"",INDEX('Liste outils'!$O$6:$O$130,Calcul!$BY$66)&amp;"")</f>
        <v>63-712</v>
      </c>
      <c r="H20" s="25" t="str">
        <f aca="false">IF(Calcul!$BY$66=0,"",INDEX('Liste outils'!$P$6:$P$130,Calcul!$BY$66)&amp;"")</f>
        <v>LMT Onsrud</v>
      </c>
      <c r="I20" s="25" t="str">
        <f aca="false">IF(Calcul!$BY$66=0,"",INDEX('Liste outils'!$AB$6:$AB$130,Calcul!$BY$66)&amp;"")</f>
        <v>A-1-A-4</v>
      </c>
      <c r="J20" s="25" t="str">
        <f aca="false">IF(Calcul!$BY$66=0,"",INDEX('Liste outils'!$AA$6:$AA$130,Calcul!$BY$66)&amp;"")</f>
        <v>Hard Plastic, Solid Surface</v>
      </c>
      <c r="K20" s="25" t="str">
        <f aca="false">IF(Calcul!$BY$66=0,"",INDEX('Liste outils'!$AC$6:$AC$130,Calcul!$BY$66)&amp;"")</f>
        <v/>
      </c>
    </row>
    <row r="21" customFormat="false" ht="15" hidden="false" customHeight="false" outlineLevel="0" collapsed="false">
      <c r="A21" s="24" t="str">
        <f aca="false">IF(Calcul!$BY$67=0,"",INDEX('Liste outils'!$B$6:$B$130,Calcul!$BY$67)&amp;"")</f>
        <v>EM0014</v>
      </c>
      <c r="B21" s="25" t="str">
        <f aca="false">IF(Calcul!$BY$67=0,"",INDEX('Liste outils'!$C$6:$C$130,Calcul!$BY$67)&amp;"")</f>
        <v>End Mill</v>
      </c>
      <c r="C21" s="25" t="str">
        <f aca="false">IF(Calcul!$BY$67=0,"",IF(ISNUMBER(INDEX('Liste outils'!$E$6:$E$130,Calcul!$BY$67)),IF(NOT(ISNUMBER(INDEX('Liste outils'!$E$6:$E$130,Calcul!$BY$67))),"",IF(NOT(ISNUMBER(INDEX('Liste outils'!$E$6:$E$130,Calcul!$BY$67))),"",IF(INDEX('Liste outils'!$E$6:$E$130,Calcul!$BY$67)&lt;=0,"",IF(ABS(INDEX('Liste outils'!$E$6:$E$130,Calcul!$BY$67)*64-ROUND(INDEX('Liste outils'!$E$6:$E$130,Calcul!$BY$67)*64,0))&gt;0.0005,"≈ ","")&amp;IF(INT(ROUND(INDEX('Liste outils'!$E$6:$E$130,Calcul!$BY$67)*64,0)/64)&gt;0,INT(ROUND(INDEX('Liste outils'!$E$6:$E$130,Calcul!$BY$67)*64,0)/64)&amp;IF(MOD(ROUND(INDEX('Liste outils'!$E$6:$E$130,Calcul!$BY$67)*64,0),64)&gt;0," ",""),"")&amp;IF(MOD(ROUND(INDEX('Liste outils'!$E$6:$E$130,Calcul!$BY$67)*64,0),64)&gt;0,MOD(ROUND(INDEX('Liste outils'!$E$6:$E$130,Calcul!$BY$67)*64,0),64)/GCD(MOD(ROUND(INDEX('Liste outils'!$E$6:$E$130,Calcul!$BY$67)*64,0),64),64)&amp;"/"&amp;64/GCD(MOD(ROUND(INDEX('Liste outils'!$E$6:$E$130,Calcul!$BY$67)*64,0),64),64),IF(ROUND(INDEX('Liste outils'!$E$6:$E$130,Calcul!$BY$67)*64,0)=0,"0",""))&amp;""""))&amp;" · "&amp;FIXED(INDEX('Liste outils'!$E$6:$E$130,Calcul!$BY$67),4,TRUE())&amp;" po · "&amp;FIXED(INDEX('Liste outils'!$E$6:$E$130,Calcul!$BY$67)*25.4,3,TRUE())&amp;" mm"),""))</f>
        <v>1/8" · 0.1250 po · 3.175 mm</v>
      </c>
      <c r="D21" s="25" t="str">
        <f aca="false">IF(Calcul!$BY$67=0,"",IF(ISNUMBER(INDEX('Liste outils'!$H$6:$H$130,Calcul!$BY$67)),IF(NOT(ISNUMBER(INDEX('Liste outils'!$H$6:$H$130,Calcul!$BY$67))),"",IF(NOT(ISNUMBER(INDEX('Liste outils'!$H$6:$H$130,Calcul!$BY$67))),"",IF(INDEX('Liste outils'!$H$6:$H$130,Calcul!$BY$67)&lt;=0,"",IF(ABS(INDEX('Liste outils'!$H$6:$H$130,Calcul!$BY$67)*64-ROUND(INDEX('Liste outils'!$H$6:$H$130,Calcul!$BY$67)*64,0))&gt;0.0005,"≈ ","")&amp;IF(INT(ROUND(INDEX('Liste outils'!$H$6:$H$130,Calcul!$BY$67)*64,0)/64)&gt;0,INT(ROUND(INDEX('Liste outils'!$H$6:$H$130,Calcul!$BY$67)*64,0)/64)&amp;IF(MOD(ROUND(INDEX('Liste outils'!$H$6:$H$130,Calcul!$BY$67)*64,0),64)&gt;0," ",""),"")&amp;IF(MOD(ROUND(INDEX('Liste outils'!$H$6:$H$130,Calcul!$BY$67)*64,0),64)&gt;0,MOD(ROUND(INDEX('Liste outils'!$H$6:$H$130,Calcul!$BY$67)*64,0),64)/GCD(MOD(ROUND(INDEX('Liste outils'!$H$6:$H$130,Calcul!$BY$67)*64,0),64),64)&amp;"/"&amp;64/GCD(MOD(ROUND(INDEX('Liste outils'!$H$6:$H$130,Calcul!$BY$67)*64,0),64),64),IF(ROUND(INDEX('Liste outils'!$H$6:$H$130,Calcul!$BY$67)*64,0)=0,"0",""))&amp;""""))&amp;" · "&amp;FIXED(INDEX('Liste outils'!$H$6:$H$130,Calcul!$BY$67),4,TRUE())&amp;" po · "&amp;FIXED(INDEX('Liste outils'!$H$6:$H$130,Calcul!$BY$67)*25.4,3,TRUE())&amp;" mm"),""))</f>
        <v>1/2" · 0.5000 po · 12.700 mm</v>
      </c>
      <c r="E21" s="25" t="str">
        <f aca="false">IF(Calcul!$BY$67=0,"",INDEX('Liste outils'!$J$6:$J$130,Calcul!$BY$67)&amp;"")</f>
        <v>Downcut</v>
      </c>
      <c r="F21" s="25" t="str">
        <f aca="false">IF(Calcul!$BY$67=0,"",INDEX('Liste outils'!$K$6:$K$130,Calcul!$BY$67)&amp;"")</f>
        <v>1</v>
      </c>
      <c r="G21" s="25" t="str">
        <f aca="false">IF(Calcul!$BY$67=0,"",INDEX('Liste outils'!$O$6:$O$130,Calcul!$BY$67)&amp;"")</f>
        <v>62-712</v>
      </c>
      <c r="H21" s="25" t="str">
        <f aca="false">IF(Calcul!$BY$67=0,"",INDEX('Liste outils'!$P$6:$P$130,Calcul!$BY$67)&amp;"")</f>
        <v>LMT Onsrud</v>
      </c>
      <c r="I21" s="25" t="str">
        <f aca="false">IF(Calcul!$BY$67=0,"",INDEX('Liste outils'!$AB$6:$AB$130,Calcul!$BY$67)&amp;"")</f>
        <v>A-1-D-1</v>
      </c>
      <c r="J21" s="25" t="str">
        <f aca="false">IF(Calcul!$BY$67=0,"",INDEX('Liste outils'!$AA$6:$AA$130,Calcul!$BY$67)&amp;"")</f>
        <v>Hard Plastic</v>
      </c>
      <c r="K21" s="25" t="str">
        <f aca="false">IF(Calcul!$BY$67=0,"",INDEX('Liste outils'!$AC$6:$AC$130,Calcul!$BY$67)&amp;"")</f>
        <v/>
      </c>
    </row>
    <row r="22" customFormat="false" ht="35.05" hidden="false" customHeight="false" outlineLevel="0" collapsed="false">
      <c r="A22" s="24" t="str">
        <f aca="false">IF(Calcul!$BY$68=0,"",INDEX('Liste outils'!$B$6:$B$130,Calcul!$BY$68)&amp;"")</f>
        <v>EM0030</v>
      </c>
      <c r="B22" s="25" t="str">
        <f aca="false">IF(Calcul!$BY$68=0,"",INDEX('Liste outils'!$C$6:$C$130,Calcul!$BY$68)&amp;"")</f>
        <v>End Mill</v>
      </c>
      <c r="C22" s="25" t="str">
        <f aca="false">IF(Calcul!$BY$68=0,"",IF(ISNUMBER(INDEX('Liste outils'!$E$6:$E$130,Calcul!$BY$68)),IF(NOT(ISNUMBER(INDEX('Liste outils'!$E$6:$E$130,Calcul!$BY$68))),"",IF(NOT(ISNUMBER(INDEX('Liste outils'!$E$6:$E$130,Calcul!$BY$68))),"",IF(INDEX('Liste outils'!$E$6:$E$130,Calcul!$BY$68)&lt;=0,"",IF(ABS(INDEX('Liste outils'!$E$6:$E$130,Calcul!$BY$68)*64-ROUND(INDEX('Liste outils'!$E$6:$E$130,Calcul!$BY$68)*64,0))&gt;0.0005,"≈ ","")&amp;IF(INT(ROUND(INDEX('Liste outils'!$E$6:$E$130,Calcul!$BY$68)*64,0)/64)&gt;0,INT(ROUND(INDEX('Liste outils'!$E$6:$E$130,Calcul!$BY$68)*64,0)/64)&amp;IF(MOD(ROUND(INDEX('Liste outils'!$E$6:$E$130,Calcul!$BY$68)*64,0),64)&gt;0," ",""),"")&amp;IF(MOD(ROUND(INDEX('Liste outils'!$E$6:$E$130,Calcul!$BY$68)*64,0),64)&gt;0,MOD(ROUND(INDEX('Liste outils'!$E$6:$E$130,Calcul!$BY$68)*64,0),64)/GCD(MOD(ROUND(INDEX('Liste outils'!$E$6:$E$130,Calcul!$BY$68)*64,0),64),64)&amp;"/"&amp;64/GCD(MOD(ROUND(INDEX('Liste outils'!$E$6:$E$130,Calcul!$BY$68)*64,0),64),64),IF(ROUND(INDEX('Liste outils'!$E$6:$E$130,Calcul!$BY$68)*64,0)=0,"0",""))&amp;""""))&amp;" · "&amp;FIXED(INDEX('Liste outils'!$E$6:$E$130,Calcul!$BY$68),4,TRUE())&amp;" po · "&amp;FIXED(INDEX('Liste outils'!$E$6:$E$130,Calcul!$BY$68)*25.4,3,TRUE())&amp;" mm"),""))</f>
        <v>1/8" · 0.1250 po · 3.175 mm</v>
      </c>
      <c r="D22" s="25" t="str">
        <f aca="false">IF(Calcul!$BY$68=0,"",IF(ISNUMBER(INDEX('Liste outils'!$H$6:$H$130,Calcul!$BY$68)),IF(NOT(ISNUMBER(INDEX('Liste outils'!$H$6:$H$130,Calcul!$BY$68))),"",IF(NOT(ISNUMBER(INDEX('Liste outils'!$H$6:$H$130,Calcul!$BY$68))),"",IF(INDEX('Liste outils'!$H$6:$H$130,Calcul!$BY$68)&lt;=0,"",IF(ABS(INDEX('Liste outils'!$H$6:$H$130,Calcul!$BY$68)*64-ROUND(INDEX('Liste outils'!$H$6:$H$130,Calcul!$BY$68)*64,0))&gt;0.0005,"≈ ","")&amp;IF(INT(ROUND(INDEX('Liste outils'!$H$6:$H$130,Calcul!$BY$68)*64,0)/64)&gt;0,INT(ROUND(INDEX('Liste outils'!$H$6:$H$130,Calcul!$BY$68)*64,0)/64)&amp;IF(MOD(ROUND(INDEX('Liste outils'!$H$6:$H$130,Calcul!$BY$68)*64,0),64)&gt;0," ",""),"")&amp;IF(MOD(ROUND(INDEX('Liste outils'!$H$6:$H$130,Calcul!$BY$68)*64,0),64)&gt;0,MOD(ROUND(INDEX('Liste outils'!$H$6:$H$130,Calcul!$BY$68)*64,0),64)/GCD(MOD(ROUND(INDEX('Liste outils'!$H$6:$H$130,Calcul!$BY$68)*64,0),64),64)&amp;"/"&amp;64/GCD(MOD(ROUND(INDEX('Liste outils'!$H$6:$H$130,Calcul!$BY$68)*64,0),64),64),IF(ROUND(INDEX('Liste outils'!$H$6:$H$130,Calcul!$BY$68)*64,0)=0,"0",""))&amp;""""))&amp;" · "&amp;FIXED(INDEX('Liste outils'!$H$6:$H$130,Calcul!$BY$68),4,TRUE())&amp;" po · "&amp;FIXED(INDEX('Liste outils'!$H$6:$H$130,Calcul!$BY$68)*25.4,3,TRUE())&amp;" mm"),""))</f>
        <v>1/2" · 0.5000 po · 12.700 mm</v>
      </c>
      <c r="E22" s="25" t="str">
        <f aca="false">IF(Calcul!$BY$68=0,"",INDEX('Liste outils'!$J$6:$J$130,Calcul!$BY$68)&amp;"")</f>
        <v>Upcut</v>
      </c>
      <c r="F22" s="25" t="str">
        <f aca="false">IF(Calcul!$BY$68=0,"",INDEX('Liste outils'!$K$6:$K$130,Calcul!$BY$68)&amp;"")</f>
        <v>2</v>
      </c>
      <c r="G22" s="25" t="str">
        <f aca="false">IF(Calcul!$BY$68=0,"",INDEX('Liste outils'!$O$6:$O$130,Calcul!$BY$68)&amp;"")</f>
        <v>52-240B</v>
      </c>
      <c r="H22" s="25" t="str">
        <f aca="false">IF(Calcul!$BY$68=0,"",INDEX('Liste outils'!$P$6:$P$130,Calcul!$BY$68)&amp;"")</f>
        <v>LMT Onsrud</v>
      </c>
      <c r="I22" s="25" t="str">
        <f aca="false">IF(Calcul!$BY$68=0,"",INDEX('Liste outils'!$AB$6:$AB$130,Calcul!$BY$68)&amp;"")</f>
        <v>A-1-K-1</v>
      </c>
      <c r="J22" s="25" t="str">
        <f aca="false">IF(Calcul!$BY$68=0,"",INDEX('Liste outils'!$AA$6:$AA$130,Calcul!$BY$68)&amp;"")</f>
        <v>Soft Wood, Hard Wood, Wood Composite, Soft Plastic, Hard Plastic, Aluminum</v>
      </c>
      <c r="K22" s="25" t="str">
        <f aca="false">IF(Calcul!$BY$68=0,"",INDEX('Liste outils'!$AC$6:$AC$130,Calcul!$BY$68)&amp;"")</f>
        <v>Ball Nose</v>
      </c>
    </row>
    <row r="23" customFormat="false" ht="15" hidden="false" customHeight="false" outlineLevel="0" collapsed="false">
      <c r="A23" s="24" t="str">
        <f aca="false">IF(Calcul!$BY$69=0,"",INDEX('Liste outils'!$B$6:$B$130,Calcul!$BY$69)&amp;"")</f>
        <v>EM0047</v>
      </c>
      <c r="B23" s="25" t="str">
        <f aca="false">IF(Calcul!$BY$69=0,"",INDEX('Liste outils'!$C$6:$C$130,Calcul!$BY$69)&amp;"")</f>
        <v>End Mill</v>
      </c>
      <c r="C23" s="25" t="str">
        <f aca="false">IF(Calcul!$BY$69=0,"",IF(ISNUMBER(INDEX('Liste outils'!$E$6:$E$130,Calcul!$BY$69)),IF(NOT(ISNUMBER(INDEX('Liste outils'!$E$6:$E$130,Calcul!$BY$69))),"",IF(NOT(ISNUMBER(INDEX('Liste outils'!$E$6:$E$130,Calcul!$BY$69))),"",IF(INDEX('Liste outils'!$E$6:$E$130,Calcul!$BY$69)&lt;=0,"",IF(ABS(INDEX('Liste outils'!$E$6:$E$130,Calcul!$BY$69)*64-ROUND(INDEX('Liste outils'!$E$6:$E$130,Calcul!$BY$69)*64,0))&gt;0.0005,"≈ ","")&amp;IF(INT(ROUND(INDEX('Liste outils'!$E$6:$E$130,Calcul!$BY$69)*64,0)/64)&gt;0,INT(ROUND(INDEX('Liste outils'!$E$6:$E$130,Calcul!$BY$69)*64,0)/64)&amp;IF(MOD(ROUND(INDEX('Liste outils'!$E$6:$E$130,Calcul!$BY$69)*64,0),64)&gt;0," ",""),"")&amp;IF(MOD(ROUND(INDEX('Liste outils'!$E$6:$E$130,Calcul!$BY$69)*64,0),64)&gt;0,MOD(ROUND(INDEX('Liste outils'!$E$6:$E$130,Calcul!$BY$69)*64,0),64)/GCD(MOD(ROUND(INDEX('Liste outils'!$E$6:$E$130,Calcul!$BY$69)*64,0),64),64)&amp;"/"&amp;64/GCD(MOD(ROUND(INDEX('Liste outils'!$E$6:$E$130,Calcul!$BY$69)*64,0),64),64),IF(ROUND(INDEX('Liste outils'!$E$6:$E$130,Calcul!$BY$69)*64,0)=0,"0",""))&amp;""""))&amp;" · "&amp;FIXED(INDEX('Liste outils'!$E$6:$E$130,Calcul!$BY$69),4,TRUE())&amp;" po · "&amp;FIXED(INDEX('Liste outils'!$E$6:$E$130,Calcul!$BY$69)*25.4,3,TRUE())&amp;" mm"),""))</f>
        <v>1/8" · 0.1250 po · 3.175 mm</v>
      </c>
      <c r="D23" s="25" t="str">
        <f aca="false">IF(Calcul!$BY$69=0,"",IF(ISNUMBER(INDEX('Liste outils'!$H$6:$H$130,Calcul!$BY$69)),IF(NOT(ISNUMBER(INDEX('Liste outils'!$H$6:$H$130,Calcul!$BY$69))),"",IF(NOT(ISNUMBER(INDEX('Liste outils'!$H$6:$H$130,Calcul!$BY$69))),"",IF(INDEX('Liste outils'!$H$6:$H$130,Calcul!$BY$69)&lt;=0,"",IF(ABS(INDEX('Liste outils'!$H$6:$H$130,Calcul!$BY$69)*64-ROUND(INDEX('Liste outils'!$H$6:$H$130,Calcul!$BY$69)*64,0))&gt;0.0005,"≈ ","")&amp;IF(INT(ROUND(INDEX('Liste outils'!$H$6:$H$130,Calcul!$BY$69)*64,0)/64)&gt;0,INT(ROUND(INDEX('Liste outils'!$H$6:$H$130,Calcul!$BY$69)*64,0)/64)&amp;IF(MOD(ROUND(INDEX('Liste outils'!$H$6:$H$130,Calcul!$BY$69)*64,0),64)&gt;0," ",""),"")&amp;IF(MOD(ROUND(INDEX('Liste outils'!$H$6:$H$130,Calcul!$BY$69)*64,0),64)&gt;0,MOD(ROUND(INDEX('Liste outils'!$H$6:$H$130,Calcul!$BY$69)*64,0),64)/GCD(MOD(ROUND(INDEX('Liste outils'!$H$6:$H$130,Calcul!$BY$69)*64,0),64),64)&amp;"/"&amp;64/GCD(MOD(ROUND(INDEX('Liste outils'!$H$6:$H$130,Calcul!$BY$69)*64,0),64),64),IF(ROUND(INDEX('Liste outils'!$H$6:$H$130,Calcul!$BY$69)*64,0)=0,"0",""))&amp;""""))&amp;" · "&amp;FIXED(INDEX('Liste outils'!$H$6:$H$130,Calcul!$BY$69),4,TRUE())&amp;" po · "&amp;FIXED(INDEX('Liste outils'!$H$6:$H$130,Calcul!$BY$69)*25.4,3,TRUE())&amp;" mm"),""))</f>
        <v>1/2" · 0.5000 po · 12.700 mm</v>
      </c>
      <c r="E23" s="25" t="str">
        <f aca="false">IF(Calcul!$BY$69=0,"",INDEX('Liste outils'!$J$6:$J$130,Calcul!$BY$69)&amp;"")</f>
        <v>Upcut</v>
      </c>
      <c r="F23" s="25" t="str">
        <f aca="false">IF(Calcul!$BY$69=0,"",INDEX('Liste outils'!$K$6:$K$130,Calcul!$BY$69)&amp;"")</f>
        <v>1</v>
      </c>
      <c r="G23" s="25" t="str">
        <f aca="false">IF(Calcul!$BY$69=0,"",INDEX('Liste outils'!$O$6:$O$130,Calcul!$BY$69)&amp;"")</f>
        <v>63-762</v>
      </c>
      <c r="H23" s="25" t="str">
        <f aca="false">IF(Calcul!$BY$69=0,"",INDEX('Liste outils'!$P$6:$P$130,Calcul!$BY$69)&amp;"")</f>
        <v>LMT Onsrud</v>
      </c>
      <c r="I23" s="25" t="str">
        <f aca="false">IF(Calcul!$BY$69=0,"",INDEX('Liste outils'!$AB$6:$AB$130,Calcul!$BY$69)&amp;"")</f>
        <v>A-1-A-4</v>
      </c>
      <c r="J23" s="25" t="str">
        <f aca="false">IF(Calcul!$BY$69=0,"",INDEX('Liste outils'!$AA$6:$AA$130,Calcul!$BY$69)&amp;"")</f>
        <v>Soft Plastic, Solid Surface</v>
      </c>
      <c r="K23" s="25" t="str">
        <f aca="false">IF(Calcul!$BY$69=0,"",INDEX('Liste outils'!$AC$6:$AC$130,Calcul!$BY$69)&amp;"")</f>
        <v/>
      </c>
    </row>
    <row r="24" customFormat="false" ht="15" hidden="false" customHeight="false" outlineLevel="0" collapsed="false">
      <c r="A24" s="24" t="str">
        <f aca="false">IF(Calcul!$BY$70=0,"",INDEX('Liste outils'!$B$6:$B$130,Calcul!$BY$70)&amp;"")</f>
        <v>EM0018</v>
      </c>
      <c r="B24" s="25" t="str">
        <f aca="false">IF(Calcul!$BY$70=0,"",INDEX('Liste outils'!$C$6:$C$130,Calcul!$BY$70)&amp;"")</f>
        <v>End Mill</v>
      </c>
      <c r="C24" s="25" t="str">
        <f aca="false">IF(Calcul!$BY$70=0,"",IF(ISNUMBER(INDEX('Liste outils'!$E$6:$E$130,Calcul!$BY$70)),IF(NOT(ISNUMBER(INDEX('Liste outils'!$E$6:$E$130,Calcul!$BY$70))),"",IF(NOT(ISNUMBER(INDEX('Liste outils'!$E$6:$E$130,Calcul!$BY$70))),"",IF(INDEX('Liste outils'!$E$6:$E$130,Calcul!$BY$70)&lt;=0,"",IF(ABS(INDEX('Liste outils'!$E$6:$E$130,Calcul!$BY$70)*64-ROUND(INDEX('Liste outils'!$E$6:$E$130,Calcul!$BY$70)*64,0))&gt;0.0005,"≈ ","")&amp;IF(INT(ROUND(INDEX('Liste outils'!$E$6:$E$130,Calcul!$BY$70)*64,0)/64)&gt;0,INT(ROUND(INDEX('Liste outils'!$E$6:$E$130,Calcul!$BY$70)*64,0)/64)&amp;IF(MOD(ROUND(INDEX('Liste outils'!$E$6:$E$130,Calcul!$BY$70)*64,0),64)&gt;0," ",""),"")&amp;IF(MOD(ROUND(INDEX('Liste outils'!$E$6:$E$130,Calcul!$BY$70)*64,0),64)&gt;0,MOD(ROUND(INDEX('Liste outils'!$E$6:$E$130,Calcul!$BY$70)*64,0),64)/GCD(MOD(ROUND(INDEX('Liste outils'!$E$6:$E$130,Calcul!$BY$70)*64,0),64),64)&amp;"/"&amp;64/GCD(MOD(ROUND(INDEX('Liste outils'!$E$6:$E$130,Calcul!$BY$70)*64,0),64),64),IF(ROUND(INDEX('Liste outils'!$E$6:$E$130,Calcul!$BY$70)*64,0)=0,"0",""))&amp;""""))&amp;" · "&amp;FIXED(INDEX('Liste outils'!$E$6:$E$130,Calcul!$BY$70),4,TRUE())&amp;" po · "&amp;FIXED(INDEX('Liste outils'!$E$6:$E$130,Calcul!$BY$70)*25.4,3,TRUE())&amp;" mm"),""))</f>
        <v>1/8" · 0.1250 po · 3.175 mm</v>
      </c>
      <c r="D24" s="25" t="str">
        <f aca="false">IF(Calcul!$BY$70=0,"",IF(ISNUMBER(INDEX('Liste outils'!$H$6:$H$130,Calcul!$BY$70)),IF(NOT(ISNUMBER(INDEX('Liste outils'!$H$6:$H$130,Calcul!$BY$70))),"",IF(NOT(ISNUMBER(INDEX('Liste outils'!$H$6:$H$130,Calcul!$BY$70))),"",IF(INDEX('Liste outils'!$H$6:$H$130,Calcul!$BY$70)&lt;=0,"",IF(ABS(INDEX('Liste outils'!$H$6:$H$130,Calcul!$BY$70)*64-ROUND(INDEX('Liste outils'!$H$6:$H$130,Calcul!$BY$70)*64,0))&gt;0.0005,"≈ ","")&amp;IF(INT(ROUND(INDEX('Liste outils'!$H$6:$H$130,Calcul!$BY$70)*64,0)/64)&gt;0,INT(ROUND(INDEX('Liste outils'!$H$6:$H$130,Calcul!$BY$70)*64,0)/64)&amp;IF(MOD(ROUND(INDEX('Liste outils'!$H$6:$H$130,Calcul!$BY$70)*64,0),64)&gt;0," ",""),"")&amp;IF(MOD(ROUND(INDEX('Liste outils'!$H$6:$H$130,Calcul!$BY$70)*64,0),64)&gt;0,MOD(ROUND(INDEX('Liste outils'!$H$6:$H$130,Calcul!$BY$70)*64,0),64)/GCD(MOD(ROUND(INDEX('Liste outils'!$H$6:$H$130,Calcul!$BY$70)*64,0),64),64)&amp;"/"&amp;64/GCD(MOD(ROUND(INDEX('Liste outils'!$H$6:$H$130,Calcul!$BY$70)*64,0),64),64),IF(ROUND(INDEX('Liste outils'!$H$6:$H$130,Calcul!$BY$70)*64,0)=0,"0",""))&amp;""""))&amp;" · "&amp;FIXED(INDEX('Liste outils'!$H$6:$H$130,Calcul!$BY$70),4,TRUE())&amp;" po · "&amp;FIXED(INDEX('Liste outils'!$H$6:$H$130,Calcul!$BY$70)*25.4,3,TRUE())&amp;" mm"),""))</f>
        <v>3/4" · 0.7500 po · 19.050 mm</v>
      </c>
      <c r="E24" s="25" t="str">
        <f aca="false">IF(Calcul!$BY$70=0,"",INDEX('Liste outils'!$J$6:$J$130,Calcul!$BY$70)&amp;"")</f>
        <v>Upcut</v>
      </c>
      <c r="F24" s="25" t="str">
        <f aca="false">IF(Calcul!$BY$70=0,"",INDEX('Liste outils'!$K$6:$K$130,Calcul!$BY$70)&amp;"")</f>
        <v>1</v>
      </c>
      <c r="G24" s="25" t="str">
        <f aca="false">IF(Calcul!$BY$70=0,"",INDEX('Liste outils'!$O$6:$O$130,Calcul!$BY$70)&amp;"")</f>
        <v>63-707</v>
      </c>
      <c r="H24" s="25" t="str">
        <f aca="false">IF(Calcul!$BY$70=0,"",INDEX('Liste outils'!$P$6:$P$130,Calcul!$BY$70)&amp;"")</f>
        <v>LMT Onsrud</v>
      </c>
      <c r="I24" s="25" t="str">
        <f aca="false">IF(Calcul!$BY$70=0,"",INDEX('Liste outils'!$AB$6:$AB$130,Calcul!$BY$70)&amp;"")</f>
        <v>A-1-E-1</v>
      </c>
      <c r="J24" s="25" t="str">
        <f aca="false">IF(Calcul!$BY$70=0,"",INDEX('Liste outils'!$AA$6:$AA$130,Calcul!$BY$70)&amp;"")</f>
        <v>Hard Plastic</v>
      </c>
      <c r="K24" s="25" t="str">
        <f aca="false">IF(Calcul!$BY$70=0,"",INDEX('Liste outils'!$AC$6:$AC$130,Calcul!$BY$70)&amp;"")</f>
        <v/>
      </c>
    </row>
    <row r="25" customFormat="false" ht="23.85" hidden="false" customHeight="false" outlineLevel="0" collapsed="false">
      <c r="A25" s="24" t="str">
        <f aca="false">IF(Calcul!$BY$71=0,"",INDEX('Liste outils'!$B$6:$B$130,Calcul!$BY$71)&amp;"")</f>
        <v>D0003</v>
      </c>
      <c r="B25" s="25" t="str">
        <f aca="false">IF(Calcul!$BY$71=0,"",INDEX('Liste outils'!$C$6:$C$130,Calcul!$BY$71)&amp;"")</f>
        <v>Drill</v>
      </c>
      <c r="C25" s="25" t="str">
        <f aca="false">IF(Calcul!$BY$71=0,"",IF(ISNUMBER(INDEX('Liste outils'!$E$6:$E$130,Calcul!$BY$71)),IF(NOT(ISNUMBER(INDEX('Liste outils'!$E$6:$E$130,Calcul!$BY$71))),"",IF(NOT(ISNUMBER(INDEX('Liste outils'!$E$6:$E$130,Calcul!$BY$71))),"",IF(INDEX('Liste outils'!$E$6:$E$130,Calcul!$BY$71)&lt;=0,"",IF(ABS(INDEX('Liste outils'!$E$6:$E$130,Calcul!$BY$71)*64-ROUND(INDEX('Liste outils'!$E$6:$E$130,Calcul!$BY$71)*64,0))&gt;0.0005,"≈ ","")&amp;IF(INT(ROUND(INDEX('Liste outils'!$E$6:$E$130,Calcul!$BY$71)*64,0)/64)&gt;0,INT(ROUND(INDEX('Liste outils'!$E$6:$E$130,Calcul!$BY$71)*64,0)/64)&amp;IF(MOD(ROUND(INDEX('Liste outils'!$E$6:$E$130,Calcul!$BY$71)*64,0),64)&gt;0," ",""),"")&amp;IF(MOD(ROUND(INDEX('Liste outils'!$E$6:$E$130,Calcul!$BY$71)*64,0),64)&gt;0,MOD(ROUND(INDEX('Liste outils'!$E$6:$E$130,Calcul!$BY$71)*64,0),64)/GCD(MOD(ROUND(INDEX('Liste outils'!$E$6:$E$130,Calcul!$BY$71)*64,0),64),64)&amp;"/"&amp;64/GCD(MOD(ROUND(INDEX('Liste outils'!$E$6:$E$130,Calcul!$BY$71)*64,0),64),64),IF(ROUND(INDEX('Liste outils'!$E$6:$E$130,Calcul!$BY$71)*64,0)=0,"0",""))&amp;""""))&amp;" · "&amp;FIXED(INDEX('Liste outils'!$E$6:$E$130,Calcul!$BY$71),4,TRUE())&amp;" po · "&amp;FIXED(INDEX('Liste outils'!$E$6:$E$130,Calcul!$BY$71)*25.4,3,TRUE())&amp;" mm"),""))</f>
        <v>≈ 5/32" · 0.1575 po · 4.000 mm</v>
      </c>
      <c r="D25" s="25" t="str">
        <f aca="false">IF(Calcul!$BY$71=0,"",IF(ISNUMBER(INDEX('Liste outils'!$H$6:$H$130,Calcul!$BY$71)),IF(NOT(ISNUMBER(INDEX('Liste outils'!$H$6:$H$130,Calcul!$BY$71))),"",IF(NOT(ISNUMBER(INDEX('Liste outils'!$H$6:$H$130,Calcul!$BY$71))),"",IF(INDEX('Liste outils'!$H$6:$H$130,Calcul!$BY$71)&lt;=0,"",IF(ABS(INDEX('Liste outils'!$H$6:$H$130,Calcul!$BY$71)*64-ROUND(INDEX('Liste outils'!$H$6:$H$130,Calcul!$BY$71)*64,0))&gt;0.0005,"≈ ","")&amp;IF(INT(ROUND(INDEX('Liste outils'!$H$6:$H$130,Calcul!$BY$71)*64,0)/64)&gt;0,INT(ROUND(INDEX('Liste outils'!$H$6:$H$130,Calcul!$BY$71)*64,0)/64)&amp;IF(MOD(ROUND(INDEX('Liste outils'!$H$6:$H$130,Calcul!$BY$71)*64,0),64)&gt;0," ",""),"")&amp;IF(MOD(ROUND(INDEX('Liste outils'!$H$6:$H$130,Calcul!$BY$71)*64,0),64)&gt;0,MOD(ROUND(INDEX('Liste outils'!$H$6:$H$130,Calcul!$BY$71)*64,0),64)/GCD(MOD(ROUND(INDEX('Liste outils'!$H$6:$H$130,Calcul!$BY$71)*64,0),64),64)&amp;"/"&amp;64/GCD(MOD(ROUND(INDEX('Liste outils'!$H$6:$H$130,Calcul!$BY$71)*64,0),64),64),IF(ROUND(INDEX('Liste outils'!$H$6:$H$130,Calcul!$BY$71)*64,0)=0,"0",""))&amp;""""))&amp;" · "&amp;FIXED(INDEX('Liste outils'!$H$6:$H$130,Calcul!$BY$71),4,TRUE())&amp;" po · "&amp;FIXED(INDEX('Liste outils'!$H$6:$H$130,Calcul!$BY$71)*25.4,3,TRUE())&amp;" mm"),""))</f>
        <v>≈ 1 27/64" · 1.4173 po · 35.999 mm</v>
      </c>
      <c r="E25" s="25" t="str">
        <f aca="false">IF(Calcul!$BY$71=0,"",INDEX('Liste outils'!$J$6:$J$130,Calcul!$BY$71)&amp;"")</f>
        <v/>
      </c>
      <c r="F25" s="25" t="str">
        <f aca="false">IF(Calcul!$BY$71=0,"",INDEX('Liste outils'!$K$6:$K$130,Calcul!$BY$71)&amp;"")</f>
        <v>2</v>
      </c>
      <c r="G25" s="25" t="str">
        <f aca="false">IF(Calcul!$BY$71=0,"",INDEX('Liste outils'!$O$6:$O$130,Calcul!$BY$71)&amp;"")</f>
        <v>462.1-0400-020A1-XM X2BM</v>
      </c>
      <c r="H25" s="25" t="str">
        <f aca="false">IF(Calcul!$BY$71=0,"",INDEX('Liste outils'!$P$6:$P$130,Calcul!$BY$71)&amp;"")</f>
        <v>SANDVIK</v>
      </c>
      <c r="I25" s="25" t="str">
        <f aca="false">IF(Calcul!$BY$71=0,"",INDEX('Liste outils'!$AB$6:$AB$130,Calcul!$BY$71)&amp;"")</f>
        <v>A-2-B-3</v>
      </c>
      <c r="J25" s="25" t="str">
        <f aca="false">IF(Calcul!$BY$71=0,"",INDEX('Liste outils'!$AA$6:$AA$130,Calcul!$BY$71)&amp;"")</f>
        <v>Multi-materials</v>
      </c>
      <c r="K25" s="25" t="str">
        <f aca="false">IF(Calcul!$BY$71=0,"",INDEX('Liste outils'!$AC$6:$AC$130,Calcul!$BY$71)&amp;"")</f>
        <v/>
      </c>
    </row>
    <row r="26" customFormat="false" ht="35.05" hidden="false" customHeight="false" outlineLevel="0" collapsed="false">
      <c r="A26" s="24" t="str">
        <f aca="false">IF(Calcul!$BY$72=0,"",INDEX('Liste outils'!$B$6:$B$130,Calcul!$BY$72)&amp;"")</f>
        <v>EM0037</v>
      </c>
      <c r="B26" s="25" t="str">
        <f aca="false">IF(Calcul!$BY$72=0,"",INDEX('Liste outils'!$C$6:$C$130,Calcul!$BY$72)&amp;"")</f>
        <v>End Mill</v>
      </c>
      <c r="C26" s="25" t="str">
        <f aca="false">IF(Calcul!$BY$72=0,"",IF(ISNUMBER(INDEX('Liste outils'!$E$6:$E$130,Calcul!$BY$72)),IF(NOT(ISNUMBER(INDEX('Liste outils'!$E$6:$E$130,Calcul!$BY$72))),"",IF(NOT(ISNUMBER(INDEX('Liste outils'!$E$6:$E$130,Calcul!$BY$72))),"",IF(INDEX('Liste outils'!$E$6:$E$130,Calcul!$BY$72)&lt;=0,"",IF(ABS(INDEX('Liste outils'!$E$6:$E$130,Calcul!$BY$72)*64-ROUND(INDEX('Liste outils'!$E$6:$E$130,Calcul!$BY$72)*64,0))&gt;0.0005,"≈ ","")&amp;IF(INT(ROUND(INDEX('Liste outils'!$E$6:$E$130,Calcul!$BY$72)*64,0)/64)&gt;0,INT(ROUND(INDEX('Liste outils'!$E$6:$E$130,Calcul!$BY$72)*64,0)/64)&amp;IF(MOD(ROUND(INDEX('Liste outils'!$E$6:$E$130,Calcul!$BY$72)*64,0),64)&gt;0," ",""),"")&amp;IF(MOD(ROUND(INDEX('Liste outils'!$E$6:$E$130,Calcul!$BY$72)*64,0),64)&gt;0,MOD(ROUND(INDEX('Liste outils'!$E$6:$E$130,Calcul!$BY$72)*64,0),64)/GCD(MOD(ROUND(INDEX('Liste outils'!$E$6:$E$130,Calcul!$BY$72)*64,0),64),64)&amp;"/"&amp;64/GCD(MOD(ROUND(INDEX('Liste outils'!$E$6:$E$130,Calcul!$BY$72)*64,0),64),64),IF(ROUND(INDEX('Liste outils'!$E$6:$E$130,Calcul!$BY$72)*64,0)=0,"0",""))&amp;""""))&amp;" · "&amp;FIXED(INDEX('Liste outils'!$E$6:$E$130,Calcul!$BY$72),4,TRUE())&amp;" po · "&amp;FIXED(INDEX('Liste outils'!$E$6:$E$130,Calcul!$BY$72)*25.4,3,TRUE())&amp;" mm"),""))</f>
        <v>≈ 3/16" · 0.1800 po · 4.572 mm</v>
      </c>
      <c r="D26" s="25" t="str">
        <f aca="false">IF(Calcul!$BY$72=0,"",IF(ISNUMBER(INDEX('Liste outils'!$H$6:$H$130,Calcul!$BY$72)),IF(NOT(ISNUMBER(INDEX('Liste outils'!$H$6:$H$130,Calcul!$BY$72))),"",IF(NOT(ISNUMBER(INDEX('Liste outils'!$H$6:$H$130,Calcul!$BY$72))),"",IF(INDEX('Liste outils'!$H$6:$H$130,Calcul!$BY$72)&lt;=0,"",IF(ABS(INDEX('Liste outils'!$H$6:$H$130,Calcul!$BY$72)*64-ROUND(INDEX('Liste outils'!$H$6:$H$130,Calcul!$BY$72)*64,0))&gt;0.0005,"≈ ","")&amp;IF(INT(ROUND(INDEX('Liste outils'!$H$6:$H$130,Calcul!$BY$72)*64,0)/64)&gt;0,INT(ROUND(INDEX('Liste outils'!$H$6:$H$130,Calcul!$BY$72)*64,0)/64)&amp;IF(MOD(ROUND(INDEX('Liste outils'!$H$6:$H$130,Calcul!$BY$72)*64,0),64)&gt;0," ",""),"")&amp;IF(MOD(ROUND(INDEX('Liste outils'!$H$6:$H$130,Calcul!$BY$72)*64,0),64)&gt;0,MOD(ROUND(INDEX('Liste outils'!$H$6:$H$130,Calcul!$BY$72)*64,0),64)/GCD(MOD(ROUND(INDEX('Liste outils'!$H$6:$H$130,Calcul!$BY$72)*64,0),64),64)&amp;"/"&amp;64/GCD(MOD(ROUND(INDEX('Liste outils'!$H$6:$H$130,Calcul!$BY$72)*64,0),64),64),IF(ROUND(INDEX('Liste outils'!$H$6:$H$130,Calcul!$BY$72)*64,0)=0,"0",""))&amp;""""))&amp;" · "&amp;FIXED(INDEX('Liste outils'!$H$6:$H$130,Calcul!$BY$72),4,TRUE())&amp;" po · "&amp;FIXED(INDEX('Liste outils'!$H$6:$H$130,Calcul!$BY$72)*25.4,3,TRUE())&amp;" mm"),""))</f>
        <v>1/2" · 0.5000 po · 12.700 mm</v>
      </c>
      <c r="E26" s="25" t="str">
        <f aca="false">IF(Calcul!$BY$72=0,"",INDEX('Liste outils'!$J$6:$J$130,Calcul!$BY$72)&amp;"")</f>
        <v>Right</v>
      </c>
      <c r="F26" s="25" t="str">
        <f aca="false">IF(Calcul!$BY$72=0,"",INDEX('Liste outils'!$K$6:$K$130,Calcul!$BY$72)&amp;"")</f>
        <v>4</v>
      </c>
      <c r="G26" s="25" t="str">
        <f aca="false">IF(Calcul!$BY$72=0,"",INDEX('Liste outils'!$O$6:$O$130,Calcul!$BY$72)&amp;"")</f>
        <v>71050</v>
      </c>
      <c r="H26" s="25" t="str">
        <f aca="false">IF(Calcul!$BY$72=0,"",INDEX('Liste outils'!$P$6:$P$130,Calcul!$BY$72)&amp;"")</f>
        <v>Harvey Tool</v>
      </c>
      <c r="I26" s="25" t="str">
        <f aca="false">IF(Calcul!$BY$72=0,"",INDEX('Liste outils'!$AB$6:$AB$130,Calcul!$BY$72)&amp;"")</f>
        <v>A-1-K-3</v>
      </c>
      <c r="J26" s="25" t="str">
        <f aca="false">IF(Calcul!$BY$72=0,"",INDEX('Liste outils'!$AA$6:$AA$130,Calcul!$BY$72)&amp;"")</f>
        <v>Aluminum,  Cast Iron, Steel, Stainless Steel, Exotic Metal, Titanium, Wood, Composites</v>
      </c>
      <c r="K26" s="25" t="str">
        <f aca="false">IF(Calcul!$BY$72=0,"",INDEX('Liste outils'!$AC$6:$AC$130,Calcul!$BY$72)&amp;"")</f>
        <v>Thread</v>
      </c>
    </row>
    <row r="27" customFormat="false" ht="15" hidden="false" customHeight="false" outlineLevel="0" collapsed="false">
      <c r="A27" s="24" t="str">
        <f aca="false">IF(Calcul!$BY$73=0,"",INDEX('Liste outils'!$B$6:$B$130,Calcul!$BY$73)&amp;"")</f>
        <v>EM0006</v>
      </c>
      <c r="B27" s="25" t="str">
        <f aca="false">IF(Calcul!$BY$73=0,"",INDEX('Liste outils'!$C$6:$C$130,Calcul!$BY$73)&amp;"")</f>
        <v>End Mill</v>
      </c>
      <c r="C27" s="25" t="str">
        <f aca="false">IF(Calcul!$BY$73=0,"",IF(ISNUMBER(INDEX('Liste outils'!$E$6:$E$130,Calcul!$BY$73)),IF(NOT(ISNUMBER(INDEX('Liste outils'!$E$6:$E$130,Calcul!$BY$73))),"",IF(NOT(ISNUMBER(INDEX('Liste outils'!$E$6:$E$130,Calcul!$BY$73))),"",IF(INDEX('Liste outils'!$E$6:$E$130,Calcul!$BY$73)&lt;=0,"",IF(ABS(INDEX('Liste outils'!$E$6:$E$130,Calcul!$BY$73)*64-ROUND(INDEX('Liste outils'!$E$6:$E$130,Calcul!$BY$73)*64,0))&gt;0.0005,"≈ ","")&amp;IF(INT(ROUND(INDEX('Liste outils'!$E$6:$E$130,Calcul!$BY$73)*64,0)/64)&gt;0,INT(ROUND(INDEX('Liste outils'!$E$6:$E$130,Calcul!$BY$73)*64,0)/64)&amp;IF(MOD(ROUND(INDEX('Liste outils'!$E$6:$E$130,Calcul!$BY$73)*64,0),64)&gt;0," ",""),"")&amp;IF(MOD(ROUND(INDEX('Liste outils'!$E$6:$E$130,Calcul!$BY$73)*64,0),64)&gt;0,MOD(ROUND(INDEX('Liste outils'!$E$6:$E$130,Calcul!$BY$73)*64,0),64)/GCD(MOD(ROUND(INDEX('Liste outils'!$E$6:$E$130,Calcul!$BY$73)*64,0),64),64)&amp;"/"&amp;64/GCD(MOD(ROUND(INDEX('Liste outils'!$E$6:$E$130,Calcul!$BY$73)*64,0),64),64),IF(ROUND(INDEX('Liste outils'!$E$6:$E$130,Calcul!$BY$73)*64,0)=0,"0",""))&amp;""""))&amp;" · "&amp;FIXED(INDEX('Liste outils'!$E$6:$E$130,Calcul!$BY$73),4,TRUE())&amp;" po · "&amp;FIXED(INDEX('Liste outils'!$E$6:$E$130,Calcul!$BY$73)*25.4,3,TRUE())&amp;" mm"),""))</f>
        <v>3/16" · 0.1875 po · 4.762 mm</v>
      </c>
      <c r="D27" s="25" t="str">
        <f aca="false">IF(Calcul!$BY$73=0,"",IF(ISNUMBER(INDEX('Liste outils'!$H$6:$H$130,Calcul!$BY$73)),IF(NOT(ISNUMBER(INDEX('Liste outils'!$H$6:$H$130,Calcul!$BY$73))),"",IF(NOT(ISNUMBER(INDEX('Liste outils'!$H$6:$H$130,Calcul!$BY$73))),"",IF(INDEX('Liste outils'!$H$6:$H$130,Calcul!$BY$73)&lt;=0,"",IF(ABS(INDEX('Liste outils'!$H$6:$H$130,Calcul!$BY$73)*64-ROUND(INDEX('Liste outils'!$H$6:$H$130,Calcul!$BY$73)*64,0))&gt;0.0005,"≈ ","")&amp;IF(INT(ROUND(INDEX('Liste outils'!$H$6:$H$130,Calcul!$BY$73)*64,0)/64)&gt;0,INT(ROUND(INDEX('Liste outils'!$H$6:$H$130,Calcul!$BY$73)*64,0)/64)&amp;IF(MOD(ROUND(INDEX('Liste outils'!$H$6:$H$130,Calcul!$BY$73)*64,0),64)&gt;0," ",""),"")&amp;IF(MOD(ROUND(INDEX('Liste outils'!$H$6:$H$130,Calcul!$BY$73)*64,0),64)&gt;0,MOD(ROUND(INDEX('Liste outils'!$H$6:$H$130,Calcul!$BY$73)*64,0),64)/GCD(MOD(ROUND(INDEX('Liste outils'!$H$6:$H$130,Calcul!$BY$73)*64,0),64),64)&amp;"/"&amp;64/GCD(MOD(ROUND(INDEX('Liste outils'!$H$6:$H$130,Calcul!$BY$73)*64,0),64),64),IF(ROUND(INDEX('Liste outils'!$H$6:$H$130,Calcul!$BY$73)*64,0)=0,"0",""))&amp;""""))&amp;" · "&amp;FIXED(INDEX('Liste outils'!$H$6:$H$130,Calcul!$BY$73),4,TRUE())&amp;" po · "&amp;FIXED(INDEX('Liste outils'!$H$6:$H$130,Calcul!$BY$73)*25.4,3,TRUE())&amp;" mm"),""))</f>
        <v>3/8" · 0.3750 po · 9.525 mm</v>
      </c>
      <c r="E27" s="25" t="str">
        <f aca="false">IF(Calcul!$BY$73=0,"",INDEX('Liste outils'!$J$6:$J$130,Calcul!$BY$73)&amp;"")</f>
        <v>Upcut</v>
      </c>
      <c r="F27" s="25" t="str">
        <f aca="false">IF(Calcul!$BY$73=0,"",INDEX('Liste outils'!$K$6:$K$130,Calcul!$BY$73)&amp;"")</f>
        <v>1</v>
      </c>
      <c r="G27" s="25" t="str">
        <f aca="false">IF(Calcul!$BY$73=0,"",INDEX('Liste outils'!$O$6:$O$130,Calcul!$BY$73)&amp;"")</f>
        <v>63-717</v>
      </c>
      <c r="H27" s="25" t="str">
        <f aca="false">IF(Calcul!$BY$73=0,"",INDEX('Liste outils'!$P$6:$P$130,Calcul!$BY$73)&amp;"")</f>
        <v>LMT Onsrud</v>
      </c>
      <c r="I27" s="25" t="str">
        <f aca="false">IF(Calcul!$BY$73=0,"",INDEX('Liste outils'!$AB$6:$AB$130,Calcul!$BY$73)&amp;"")</f>
        <v>A-1-B-1</v>
      </c>
      <c r="J27" s="25" t="str">
        <f aca="false">IF(Calcul!$BY$73=0,"",INDEX('Liste outils'!$AA$6:$AA$130,Calcul!$BY$73)&amp;"")</f>
        <v>Hard Plastic</v>
      </c>
      <c r="K27" s="25" t="str">
        <f aca="false">IF(Calcul!$BY$73=0,"",INDEX('Liste outils'!$AC$6:$AC$130,Calcul!$BY$73)&amp;"")</f>
        <v/>
      </c>
    </row>
    <row r="28" customFormat="false" ht="15" hidden="false" customHeight="false" outlineLevel="0" collapsed="false">
      <c r="A28" s="24" t="str">
        <f aca="false">IF(Calcul!$BY$74=0,"",INDEX('Liste outils'!$B$6:$B$130,Calcul!$BY$74)&amp;"")</f>
        <v>EM0007</v>
      </c>
      <c r="B28" s="25" t="str">
        <f aca="false">IF(Calcul!$BY$74=0,"",INDEX('Liste outils'!$C$6:$C$130,Calcul!$BY$74)&amp;"")</f>
        <v>End Mill</v>
      </c>
      <c r="C28" s="25" t="str">
        <f aca="false">IF(Calcul!$BY$74=0,"",IF(ISNUMBER(INDEX('Liste outils'!$E$6:$E$130,Calcul!$BY$74)),IF(NOT(ISNUMBER(INDEX('Liste outils'!$E$6:$E$130,Calcul!$BY$74))),"",IF(NOT(ISNUMBER(INDEX('Liste outils'!$E$6:$E$130,Calcul!$BY$74))),"",IF(INDEX('Liste outils'!$E$6:$E$130,Calcul!$BY$74)&lt;=0,"",IF(ABS(INDEX('Liste outils'!$E$6:$E$130,Calcul!$BY$74)*64-ROUND(INDEX('Liste outils'!$E$6:$E$130,Calcul!$BY$74)*64,0))&gt;0.0005,"≈ ","")&amp;IF(INT(ROUND(INDEX('Liste outils'!$E$6:$E$130,Calcul!$BY$74)*64,0)/64)&gt;0,INT(ROUND(INDEX('Liste outils'!$E$6:$E$130,Calcul!$BY$74)*64,0)/64)&amp;IF(MOD(ROUND(INDEX('Liste outils'!$E$6:$E$130,Calcul!$BY$74)*64,0),64)&gt;0," ",""),"")&amp;IF(MOD(ROUND(INDEX('Liste outils'!$E$6:$E$130,Calcul!$BY$74)*64,0),64)&gt;0,MOD(ROUND(INDEX('Liste outils'!$E$6:$E$130,Calcul!$BY$74)*64,0),64)/GCD(MOD(ROUND(INDEX('Liste outils'!$E$6:$E$130,Calcul!$BY$74)*64,0),64),64)&amp;"/"&amp;64/GCD(MOD(ROUND(INDEX('Liste outils'!$E$6:$E$130,Calcul!$BY$74)*64,0),64),64),IF(ROUND(INDEX('Liste outils'!$E$6:$E$130,Calcul!$BY$74)*64,0)=0,"0",""))&amp;""""))&amp;" · "&amp;FIXED(INDEX('Liste outils'!$E$6:$E$130,Calcul!$BY$74),4,TRUE())&amp;" po · "&amp;FIXED(INDEX('Liste outils'!$E$6:$E$130,Calcul!$BY$74)*25.4,3,TRUE())&amp;" mm"),""))</f>
        <v>3/16" · 0.1875 po · 4.762 mm</v>
      </c>
      <c r="D28" s="25" t="str">
        <f aca="false">IF(Calcul!$BY$74=0,"",IF(ISNUMBER(INDEX('Liste outils'!$H$6:$H$130,Calcul!$BY$74)),IF(NOT(ISNUMBER(INDEX('Liste outils'!$H$6:$H$130,Calcul!$BY$74))),"",IF(NOT(ISNUMBER(INDEX('Liste outils'!$H$6:$H$130,Calcul!$BY$74))),"",IF(INDEX('Liste outils'!$H$6:$H$130,Calcul!$BY$74)&lt;=0,"",IF(ABS(INDEX('Liste outils'!$H$6:$H$130,Calcul!$BY$74)*64-ROUND(INDEX('Liste outils'!$H$6:$H$130,Calcul!$BY$74)*64,0))&gt;0.0005,"≈ ","")&amp;IF(INT(ROUND(INDEX('Liste outils'!$H$6:$H$130,Calcul!$BY$74)*64,0)/64)&gt;0,INT(ROUND(INDEX('Liste outils'!$H$6:$H$130,Calcul!$BY$74)*64,0)/64)&amp;IF(MOD(ROUND(INDEX('Liste outils'!$H$6:$H$130,Calcul!$BY$74)*64,0),64)&gt;0," ",""),"")&amp;IF(MOD(ROUND(INDEX('Liste outils'!$H$6:$H$130,Calcul!$BY$74)*64,0),64)&gt;0,MOD(ROUND(INDEX('Liste outils'!$H$6:$H$130,Calcul!$BY$74)*64,0),64)/GCD(MOD(ROUND(INDEX('Liste outils'!$H$6:$H$130,Calcul!$BY$74)*64,0),64),64)&amp;"/"&amp;64/GCD(MOD(ROUND(INDEX('Liste outils'!$H$6:$H$130,Calcul!$BY$74)*64,0),64),64),IF(ROUND(INDEX('Liste outils'!$H$6:$H$130,Calcul!$BY$74)*64,0)=0,"0",""))&amp;""""))&amp;" · "&amp;FIXED(INDEX('Liste outils'!$H$6:$H$130,Calcul!$BY$74),4,TRUE())&amp;" po · "&amp;FIXED(INDEX('Liste outils'!$H$6:$H$130,Calcul!$BY$74)*25.4,3,TRUE())&amp;" mm"),""))</f>
        <v>3/8" · 0.3750 po · 9.525 mm</v>
      </c>
      <c r="E28" s="25" t="str">
        <f aca="false">IF(Calcul!$BY$74=0,"",INDEX('Liste outils'!$J$6:$J$130,Calcul!$BY$74)&amp;"")</f>
        <v>Upcut</v>
      </c>
      <c r="F28" s="25" t="str">
        <f aca="false">IF(Calcul!$BY$74=0,"",INDEX('Liste outils'!$K$6:$K$130,Calcul!$BY$74)&amp;"")</f>
        <v>1</v>
      </c>
      <c r="G28" s="25" t="str">
        <f aca="false">IF(Calcul!$BY$74=0,"",INDEX('Liste outils'!$O$6:$O$130,Calcul!$BY$74)&amp;"")</f>
        <v>63-767</v>
      </c>
      <c r="H28" s="25" t="str">
        <f aca="false">IF(Calcul!$BY$74=0,"",INDEX('Liste outils'!$P$6:$P$130,Calcul!$BY$74)&amp;"")</f>
        <v>LMT Onsrud</v>
      </c>
      <c r="I28" s="25" t="str">
        <f aca="false">IF(Calcul!$BY$74=0,"",INDEX('Liste outils'!$AB$6:$AB$130,Calcul!$BY$74)&amp;"")</f>
        <v>A-1-B-2</v>
      </c>
      <c r="J28" s="25" t="str">
        <f aca="false">IF(Calcul!$BY$74=0,"",INDEX('Liste outils'!$AA$6:$AA$130,Calcul!$BY$74)&amp;"")</f>
        <v>Soft Plastic</v>
      </c>
      <c r="K28" s="25" t="str">
        <f aca="false">IF(Calcul!$BY$74=0,"",INDEX('Liste outils'!$AC$6:$AC$130,Calcul!$BY$74)&amp;"")</f>
        <v/>
      </c>
    </row>
    <row r="29" customFormat="false" ht="15" hidden="false" customHeight="false" outlineLevel="0" collapsed="false">
      <c r="A29" s="24" t="str">
        <f aca="false">IF(Calcul!$BY$75=0,"",INDEX('Liste outils'!$B$6:$B$130,Calcul!$BY$75)&amp;"")</f>
        <v>EM0009</v>
      </c>
      <c r="B29" s="25" t="str">
        <f aca="false">IF(Calcul!$BY$75=0,"",INDEX('Liste outils'!$C$6:$C$130,Calcul!$BY$75)&amp;"")</f>
        <v>End Mill</v>
      </c>
      <c r="C29" s="25" t="str">
        <f aca="false">IF(Calcul!$BY$75=0,"",IF(ISNUMBER(INDEX('Liste outils'!$E$6:$E$130,Calcul!$BY$75)),IF(NOT(ISNUMBER(INDEX('Liste outils'!$E$6:$E$130,Calcul!$BY$75))),"",IF(NOT(ISNUMBER(INDEX('Liste outils'!$E$6:$E$130,Calcul!$BY$75))),"",IF(INDEX('Liste outils'!$E$6:$E$130,Calcul!$BY$75)&lt;=0,"",IF(ABS(INDEX('Liste outils'!$E$6:$E$130,Calcul!$BY$75)*64-ROUND(INDEX('Liste outils'!$E$6:$E$130,Calcul!$BY$75)*64,0))&gt;0.0005,"≈ ","")&amp;IF(INT(ROUND(INDEX('Liste outils'!$E$6:$E$130,Calcul!$BY$75)*64,0)/64)&gt;0,INT(ROUND(INDEX('Liste outils'!$E$6:$E$130,Calcul!$BY$75)*64,0)/64)&amp;IF(MOD(ROUND(INDEX('Liste outils'!$E$6:$E$130,Calcul!$BY$75)*64,0),64)&gt;0," ",""),"")&amp;IF(MOD(ROUND(INDEX('Liste outils'!$E$6:$E$130,Calcul!$BY$75)*64,0),64)&gt;0,MOD(ROUND(INDEX('Liste outils'!$E$6:$E$130,Calcul!$BY$75)*64,0),64)/GCD(MOD(ROUND(INDEX('Liste outils'!$E$6:$E$130,Calcul!$BY$75)*64,0),64),64)&amp;"/"&amp;64/GCD(MOD(ROUND(INDEX('Liste outils'!$E$6:$E$130,Calcul!$BY$75)*64,0),64),64),IF(ROUND(INDEX('Liste outils'!$E$6:$E$130,Calcul!$BY$75)*64,0)=0,"0",""))&amp;""""))&amp;" · "&amp;FIXED(INDEX('Liste outils'!$E$6:$E$130,Calcul!$BY$75),4,TRUE())&amp;" po · "&amp;FIXED(INDEX('Liste outils'!$E$6:$E$130,Calcul!$BY$75)*25.4,3,TRUE())&amp;" mm"),""))</f>
        <v>3/16" · 0.1875 po · 4.762 mm</v>
      </c>
      <c r="D29" s="25" t="str">
        <f aca="false">IF(Calcul!$BY$75=0,"",IF(ISNUMBER(INDEX('Liste outils'!$H$6:$H$130,Calcul!$BY$75)),IF(NOT(ISNUMBER(INDEX('Liste outils'!$H$6:$H$130,Calcul!$BY$75))),"",IF(NOT(ISNUMBER(INDEX('Liste outils'!$H$6:$H$130,Calcul!$BY$75))),"",IF(INDEX('Liste outils'!$H$6:$H$130,Calcul!$BY$75)&lt;=0,"",IF(ABS(INDEX('Liste outils'!$H$6:$H$130,Calcul!$BY$75)*64-ROUND(INDEX('Liste outils'!$H$6:$H$130,Calcul!$BY$75)*64,0))&gt;0.0005,"≈ ","")&amp;IF(INT(ROUND(INDEX('Liste outils'!$H$6:$H$130,Calcul!$BY$75)*64,0)/64)&gt;0,INT(ROUND(INDEX('Liste outils'!$H$6:$H$130,Calcul!$BY$75)*64,0)/64)&amp;IF(MOD(ROUND(INDEX('Liste outils'!$H$6:$H$130,Calcul!$BY$75)*64,0),64)&gt;0," ",""),"")&amp;IF(MOD(ROUND(INDEX('Liste outils'!$H$6:$H$130,Calcul!$BY$75)*64,0),64)&gt;0,MOD(ROUND(INDEX('Liste outils'!$H$6:$H$130,Calcul!$BY$75)*64,0),64)/GCD(MOD(ROUND(INDEX('Liste outils'!$H$6:$H$130,Calcul!$BY$75)*64,0),64),64)&amp;"/"&amp;64/GCD(MOD(ROUND(INDEX('Liste outils'!$H$6:$H$130,Calcul!$BY$75)*64,0),64),64),IF(ROUND(INDEX('Liste outils'!$H$6:$H$130,Calcul!$BY$75)*64,0)=0,"0",""))&amp;""""))&amp;" · "&amp;FIXED(INDEX('Liste outils'!$H$6:$H$130,Calcul!$BY$75),4,TRUE())&amp;" po · "&amp;FIXED(INDEX('Liste outils'!$H$6:$H$130,Calcul!$BY$75)*25.4,3,TRUE())&amp;" mm"),""))</f>
        <v>5/8" · 0.6250 po · 15.875 mm</v>
      </c>
      <c r="E29" s="25" t="str">
        <f aca="false">IF(Calcul!$BY$75=0,"",INDEX('Liste outils'!$J$6:$J$130,Calcul!$BY$75)&amp;"")</f>
        <v>Downcut</v>
      </c>
      <c r="F29" s="25" t="str">
        <f aca="false">IF(Calcul!$BY$75=0,"",INDEX('Liste outils'!$K$6:$K$130,Calcul!$BY$75)&amp;"")</f>
        <v>1</v>
      </c>
      <c r="G29" s="25" t="str">
        <f aca="false">IF(Calcul!$BY$75=0,"",INDEX('Liste outils'!$O$6:$O$130,Calcul!$BY$75)&amp;"")</f>
        <v>62-718</v>
      </c>
      <c r="H29" s="25" t="str">
        <f aca="false">IF(Calcul!$BY$75=0,"",INDEX('Liste outils'!$P$6:$P$130,Calcul!$BY$75)&amp;"")</f>
        <v>LMT Onsrud</v>
      </c>
      <c r="I29" s="25" t="str">
        <f aca="false">IF(Calcul!$BY$75=0,"",INDEX('Liste outils'!$AB$6:$AB$130,Calcul!$BY$75)&amp;"")</f>
        <v>A-1-B-4</v>
      </c>
      <c r="J29" s="25" t="str">
        <f aca="false">IF(Calcul!$BY$75=0,"",INDEX('Liste outils'!$AA$6:$AA$130,Calcul!$BY$75)&amp;"")</f>
        <v>Hard Plastic</v>
      </c>
      <c r="K29" s="25" t="str">
        <f aca="false">IF(Calcul!$BY$75=0,"",INDEX('Liste outils'!$AC$6:$AC$130,Calcul!$BY$75)&amp;"")</f>
        <v/>
      </c>
    </row>
    <row r="30" customFormat="false" ht="23.85" hidden="false" customHeight="false" outlineLevel="0" collapsed="false">
      <c r="A30" s="24" t="str">
        <f aca="false">IF(Calcul!$BY$76=0,"",INDEX('Liste outils'!$B$6:$B$130,Calcul!$BY$76)&amp;"")</f>
        <v>EM0049</v>
      </c>
      <c r="B30" s="25" t="str">
        <f aca="false">IF(Calcul!$BY$76=0,"",INDEX('Liste outils'!$C$6:$C$130,Calcul!$BY$76)&amp;"")</f>
        <v>End Mill</v>
      </c>
      <c r="C30" s="25" t="str">
        <f aca="false">IF(Calcul!$BY$76=0,"",IF(ISNUMBER(INDEX('Liste outils'!$E$6:$E$130,Calcul!$BY$76)),IF(NOT(ISNUMBER(INDEX('Liste outils'!$E$6:$E$130,Calcul!$BY$76))),"",IF(NOT(ISNUMBER(INDEX('Liste outils'!$E$6:$E$130,Calcul!$BY$76))),"",IF(INDEX('Liste outils'!$E$6:$E$130,Calcul!$BY$76)&lt;=0,"",IF(ABS(INDEX('Liste outils'!$E$6:$E$130,Calcul!$BY$76)*64-ROUND(INDEX('Liste outils'!$E$6:$E$130,Calcul!$BY$76)*64,0))&gt;0.0005,"≈ ","")&amp;IF(INT(ROUND(INDEX('Liste outils'!$E$6:$E$130,Calcul!$BY$76)*64,0)/64)&gt;0,INT(ROUND(INDEX('Liste outils'!$E$6:$E$130,Calcul!$BY$76)*64,0)/64)&amp;IF(MOD(ROUND(INDEX('Liste outils'!$E$6:$E$130,Calcul!$BY$76)*64,0),64)&gt;0," ",""),"")&amp;IF(MOD(ROUND(INDEX('Liste outils'!$E$6:$E$130,Calcul!$BY$76)*64,0),64)&gt;0,MOD(ROUND(INDEX('Liste outils'!$E$6:$E$130,Calcul!$BY$76)*64,0),64)/GCD(MOD(ROUND(INDEX('Liste outils'!$E$6:$E$130,Calcul!$BY$76)*64,0),64),64)&amp;"/"&amp;64/GCD(MOD(ROUND(INDEX('Liste outils'!$E$6:$E$130,Calcul!$BY$76)*64,0),64),64),IF(ROUND(INDEX('Liste outils'!$E$6:$E$130,Calcul!$BY$76)*64,0)=0,"0",""))&amp;""""))&amp;" · "&amp;FIXED(INDEX('Liste outils'!$E$6:$E$130,Calcul!$BY$76),4,TRUE())&amp;" po · "&amp;FIXED(INDEX('Liste outils'!$E$6:$E$130,Calcul!$BY$76)*25.4,3,TRUE())&amp;" mm"),""))</f>
        <v>3/16" · 0.1875 po · 4.762 mm</v>
      </c>
      <c r="D30" s="25" t="str">
        <f aca="false">IF(Calcul!$BY$76=0,"",IF(ISNUMBER(INDEX('Liste outils'!$H$6:$H$130,Calcul!$BY$76)),IF(NOT(ISNUMBER(INDEX('Liste outils'!$H$6:$H$130,Calcul!$BY$76))),"",IF(NOT(ISNUMBER(INDEX('Liste outils'!$H$6:$H$130,Calcul!$BY$76))),"",IF(INDEX('Liste outils'!$H$6:$H$130,Calcul!$BY$76)&lt;=0,"",IF(ABS(INDEX('Liste outils'!$H$6:$H$130,Calcul!$BY$76)*64-ROUND(INDEX('Liste outils'!$H$6:$H$130,Calcul!$BY$76)*64,0))&gt;0.0005,"≈ ","")&amp;IF(INT(ROUND(INDEX('Liste outils'!$H$6:$H$130,Calcul!$BY$76)*64,0)/64)&gt;0,INT(ROUND(INDEX('Liste outils'!$H$6:$H$130,Calcul!$BY$76)*64,0)/64)&amp;IF(MOD(ROUND(INDEX('Liste outils'!$H$6:$H$130,Calcul!$BY$76)*64,0),64)&gt;0," ",""),"")&amp;IF(MOD(ROUND(INDEX('Liste outils'!$H$6:$H$130,Calcul!$BY$76)*64,0),64)&gt;0,MOD(ROUND(INDEX('Liste outils'!$H$6:$H$130,Calcul!$BY$76)*64,0),64)/GCD(MOD(ROUND(INDEX('Liste outils'!$H$6:$H$130,Calcul!$BY$76)*64,0),64),64)&amp;"/"&amp;64/GCD(MOD(ROUND(INDEX('Liste outils'!$H$6:$H$130,Calcul!$BY$76)*64,0),64),64),IF(ROUND(INDEX('Liste outils'!$H$6:$H$130,Calcul!$BY$76)*64,0)=0,"0",""))&amp;""""))&amp;" · "&amp;FIXED(INDEX('Liste outils'!$H$6:$H$130,Calcul!$BY$76),4,TRUE())&amp;" po · "&amp;FIXED(INDEX('Liste outils'!$H$6:$H$130,Calcul!$BY$76)*25.4,3,TRUE())&amp;" mm"),""))</f>
        <v>1 1/4" · 1.2500 po · 31.750 mm</v>
      </c>
      <c r="E30" s="25" t="str">
        <f aca="false">IF(Calcul!$BY$76=0,"",INDEX('Liste outils'!$J$6:$J$130,Calcul!$BY$76)&amp;"")</f>
        <v>Upcut</v>
      </c>
      <c r="F30" s="25" t="str">
        <f aca="false">IF(Calcul!$BY$76=0,"",INDEX('Liste outils'!$K$6:$K$130,Calcul!$BY$76)&amp;"")</f>
        <v>1</v>
      </c>
      <c r="G30" s="25" t="str">
        <f aca="false">IF(Calcul!$BY$76=0,"",INDEX('Liste outils'!$O$6:$O$130,Calcul!$BY$76)&amp;"")</f>
        <v>65-020</v>
      </c>
      <c r="H30" s="25" t="str">
        <f aca="false">IF(Calcul!$BY$76=0,"",INDEX('Liste outils'!$P$6:$P$130,Calcul!$BY$76)&amp;"")</f>
        <v>LMT Onsrud</v>
      </c>
      <c r="I30" s="25" t="str">
        <f aca="false">IF(Calcul!$BY$76=0,"",INDEX('Liste outils'!$AB$6:$AB$130,Calcul!$BY$76)&amp;"")</f>
        <v>A-1-B-4</v>
      </c>
      <c r="J30" s="25" t="str">
        <f aca="false">IF(Calcul!$BY$76=0,"",INDEX('Liste outils'!$AA$6:$AA$130,Calcul!$BY$76)&amp;"")</f>
        <v>Soft Plastic, Hard Plastic, Wood, Aluminum, Solid Surface</v>
      </c>
      <c r="K30" s="25" t="str">
        <f aca="false">IF(Calcul!$BY$76=0,"",INDEX('Liste outils'!$AC$6:$AC$130,Calcul!$BY$76)&amp;"")</f>
        <v>Long LOC</v>
      </c>
    </row>
    <row r="31" customFormat="false" ht="15" hidden="false" customHeight="false" outlineLevel="0" collapsed="false">
      <c r="A31" s="24" t="str">
        <f aca="false">IF(Calcul!$BY$77=0,"",INDEX('Liste outils'!$B$6:$B$130,Calcul!$BY$77)&amp;"")</f>
        <v>D0001</v>
      </c>
      <c r="B31" s="25" t="str">
        <f aca="false">IF(Calcul!$BY$77=0,"",INDEX('Liste outils'!$C$6:$C$130,Calcul!$BY$77)&amp;"")</f>
        <v>Drill</v>
      </c>
      <c r="C31" s="25" t="str">
        <f aca="false">IF(Calcul!$BY$77=0,"",IF(ISNUMBER(INDEX('Liste outils'!$E$6:$E$130,Calcul!$BY$77)),IF(NOT(ISNUMBER(INDEX('Liste outils'!$E$6:$E$130,Calcul!$BY$77))),"",IF(NOT(ISNUMBER(INDEX('Liste outils'!$E$6:$E$130,Calcul!$BY$77))),"",IF(INDEX('Liste outils'!$E$6:$E$130,Calcul!$BY$77)&lt;=0,"",IF(ABS(INDEX('Liste outils'!$E$6:$E$130,Calcul!$BY$77)*64-ROUND(INDEX('Liste outils'!$E$6:$E$130,Calcul!$BY$77)*64,0))&gt;0.0005,"≈ ","")&amp;IF(INT(ROUND(INDEX('Liste outils'!$E$6:$E$130,Calcul!$BY$77)*64,0)/64)&gt;0,INT(ROUND(INDEX('Liste outils'!$E$6:$E$130,Calcul!$BY$77)*64,0)/64)&amp;IF(MOD(ROUND(INDEX('Liste outils'!$E$6:$E$130,Calcul!$BY$77)*64,0),64)&gt;0," ",""),"")&amp;IF(MOD(ROUND(INDEX('Liste outils'!$E$6:$E$130,Calcul!$BY$77)*64,0),64)&gt;0,MOD(ROUND(INDEX('Liste outils'!$E$6:$E$130,Calcul!$BY$77)*64,0),64)/GCD(MOD(ROUND(INDEX('Liste outils'!$E$6:$E$130,Calcul!$BY$77)*64,0),64),64)&amp;"/"&amp;64/GCD(MOD(ROUND(INDEX('Liste outils'!$E$6:$E$130,Calcul!$BY$77)*64,0),64),64),IF(ROUND(INDEX('Liste outils'!$E$6:$E$130,Calcul!$BY$77)*64,0)=0,"0",""))&amp;""""))&amp;" · "&amp;FIXED(INDEX('Liste outils'!$E$6:$E$130,Calcul!$BY$77),4,TRUE())&amp;" po · "&amp;FIXED(INDEX('Liste outils'!$E$6:$E$130,Calcul!$BY$77)*25.4,3,TRUE())&amp;" mm"),""))</f>
        <v>≈ 13/64" · 0.2012 po · 5.110 mm</v>
      </c>
      <c r="D31" s="25" t="str">
        <f aca="false">IF(Calcul!$BY$77=0,"",IF(ISNUMBER(INDEX('Liste outils'!$H$6:$H$130,Calcul!$BY$77)),IF(NOT(ISNUMBER(INDEX('Liste outils'!$H$6:$H$130,Calcul!$BY$77))),"",IF(NOT(ISNUMBER(INDEX('Liste outils'!$H$6:$H$130,Calcul!$BY$77))),"",IF(INDEX('Liste outils'!$H$6:$H$130,Calcul!$BY$77)&lt;=0,"",IF(ABS(INDEX('Liste outils'!$H$6:$H$130,Calcul!$BY$77)*64-ROUND(INDEX('Liste outils'!$H$6:$H$130,Calcul!$BY$77)*64,0))&gt;0.0005,"≈ ","")&amp;IF(INT(ROUND(INDEX('Liste outils'!$H$6:$H$130,Calcul!$BY$77)*64,0)/64)&gt;0,INT(ROUND(INDEX('Liste outils'!$H$6:$H$130,Calcul!$BY$77)*64,0)/64)&amp;IF(MOD(ROUND(INDEX('Liste outils'!$H$6:$H$130,Calcul!$BY$77)*64,0),64)&gt;0," ",""),"")&amp;IF(MOD(ROUND(INDEX('Liste outils'!$H$6:$H$130,Calcul!$BY$77)*64,0),64)&gt;0,MOD(ROUND(INDEX('Liste outils'!$H$6:$H$130,Calcul!$BY$77)*64,0),64)/GCD(MOD(ROUND(INDEX('Liste outils'!$H$6:$H$130,Calcul!$BY$77)*64,0),64),64)&amp;"/"&amp;64/GCD(MOD(ROUND(INDEX('Liste outils'!$H$6:$H$130,Calcul!$BY$77)*64,0),64),64),IF(ROUND(INDEX('Liste outils'!$H$6:$H$130,Calcul!$BY$77)*64,0)=0,"0",""))&amp;""""))&amp;" · "&amp;FIXED(INDEX('Liste outils'!$H$6:$H$130,Calcul!$BY$77),4,TRUE())&amp;" po · "&amp;FIXED(INDEX('Liste outils'!$H$6:$H$130,Calcul!$BY$77)*25.4,3,TRUE())&amp;" mm"),""))</f>
        <v>≈ 2 3/64" · 2.0472 po · 51.999 mm</v>
      </c>
      <c r="E31" s="25" t="str">
        <f aca="false">IF(Calcul!$BY$77=0,"",INDEX('Liste outils'!$J$6:$J$130,Calcul!$BY$77)&amp;"")</f>
        <v/>
      </c>
      <c r="F31" s="25" t="str">
        <f aca="false">IF(Calcul!$BY$77=0,"",INDEX('Liste outils'!$K$6:$K$130,Calcul!$BY$77)&amp;"")</f>
        <v>2</v>
      </c>
      <c r="G31" s="25" t="str">
        <f aca="false">IF(Calcul!$BY$77=0,"",INDEX('Liste outils'!$O$6:$O$130,Calcul!$BY$77)&amp;"")</f>
        <v>8597511</v>
      </c>
      <c r="H31" s="25" t="str">
        <f aca="false">IF(Calcul!$BY$77=0,"",INDEX('Liste outils'!$P$6:$P$130,Calcul!$BY$77)&amp;"")</f>
        <v>OSG</v>
      </c>
      <c r="I31" s="25" t="str">
        <f aca="false">IF(Calcul!$BY$77=0,"",INDEX('Liste outils'!$AB$6:$AB$130,Calcul!$BY$77)&amp;"")</f>
        <v>A-1-E-4</v>
      </c>
      <c r="J31" s="25" t="str">
        <f aca="false">IF(Calcul!$BY$77=0,"",INDEX('Liste outils'!$AA$6:$AA$130,Calcul!$BY$77)&amp;"")</f>
        <v>Stainless Steel</v>
      </c>
      <c r="K31" s="25" t="str">
        <f aca="false">IF(Calcul!$BY$77=0,"",INDEX('Liste outils'!$AC$6:$AC$130,Calcul!$BY$77)&amp;"")</f>
        <v/>
      </c>
    </row>
    <row r="32" customFormat="false" ht="15" hidden="false" customHeight="false" outlineLevel="0" collapsed="false">
      <c r="A32" s="24" t="str">
        <f aca="false">IF(Calcul!$BY$78=0,"",INDEX('Liste outils'!$B$6:$B$130,Calcul!$BY$78)&amp;"")</f>
        <v>EM0032</v>
      </c>
      <c r="B32" s="25" t="str">
        <f aca="false">IF(Calcul!$BY$78=0,"",INDEX('Liste outils'!$C$6:$C$130,Calcul!$BY$78)&amp;"")</f>
        <v>End Mill</v>
      </c>
      <c r="C32" s="25" t="str">
        <f aca="false">IF(Calcul!$BY$78=0,"",IF(ISNUMBER(INDEX('Liste outils'!$E$6:$E$130,Calcul!$BY$78)),IF(NOT(ISNUMBER(INDEX('Liste outils'!$E$6:$E$130,Calcul!$BY$78))),"",IF(NOT(ISNUMBER(INDEX('Liste outils'!$E$6:$E$130,Calcul!$BY$78))),"",IF(INDEX('Liste outils'!$E$6:$E$130,Calcul!$BY$78)&lt;=0,"",IF(ABS(INDEX('Liste outils'!$E$6:$E$130,Calcul!$BY$78)*64-ROUND(INDEX('Liste outils'!$E$6:$E$130,Calcul!$BY$78)*64,0))&gt;0.0005,"≈ ","")&amp;IF(INT(ROUND(INDEX('Liste outils'!$E$6:$E$130,Calcul!$BY$78)*64,0)/64)&gt;0,INT(ROUND(INDEX('Liste outils'!$E$6:$E$130,Calcul!$BY$78)*64,0)/64)&amp;IF(MOD(ROUND(INDEX('Liste outils'!$E$6:$E$130,Calcul!$BY$78)*64,0),64)&gt;0," ",""),"")&amp;IF(MOD(ROUND(INDEX('Liste outils'!$E$6:$E$130,Calcul!$BY$78)*64,0),64)&gt;0,MOD(ROUND(INDEX('Liste outils'!$E$6:$E$130,Calcul!$BY$78)*64,0),64)/GCD(MOD(ROUND(INDEX('Liste outils'!$E$6:$E$130,Calcul!$BY$78)*64,0),64),64)&amp;"/"&amp;64/GCD(MOD(ROUND(INDEX('Liste outils'!$E$6:$E$130,Calcul!$BY$78)*64,0),64),64),IF(ROUND(INDEX('Liste outils'!$E$6:$E$130,Calcul!$BY$78)*64,0)=0,"0",""))&amp;""""))&amp;" · "&amp;FIXED(INDEX('Liste outils'!$E$6:$E$130,Calcul!$BY$78),4,TRUE())&amp;" po · "&amp;FIXED(INDEX('Liste outils'!$E$6:$E$130,Calcul!$BY$78)*25.4,3,TRUE())&amp;" mm"),""))</f>
        <v>1/8" · 0.1250 po · 3.175 mm</v>
      </c>
      <c r="D32" s="25" t="str">
        <f aca="false">IF(Calcul!$BY$78=0,"",IF(ISNUMBER(INDEX('Liste outils'!$H$6:$H$130,Calcul!$BY$78)),IF(NOT(ISNUMBER(INDEX('Liste outils'!$H$6:$H$130,Calcul!$BY$78))),"",IF(NOT(ISNUMBER(INDEX('Liste outils'!$H$6:$H$130,Calcul!$BY$78))),"",IF(INDEX('Liste outils'!$H$6:$H$130,Calcul!$BY$78)&lt;=0,"",IF(ABS(INDEX('Liste outils'!$H$6:$H$130,Calcul!$BY$78)*64-ROUND(INDEX('Liste outils'!$H$6:$H$130,Calcul!$BY$78)*64,0))&gt;0.0005,"≈ ","")&amp;IF(INT(ROUND(INDEX('Liste outils'!$H$6:$H$130,Calcul!$BY$78)*64,0)/64)&gt;0,INT(ROUND(INDEX('Liste outils'!$H$6:$H$130,Calcul!$BY$78)*64,0)/64)&amp;IF(MOD(ROUND(INDEX('Liste outils'!$H$6:$H$130,Calcul!$BY$78)*64,0),64)&gt;0," ",""),"")&amp;IF(MOD(ROUND(INDEX('Liste outils'!$H$6:$H$130,Calcul!$BY$78)*64,0),64)&gt;0,MOD(ROUND(INDEX('Liste outils'!$H$6:$H$130,Calcul!$BY$78)*64,0),64)/GCD(MOD(ROUND(INDEX('Liste outils'!$H$6:$H$130,Calcul!$BY$78)*64,0),64),64)&amp;"/"&amp;64/GCD(MOD(ROUND(INDEX('Liste outils'!$H$6:$H$130,Calcul!$BY$78)*64,0),64),64),IF(ROUND(INDEX('Liste outils'!$H$6:$H$130,Calcul!$BY$78)*64,0)=0,"0",""))&amp;""""))&amp;" · "&amp;FIXED(INDEX('Liste outils'!$H$6:$H$130,Calcul!$BY$78),4,TRUE())&amp;" po · "&amp;FIXED(INDEX('Liste outils'!$H$6:$H$130,Calcul!$BY$78)*25.4,3,TRUE())&amp;" mm"),""))</f>
        <v/>
      </c>
      <c r="E32" s="25" t="str">
        <f aca="false">IF(Calcul!$BY$78=0,"",INDEX('Liste outils'!$J$6:$J$130,Calcul!$BY$78)&amp;"")</f>
        <v/>
      </c>
      <c r="F32" s="25" t="str">
        <f aca="false">IF(Calcul!$BY$78=0,"",INDEX('Liste outils'!$K$6:$K$130,Calcul!$BY$78)&amp;"")</f>
        <v>1</v>
      </c>
      <c r="G32" s="25" t="str">
        <f aca="false">IF(Calcul!$BY$78=0,"",INDEX('Liste outils'!$O$6:$O$130,Calcul!$BY$78)&amp;"")</f>
        <v>425-EB30</v>
      </c>
      <c r="H32" s="25" t="str">
        <f aca="false">IF(Calcul!$BY$78=0,"",INDEX('Liste outils'!$P$6:$P$130,Calcul!$BY$78)&amp;"")</f>
        <v>Allstar CNC</v>
      </c>
      <c r="I32" s="25" t="str">
        <f aca="false">IF(Calcul!$BY$78=0,"",INDEX('Liste outils'!$AB$6:$AB$130,Calcul!$BY$78)&amp;"")</f>
        <v>A-1-K-1</v>
      </c>
      <c r="J32" s="25" t="str">
        <f aca="false">IF(Calcul!$BY$78=0,"",INDEX('Liste outils'!$AA$6:$AA$130,Calcul!$BY$78)&amp;"")</f>
        <v>Plastic</v>
      </c>
      <c r="K32" s="25" t="str">
        <f aca="false">IF(Calcul!$BY$78=0,"",INDEX('Liste outils'!$AC$6:$AC$130,Calcul!$BY$78)&amp;"")</f>
        <v>Engraving 30º</v>
      </c>
    </row>
    <row r="33" customFormat="false" ht="15" hidden="false" customHeight="false" outlineLevel="0" collapsed="false">
      <c r="A33" s="24" t="str">
        <f aca="false">IF(Calcul!$BY$79=0,"",INDEX('Liste outils'!$B$6:$B$130,Calcul!$BY$79)&amp;"")</f>
        <v>EM0033</v>
      </c>
      <c r="B33" s="25" t="str">
        <f aca="false">IF(Calcul!$BY$79=0,"",INDEX('Liste outils'!$C$6:$C$130,Calcul!$BY$79)&amp;"")</f>
        <v>End Mill</v>
      </c>
      <c r="C33" s="25" t="str">
        <f aca="false">IF(Calcul!$BY$79=0,"",IF(ISNUMBER(INDEX('Liste outils'!$E$6:$E$130,Calcul!$BY$79)),IF(NOT(ISNUMBER(INDEX('Liste outils'!$E$6:$E$130,Calcul!$BY$79))),"",IF(NOT(ISNUMBER(INDEX('Liste outils'!$E$6:$E$130,Calcul!$BY$79))),"",IF(INDEX('Liste outils'!$E$6:$E$130,Calcul!$BY$79)&lt;=0,"",IF(ABS(INDEX('Liste outils'!$E$6:$E$130,Calcul!$BY$79)*64-ROUND(INDEX('Liste outils'!$E$6:$E$130,Calcul!$BY$79)*64,0))&gt;0.0005,"≈ ","")&amp;IF(INT(ROUND(INDEX('Liste outils'!$E$6:$E$130,Calcul!$BY$79)*64,0)/64)&gt;0,INT(ROUND(INDEX('Liste outils'!$E$6:$E$130,Calcul!$BY$79)*64,0)/64)&amp;IF(MOD(ROUND(INDEX('Liste outils'!$E$6:$E$130,Calcul!$BY$79)*64,0),64)&gt;0," ",""),"")&amp;IF(MOD(ROUND(INDEX('Liste outils'!$E$6:$E$130,Calcul!$BY$79)*64,0),64)&gt;0,MOD(ROUND(INDEX('Liste outils'!$E$6:$E$130,Calcul!$BY$79)*64,0),64)/GCD(MOD(ROUND(INDEX('Liste outils'!$E$6:$E$130,Calcul!$BY$79)*64,0),64),64)&amp;"/"&amp;64/GCD(MOD(ROUND(INDEX('Liste outils'!$E$6:$E$130,Calcul!$BY$79)*64,0),64),64),IF(ROUND(INDEX('Liste outils'!$E$6:$E$130,Calcul!$BY$79)*64,0)=0,"0",""))&amp;""""))&amp;" · "&amp;FIXED(INDEX('Liste outils'!$E$6:$E$130,Calcul!$BY$79),4,TRUE())&amp;" po · "&amp;FIXED(INDEX('Liste outils'!$E$6:$E$130,Calcul!$BY$79)*25.4,3,TRUE())&amp;" mm"),""))</f>
        <v>1/8" · 0.1250 po · 3.175 mm</v>
      </c>
      <c r="D33" s="25" t="str">
        <f aca="false">IF(Calcul!$BY$79=0,"",IF(ISNUMBER(INDEX('Liste outils'!$H$6:$H$130,Calcul!$BY$79)),IF(NOT(ISNUMBER(INDEX('Liste outils'!$H$6:$H$130,Calcul!$BY$79))),"",IF(NOT(ISNUMBER(INDEX('Liste outils'!$H$6:$H$130,Calcul!$BY$79))),"",IF(INDEX('Liste outils'!$H$6:$H$130,Calcul!$BY$79)&lt;=0,"",IF(ABS(INDEX('Liste outils'!$H$6:$H$130,Calcul!$BY$79)*64-ROUND(INDEX('Liste outils'!$H$6:$H$130,Calcul!$BY$79)*64,0))&gt;0.0005,"≈ ","")&amp;IF(INT(ROUND(INDEX('Liste outils'!$H$6:$H$130,Calcul!$BY$79)*64,0)/64)&gt;0,INT(ROUND(INDEX('Liste outils'!$H$6:$H$130,Calcul!$BY$79)*64,0)/64)&amp;IF(MOD(ROUND(INDEX('Liste outils'!$H$6:$H$130,Calcul!$BY$79)*64,0),64)&gt;0," ",""),"")&amp;IF(MOD(ROUND(INDEX('Liste outils'!$H$6:$H$130,Calcul!$BY$79)*64,0),64)&gt;0,MOD(ROUND(INDEX('Liste outils'!$H$6:$H$130,Calcul!$BY$79)*64,0),64)/GCD(MOD(ROUND(INDEX('Liste outils'!$H$6:$H$130,Calcul!$BY$79)*64,0),64),64)&amp;"/"&amp;64/GCD(MOD(ROUND(INDEX('Liste outils'!$H$6:$H$130,Calcul!$BY$79)*64,0),64),64),IF(ROUND(INDEX('Liste outils'!$H$6:$H$130,Calcul!$BY$79)*64,0)=0,"0",""))&amp;""""))&amp;" · "&amp;FIXED(INDEX('Liste outils'!$H$6:$H$130,Calcul!$BY$79),4,TRUE())&amp;" po · "&amp;FIXED(INDEX('Liste outils'!$H$6:$H$130,Calcul!$BY$79)*25.4,3,TRUE())&amp;" mm"),""))</f>
        <v/>
      </c>
      <c r="E33" s="25" t="str">
        <f aca="false">IF(Calcul!$BY$79=0,"",INDEX('Liste outils'!$J$6:$J$130,Calcul!$BY$79)&amp;"")</f>
        <v>Upcut</v>
      </c>
      <c r="F33" s="25" t="str">
        <f aca="false">IF(Calcul!$BY$79=0,"",INDEX('Liste outils'!$K$6:$K$130,Calcul!$BY$79)&amp;"")</f>
        <v>1</v>
      </c>
      <c r="G33" s="25" t="str">
        <f aca="false">IF(Calcul!$BY$79=0,"",INDEX('Liste outils'!$O$6:$O$130,Calcul!$BY$79)&amp;"")</f>
        <v>700-1251</v>
      </c>
      <c r="H33" s="25" t="str">
        <f aca="false">IF(Calcul!$BY$79=0,"",INDEX('Liste outils'!$P$6:$P$130,Calcul!$BY$79)&amp;"")</f>
        <v>OSG</v>
      </c>
      <c r="I33" s="25" t="str">
        <f aca="false">IF(Calcul!$BY$79=0,"",INDEX('Liste outils'!$AB$6:$AB$130,Calcul!$BY$79)&amp;"")</f>
        <v>A-1-K-1</v>
      </c>
      <c r="J33" s="25" t="str">
        <f aca="false">IF(Calcul!$BY$79=0,"",INDEX('Liste outils'!$AA$6:$AA$130,Calcul!$BY$79)&amp;"")</f>
        <v>Steel, Cast Iron, Non-Ferrous Metal</v>
      </c>
      <c r="K33" s="25" t="str">
        <f aca="false">IF(Calcul!$BY$79=0,"",INDEX('Liste outils'!$AC$6:$AC$130,Calcul!$BY$79)&amp;"")</f>
        <v>Countersink  82º</v>
      </c>
    </row>
    <row r="34" customFormat="false" ht="23.85" hidden="false" customHeight="false" outlineLevel="0" collapsed="false">
      <c r="A34" s="24" t="str">
        <f aca="false">IF(Calcul!$BY$80=0,"",INDEX('Liste outils'!$B$6:$B$130,Calcul!$BY$80)&amp;"")</f>
        <v>EM0031</v>
      </c>
      <c r="B34" s="25" t="str">
        <f aca="false">IF(Calcul!$BY$80=0,"",INDEX('Liste outils'!$C$6:$C$130,Calcul!$BY$80)&amp;"")</f>
        <v>End Mill</v>
      </c>
      <c r="C34" s="25" t="str">
        <f aca="false">IF(Calcul!$BY$80=0,"",IF(ISNUMBER(INDEX('Liste outils'!$E$6:$E$130,Calcul!$BY$80)),IF(NOT(ISNUMBER(INDEX('Liste outils'!$E$6:$E$130,Calcul!$BY$80))),"",IF(NOT(ISNUMBER(INDEX('Liste outils'!$E$6:$E$130,Calcul!$BY$80))),"",IF(INDEX('Liste outils'!$E$6:$E$130,Calcul!$BY$80)&lt;=0,"",IF(ABS(INDEX('Liste outils'!$E$6:$E$130,Calcul!$BY$80)*64-ROUND(INDEX('Liste outils'!$E$6:$E$130,Calcul!$BY$80)*64,0))&gt;0.0005,"≈ ","")&amp;IF(INT(ROUND(INDEX('Liste outils'!$E$6:$E$130,Calcul!$BY$80)*64,0)/64)&gt;0,INT(ROUND(INDEX('Liste outils'!$E$6:$E$130,Calcul!$BY$80)*64,0)/64)&amp;IF(MOD(ROUND(INDEX('Liste outils'!$E$6:$E$130,Calcul!$BY$80)*64,0),64)&gt;0," ",""),"")&amp;IF(MOD(ROUND(INDEX('Liste outils'!$E$6:$E$130,Calcul!$BY$80)*64,0),64)&gt;0,MOD(ROUND(INDEX('Liste outils'!$E$6:$E$130,Calcul!$BY$80)*64,0),64)/GCD(MOD(ROUND(INDEX('Liste outils'!$E$6:$E$130,Calcul!$BY$80)*64,0),64),64)&amp;"/"&amp;64/GCD(MOD(ROUND(INDEX('Liste outils'!$E$6:$E$130,Calcul!$BY$80)*64,0),64),64),IF(ROUND(INDEX('Liste outils'!$E$6:$E$130,Calcul!$BY$80)*64,0)=0,"0",""))&amp;""""))&amp;" · "&amp;FIXED(INDEX('Liste outils'!$E$6:$E$130,Calcul!$BY$80),4,TRUE())&amp;" po · "&amp;FIXED(INDEX('Liste outils'!$E$6:$E$130,Calcul!$BY$80)*25.4,3,TRUE())&amp;" mm"),""))</f>
        <v>1/4" · 0.2500 po · 6.350 mm</v>
      </c>
      <c r="D34" s="25" t="str">
        <f aca="false">IF(Calcul!$BY$80=0,"",IF(ISNUMBER(INDEX('Liste outils'!$H$6:$H$130,Calcul!$BY$80)),IF(NOT(ISNUMBER(INDEX('Liste outils'!$H$6:$H$130,Calcul!$BY$80))),"",IF(NOT(ISNUMBER(INDEX('Liste outils'!$H$6:$H$130,Calcul!$BY$80))),"",IF(INDEX('Liste outils'!$H$6:$H$130,Calcul!$BY$80)&lt;=0,"",IF(ABS(INDEX('Liste outils'!$H$6:$H$130,Calcul!$BY$80)*64-ROUND(INDEX('Liste outils'!$H$6:$H$130,Calcul!$BY$80)*64,0))&gt;0.0005,"≈ ","")&amp;IF(INT(ROUND(INDEX('Liste outils'!$H$6:$H$130,Calcul!$BY$80)*64,0)/64)&gt;0,INT(ROUND(INDEX('Liste outils'!$H$6:$H$130,Calcul!$BY$80)*64,0)/64)&amp;IF(MOD(ROUND(INDEX('Liste outils'!$H$6:$H$130,Calcul!$BY$80)*64,0),64)&gt;0," ",""),"")&amp;IF(MOD(ROUND(INDEX('Liste outils'!$H$6:$H$130,Calcul!$BY$80)*64,0),64)&gt;0,MOD(ROUND(INDEX('Liste outils'!$H$6:$H$130,Calcul!$BY$80)*64,0),64)/GCD(MOD(ROUND(INDEX('Liste outils'!$H$6:$H$130,Calcul!$BY$80)*64,0),64),64)&amp;"/"&amp;64/GCD(MOD(ROUND(INDEX('Liste outils'!$H$6:$H$130,Calcul!$BY$80)*64,0),64),64),IF(ROUND(INDEX('Liste outils'!$H$6:$H$130,Calcul!$BY$80)*64,0)=0,"0",""))&amp;""""))&amp;" · "&amp;FIXED(INDEX('Liste outils'!$H$6:$H$130,Calcul!$BY$80),4,TRUE())&amp;" po · "&amp;FIXED(INDEX('Liste outils'!$H$6:$H$130,Calcul!$BY$80)*25.4,3,TRUE())&amp;" mm"),""))</f>
        <v>1/8" · 0.1250 po · 3.175 mm</v>
      </c>
      <c r="E34" s="25" t="str">
        <f aca="false">IF(Calcul!$BY$80=0,"",INDEX('Liste outils'!$J$6:$J$130,Calcul!$BY$80)&amp;"")</f>
        <v/>
      </c>
      <c r="F34" s="25" t="str">
        <f aca="false">IF(Calcul!$BY$80=0,"",INDEX('Liste outils'!$K$6:$K$130,Calcul!$BY$80)&amp;"")</f>
        <v>1</v>
      </c>
      <c r="G34" s="25" t="str">
        <f aca="false">IF(Calcul!$BY$80=0,"",INDEX('Liste outils'!$O$6:$O$130,Calcul!$BY$80)&amp;"")</f>
        <v>61025002</v>
      </c>
      <c r="H34" s="25" t="str">
        <f aca="false">IF(Calcul!$BY$80=0,"",INDEX('Liste outils'!$P$6:$P$130,Calcul!$BY$80)&amp;"")</f>
        <v>M.A. FORD</v>
      </c>
      <c r="I34" s="25" t="str">
        <f aca="false">IF(Calcul!$BY$80=0,"",INDEX('Liste outils'!$AB$6:$AB$130,Calcul!$BY$80)&amp;"")</f>
        <v>A-1-K-1</v>
      </c>
      <c r="J34" s="25" t="str">
        <f aca="false">IF(Calcul!$BY$80=0,"",INDEX('Liste outils'!$AA$6:$AA$130,Calcul!$BY$80)&amp;"")</f>
        <v>Steel, Stainless Steel, Cast Iron, Aluminum, Non-Ferrous Metal</v>
      </c>
      <c r="K34" s="25" t="str">
        <f aca="false">IF(Calcul!$BY$80=0,"",INDEX('Liste outils'!$AC$6:$AC$130,Calcul!$BY$80)&amp;"")</f>
        <v>Countersink  82º</v>
      </c>
    </row>
    <row r="35" customFormat="false" ht="15" hidden="false" customHeight="false" outlineLevel="0" collapsed="false">
      <c r="A35" s="24" t="str">
        <f aca="false">IF(Calcul!$BY$81=0,"",INDEX('Liste outils'!$B$6:$B$130,Calcul!$BY$81)&amp;"")</f>
        <v>I0023</v>
      </c>
      <c r="B35" s="25" t="str">
        <f aca="false">IF(Calcul!$BY$81=0,"",INDEX('Liste outils'!$C$6:$C$130,Calcul!$BY$81)&amp;"")</f>
        <v>Insert</v>
      </c>
      <c r="C35" s="25" t="str">
        <f aca="false">IF(Calcul!$BY$81=0,"",IF(ISNUMBER(INDEX('Liste outils'!$E$6:$E$130,Calcul!$BY$81)),IF(NOT(ISNUMBER(INDEX('Liste outils'!$E$6:$E$130,Calcul!$BY$81))),"",IF(NOT(ISNUMBER(INDEX('Liste outils'!$E$6:$E$130,Calcul!$BY$81))),"",IF(INDEX('Liste outils'!$E$6:$E$130,Calcul!$BY$81)&lt;=0,"",IF(ABS(INDEX('Liste outils'!$E$6:$E$130,Calcul!$BY$81)*64-ROUND(INDEX('Liste outils'!$E$6:$E$130,Calcul!$BY$81)*64,0))&gt;0.0005,"≈ ","")&amp;IF(INT(ROUND(INDEX('Liste outils'!$E$6:$E$130,Calcul!$BY$81)*64,0)/64)&gt;0,INT(ROUND(INDEX('Liste outils'!$E$6:$E$130,Calcul!$BY$81)*64,0)/64)&amp;IF(MOD(ROUND(INDEX('Liste outils'!$E$6:$E$130,Calcul!$BY$81)*64,0),64)&gt;0," ",""),"")&amp;IF(MOD(ROUND(INDEX('Liste outils'!$E$6:$E$130,Calcul!$BY$81)*64,0),64)&gt;0,MOD(ROUND(INDEX('Liste outils'!$E$6:$E$130,Calcul!$BY$81)*64,0),64)/GCD(MOD(ROUND(INDEX('Liste outils'!$E$6:$E$130,Calcul!$BY$81)*64,0),64),64)&amp;"/"&amp;64/GCD(MOD(ROUND(INDEX('Liste outils'!$E$6:$E$130,Calcul!$BY$81)*64,0),64),64),IF(ROUND(INDEX('Liste outils'!$E$6:$E$130,Calcul!$BY$81)*64,0)=0,"0",""))&amp;""""))&amp;" · "&amp;FIXED(INDEX('Liste outils'!$E$6:$E$130,Calcul!$BY$81),4,TRUE())&amp;" po · "&amp;FIXED(INDEX('Liste outils'!$E$6:$E$130,Calcul!$BY$81)*25.4,3,TRUE())&amp;" mm"),""))</f>
        <v>1/4" · 0.2500 po · 6.350 mm</v>
      </c>
      <c r="D35" s="25" t="str">
        <f aca="false">IF(Calcul!$BY$81=0,"",IF(ISNUMBER(INDEX('Liste outils'!$H$6:$H$130,Calcul!$BY$81)),IF(NOT(ISNUMBER(INDEX('Liste outils'!$H$6:$H$130,Calcul!$BY$81))),"",IF(NOT(ISNUMBER(INDEX('Liste outils'!$H$6:$H$130,Calcul!$BY$81))),"",IF(INDEX('Liste outils'!$H$6:$H$130,Calcul!$BY$81)&lt;=0,"",IF(ABS(INDEX('Liste outils'!$H$6:$H$130,Calcul!$BY$81)*64-ROUND(INDEX('Liste outils'!$H$6:$H$130,Calcul!$BY$81)*64,0))&gt;0.0005,"≈ ","")&amp;IF(INT(ROUND(INDEX('Liste outils'!$H$6:$H$130,Calcul!$BY$81)*64,0)/64)&gt;0,INT(ROUND(INDEX('Liste outils'!$H$6:$H$130,Calcul!$BY$81)*64,0)/64)&amp;IF(MOD(ROUND(INDEX('Liste outils'!$H$6:$H$130,Calcul!$BY$81)*64,0),64)&gt;0," ",""),"")&amp;IF(MOD(ROUND(INDEX('Liste outils'!$H$6:$H$130,Calcul!$BY$81)*64,0),64)&gt;0,MOD(ROUND(INDEX('Liste outils'!$H$6:$H$130,Calcul!$BY$81)*64,0),64)/GCD(MOD(ROUND(INDEX('Liste outils'!$H$6:$H$130,Calcul!$BY$81)*64,0),64),64)&amp;"/"&amp;64/GCD(MOD(ROUND(INDEX('Liste outils'!$H$6:$H$130,Calcul!$BY$81)*64,0),64),64),IF(ROUND(INDEX('Liste outils'!$H$6:$H$130,Calcul!$BY$81)*64,0)=0,"0",""))&amp;""""))&amp;" · "&amp;FIXED(INDEX('Liste outils'!$H$6:$H$130,Calcul!$BY$81),4,TRUE())&amp;" po · "&amp;FIXED(INDEX('Liste outils'!$H$6:$H$130,Calcul!$BY$81)*25.4,3,TRUE())&amp;" mm"),""))</f>
        <v>≈ 1/4" · 0.2539 po · 6.449 mm</v>
      </c>
      <c r="E35" s="25" t="str">
        <f aca="false">IF(Calcul!$BY$81=0,"",INDEX('Liste outils'!$J$6:$J$130,Calcul!$BY$81)&amp;"")</f>
        <v/>
      </c>
      <c r="F35" s="25" t="str">
        <f aca="false">IF(Calcul!$BY$81=0,"",INDEX('Liste outils'!$K$6:$K$130,Calcul!$BY$81)&amp;"")</f>
        <v/>
      </c>
      <c r="G35" s="25" t="str">
        <f aca="false">IF(Calcul!$BY$81=0,"",INDEX('Liste outils'!$O$6:$O$130,Calcul!$BY$81)&amp;"")</f>
        <v>CPMT060204FP</v>
      </c>
      <c r="H35" s="25" t="str">
        <f aca="false">IF(Calcul!$BY$81=0,"",INDEX('Liste outils'!$P$6:$P$130,Calcul!$BY$81)&amp;"")</f>
        <v>Kennametal</v>
      </c>
      <c r="I35" s="25" t="str">
        <f aca="false">IF(Calcul!$BY$81=0,"",INDEX('Liste outils'!$AB$6:$AB$130,Calcul!$BY$81)&amp;"")</f>
        <v>A-2-C-4</v>
      </c>
      <c r="J35" s="25" t="str">
        <f aca="false">IF(Calcul!$BY$81=0,"",INDEX('Liste outils'!$AA$6:$AA$130,Calcul!$BY$81)&amp;"")</f>
        <v>Steel, Stainless steel</v>
      </c>
      <c r="K35" s="25" t="str">
        <f aca="false">IF(Calcul!$BY$81=0,"",INDEX('Liste outils'!$AC$6:$AC$130,Calcul!$BY$81)&amp;"")</f>
        <v>CPMT2151FP</v>
      </c>
    </row>
    <row r="36" customFormat="false" ht="23.85" hidden="false" customHeight="false" outlineLevel="0" collapsed="false">
      <c r="A36" s="24" t="str">
        <f aca="false">IF(Calcul!$BY$82=0,"",INDEX('Liste outils'!$B$6:$B$130,Calcul!$BY$82)&amp;"")</f>
        <v>I0024</v>
      </c>
      <c r="B36" s="25" t="str">
        <f aca="false">IF(Calcul!$BY$82=0,"",INDEX('Liste outils'!$C$6:$C$130,Calcul!$BY$82)&amp;"")</f>
        <v>Insert</v>
      </c>
      <c r="C36" s="25" t="str">
        <f aca="false">IF(Calcul!$BY$82=0,"",IF(ISNUMBER(INDEX('Liste outils'!$E$6:$E$130,Calcul!$BY$82)),IF(NOT(ISNUMBER(INDEX('Liste outils'!$E$6:$E$130,Calcul!$BY$82))),"",IF(NOT(ISNUMBER(INDEX('Liste outils'!$E$6:$E$130,Calcul!$BY$82))),"",IF(INDEX('Liste outils'!$E$6:$E$130,Calcul!$BY$82)&lt;=0,"",IF(ABS(INDEX('Liste outils'!$E$6:$E$130,Calcul!$BY$82)*64-ROUND(INDEX('Liste outils'!$E$6:$E$130,Calcul!$BY$82)*64,0))&gt;0.0005,"≈ ","")&amp;IF(INT(ROUND(INDEX('Liste outils'!$E$6:$E$130,Calcul!$BY$82)*64,0)/64)&gt;0,INT(ROUND(INDEX('Liste outils'!$E$6:$E$130,Calcul!$BY$82)*64,0)/64)&amp;IF(MOD(ROUND(INDEX('Liste outils'!$E$6:$E$130,Calcul!$BY$82)*64,0),64)&gt;0," ",""),"")&amp;IF(MOD(ROUND(INDEX('Liste outils'!$E$6:$E$130,Calcul!$BY$82)*64,0),64)&gt;0,MOD(ROUND(INDEX('Liste outils'!$E$6:$E$130,Calcul!$BY$82)*64,0),64)/GCD(MOD(ROUND(INDEX('Liste outils'!$E$6:$E$130,Calcul!$BY$82)*64,0),64),64)&amp;"/"&amp;64/GCD(MOD(ROUND(INDEX('Liste outils'!$E$6:$E$130,Calcul!$BY$82)*64,0),64),64),IF(ROUND(INDEX('Liste outils'!$E$6:$E$130,Calcul!$BY$82)*64,0)=0,"0",""))&amp;""""))&amp;" · "&amp;FIXED(INDEX('Liste outils'!$E$6:$E$130,Calcul!$BY$82),4,TRUE())&amp;" po · "&amp;FIXED(INDEX('Liste outils'!$E$6:$E$130,Calcul!$BY$82)*25.4,3,TRUE())&amp;" mm"),""))</f>
        <v>1/4" · 0.2500 po · 6.350 mm</v>
      </c>
      <c r="D36" s="25" t="str">
        <f aca="false">IF(Calcul!$BY$82=0,"",IF(ISNUMBER(INDEX('Liste outils'!$H$6:$H$130,Calcul!$BY$82)),IF(NOT(ISNUMBER(INDEX('Liste outils'!$H$6:$H$130,Calcul!$BY$82))),"",IF(NOT(ISNUMBER(INDEX('Liste outils'!$H$6:$H$130,Calcul!$BY$82))),"",IF(INDEX('Liste outils'!$H$6:$H$130,Calcul!$BY$82)&lt;=0,"",IF(ABS(INDEX('Liste outils'!$H$6:$H$130,Calcul!$BY$82)*64-ROUND(INDEX('Liste outils'!$H$6:$H$130,Calcul!$BY$82)*64,0))&gt;0.0005,"≈ ","")&amp;IF(INT(ROUND(INDEX('Liste outils'!$H$6:$H$130,Calcul!$BY$82)*64,0)/64)&gt;0,INT(ROUND(INDEX('Liste outils'!$H$6:$H$130,Calcul!$BY$82)*64,0)/64)&amp;IF(MOD(ROUND(INDEX('Liste outils'!$H$6:$H$130,Calcul!$BY$82)*64,0),64)&gt;0," ",""),"")&amp;IF(MOD(ROUND(INDEX('Liste outils'!$H$6:$H$130,Calcul!$BY$82)*64,0),64)&gt;0,MOD(ROUND(INDEX('Liste outils'!$H$6:$H$130,Calcul!$BY$82)*64,0),64)/GCD(MOD(ROUND(INDEX('Liste outils'!$H$6:$H$130,Calcul!$BY$82)*64,0),64),64)&amp;"/"&amp;64/GCD(MOD(ROUND(INDEX('Liste outils'!$H$6:$H$130,Calcul!$BY$82)*64,0),64),64),IF(ROUND(INDEX('Liste outils'!$H$6:$H$130,Calcul!$BY$82)*64,0)=0,"0",""))&amp;""""))&amp;" · "&amp;FIXED(INDEX('Liste outils'!$H$6:$H$130,Calcul!$BY$82),4,TRUE())&amp;" po · "&amp;FIXED(INDEX('Liste outils'!$H$6:$H$130,Calcul!$BY$82)*25.4,3,TRUE())&amp;" mm"),""))</f>
        <v>≈ 1/4" · 0.2539 po · 6.449 mm</v>
      </c>
      <c r="E36" s="25" t="str">
        <f aca="false">IF(Calcul!$BY$82=0,"",INDEX('Liste outils'!$J$6:$J$130,Calcul!$BY$82)&amp;"")</f>
        <v/>
      </c>
      <c r="F36" s="25" t="str">
        <f aca="false">IF(Calcul!$BY$82=0,"",INDEX('Liste outils'!$K$6:$K$130,Calcul!$BY$82)&amp;"")</f>
        <v/>
      </c>
      <c r="G36" s="25" t="str">
        <f aca="false">IF(Calcul!$BY$82=0,"",INDEX('Liste outils'!$O$6:$O$130,Calcul!$BY$82)&amp;"")</f>
        <v>CCMT060204FP</v>
      </c>
      <c r="H36" s="25" t="str">
        <f aca="false">IF(Calcul!$BY$82=0,"",INDEX('Liste outils'!$P$6:$P$130,Calcul!$BY$82)&amp;"")</f>
        <v>Kennametal</v>
      </c>
      <c r="I36" s="25" t="str">
        <f aca="false">IF(Calcul!$BY$82=0,"",INDEX('Liste outils'!$AB$6:$AB$130,Calcul!$BY$82)&amp;"")</f>
        <v>A-2-F-4</v>
      </c>
      <c r="J36" s="25" t="str">
        <f aca="false">IF(Calcul!$BY$82=0,"",INDEX('Liste outils'!$AA$6:$AA$130,Calcul!$BY$82)&amp;"")</f>
        <v>Steel, Stainless Steel, High-Temp Alloys</v>
      </c>
      <c r="K36" s="25" t="str">
        <f aca="false">IF(Calcul!$BY$82=0,"",INDEX('Liste outils'!$AC$6:$AC$130,Calcul!$BY$82)&amp;"")</f>
        <v>Material Number 7167775, ANSI CCMT2151FP</v>
      </c>
    </row>
    <row r="37" customFormat="false" ht="15" hidden="false" customHeight="false" outlineLevel="0" collapsed="false">
      <c r="A37" s="24" t="str">
        <f aca="false">IF(Calcul!$BY$83=0,"",INDEX('Liste outils'!$B$6:$B$130,Calcul!$BY$83)&amp;"")</f>
        <v>EM0001</v>
      </c>
      <c r="B37" s="25" t="str">
        <f aca="false">IF(Calcul!$BY$83=0,"",INDEX('Liste outils'!$C$6:$C$130,Calcul!$BY$83)&amp;"")</f>
        <v>End Mill</v>
      </c>
      <c r="C37" s="25" t="str">
        <f aca="false">IF(Calcul!$BY$83=0,"",IF(ISNUMBER(INDEX('Liste outils'!$E$6:$E$130,Calcul!$BY$83)),IF(NOT(ISNUMBER(INDEX('Liste outils'!$E$6:$E$130,Calcul!$BY$83))),"",IF(NOT(ISNUMBER(INDEX('Liste outils'!$E$6:$E$130,Calcul!$BY$83))),"",IF(INDEX('Liste outils'!$E$6:$E$130,Calcul!$BY$83)&lt;=0,"",IF(ABS(INDEX('Liste outils'!$E$6:$E$130,Calcul!$BY$83)*64-ROUND(INDEX('Liste outils'!$E$6:$E$130,Calcul!$BY$83)*64,0))&gt;0.0005,"≈ ","")&amp;IF(INT(ROUND(INDEX('Liste outils'!$E$6:$E$130,Calcul!$BY$83)*64,0)/64)&gt;0,INT(ROUND(INDEX('Liste outils'!$E$6:$E$130,Calcul!$BY$83)*64,0)/64)&amp;IF(MOD(ROUND(INDEX('Liste outils'!$E$6:$E$130,Calcul!$BY$83)*64,0),64)&gt;0," ",""),"")&amp;IF(MOD(ROUND(INDEX('Liste outils'!$E$6:$E$130,Calcul!$BY$83)*64,0),64)&gt;0,MOD(ROUND(INDEX('Liste outils'!$E$6:$E$130,Calcul!$BY$83)*64,0),64)/GCD(MOD(ROUND(INDEX('Liste outils'!$E$6:$E$130,Calcul!$BY$83)*64,0),64),64)&amp;"/"&amp;64/GCD(MOD(ROUND(INDEX('Liste outils'!$E$6:$E$130,Calcul!$BY$83)*64,0),64),64),IF(ROUND(INDEX('Liste outils'!$E$6:$E$130,Calcul!$BY$83)*64,0)=0,"0",""))&amp;""""))&amp;" · "&amp;FIXED(INDEX('Liste outils'!$E$6:$E$130,Calcul!$BY$83),4,TRUE())&amp;" po · "&amp;FIXED(INDEX('Liste outils'!$E$6:$E$130,Calcul!$BY$83)*25.4,3,TRUE())&amp;" mm"),""))</f>
        <v>1/4" · 0.2500 po · 6.350 mm</v>
      </c>
      <c r="D37" s="25" t="str">
        <f aca="false">IF(Calcul!$BY$83=0,"",IF(ISNUMBER(INDEX('Liste outils'!$H$6:$H$130,Calcul!$BY$83)),IF(NOT(ISNUMBER(INDEX('Liste outils'!$H$6:$H$130,Calcul!$BY$83))),"",IF(NOT(ISNUMBER(INDEX('Liste outils'!$H$6:$H$130,Calcul!$BY$83))),"",IF(INDEX('Liste outils'!$H$6:$H$130,Calcul!$BY$83)&lt;=0,"",IF(ABS(INDEX('Liste outils'!$H$6:$H$130,Calcul!$BY$83)*64-ROUND(INDEX('Liste outils'!$H$6:$H$130,Calcul!$BY$83)*64,0))&gt;0.0005,"≈ ","")&amp;IF(INT(ROUND(INDEX('Liste outils'!$H$6:$H$130,Calcul!$BY$83)*64,0)/64)&gt;0,INT(ROUND(INDEX('Liste outils'!$H$6:$H$130,Calcul!$BY$83)*64,0)/64)&amp;IF(MOD(ROUND(INDEX('Liste outils'!$H$6:$H$130,Calcul!$BY$83)*64,0),64)&gt;0," ",""),"")&amp;IF(MOD(ROUND(INDEX('Liste outils'!$H$6:$H$130,Calcul!$BY$83)*64,0),64)&gt;0,MOD(ROUND(INDEX('Liste outils'!$H$6:$H$130,Calcul!$BY$83)*64,0),64)/GCD(MOD(ROUND(INDEX('Liste outils'!$H$6:$H$130,Calcul!$BY$83)*64,0),64),64)&amp;"/"&amp;64/GCD(MOD(ROUND(INDEX('Liste outils'!$H$6:$H$130,Calcul!$BY$83)*64,0),64),64),IF(ROUND(INDEX('Liste outils'!$H$6:$H$130,Calcul!$BY$83)*64,0)=0,"0",""))&amp;""""))&amp;" · "&amp;FIXED(INDEX('Liste outils'!$H$6:$H$130,Calcul!$BY$83),4,TRUE())&amp;" po · "&amp;FIXED(INDEX('Liste outils'!$H$6:$H$130,Calcul!$BY$83)*25.4,3,TRUE())&amp;" mm"),""))</f>
        <v>3/8" · 0.3750 po · 9.525 mm</v>
      </c>
      <c r="E37" s="25" t="str">
        <f aca="false">IF(Calcul!$BY$83=0,"",INDEX('Liste outils'!$J$6:$J$130,Calcul!$BY$83)&amp;"")</f>
        <v/>
      </c>
      <c r="F37" s="25" t="str">
        <f aca="false">IF(Calcul!$BY$83=0,"",INDEX('Liste outils'!$K$6:$K$130,Calcul!$BY$83)&amp;"")</f>
        <v>2</v>
      </c>
      <c r="G37" s="25" t="str">
        <f aca="false">IF(Calcul!$BY$83=0,"",INDEX('Liste outils'!$O$6:$O$130,Calcul!$BY$83)&amp;"")</f>
        <v>DMASOL-230926</v>
      </c>
      <c r="H37" s="25" t="str">
        <f aca="false">IF(Calcul!$BY$83=0,"",INDEX('Liste outils'!$P$6:$P$130,Calcul!$BY$83)&amp;"")</f>
        <v>CASTELAR</v>
      </c>
      <c r="I37" s="25" t="str">
        <f aca="false">IF(Calcul!$BY$83=0,"",INDEX('Liste outils'!$AB$6:$AB$130,Calcul!$BY$83)&amp;"")</f>
        <v>A-2-A-3</v>
      </c>
      <c r="J37" s="25" t="str">
        <f aca="false">IF(Calcul!$BY$83=0,"",INDEX('Liste outils'!$AA$6:$AA$130,Calcul!$BY$83)&amp;"")</f>
        <v/>
      </c>
      <c r="K37" s="25" t="str">
        <f aca="false">IF(Calcul!$BY$83=0,"",INDEX('Liste outils'!$AC$6:$AC$130,Calcul!$BY$83)&amp;"")</f>
        <v>45º Chamfer End</v>
      </c>
    </row>
    <row r="38" customFormat="false" ht="15" hidden="false" customHeight="false" outlineLevel="0" collapsed="false">
      <c r="A38" s="24" t="str">
        <f aca="false">IF(Calcul!$BY$84=0,"",INDEX('Liste outils'!$B$6:$B$130,Calcul!$BY$84)&amp;"")</f>
        <v>EM0004</v>
      </c>
      <c r="B38" s="25" t="str">
        <f aca="false">IF(Calcul!$BY$84=0,"",INDEX('Liste outils'!$C$6:$C$130,Calcul!$BY$84)&amp;"")</f>
        <v>End Mill</v>
      </c>
      <c r="C38" s="25" t="str">
        <f aca="false">IF(Calcul!$BY$84=0,"",IF(ISNUMBER(INDEX('Liste outils'!$E$6:$E$130,Calcul!$BY$84)),IF(NOT(ISNUMBER(INDEX('Liste outils'!$E$6:$E$130,Calcul!$BY$84))),"",IF(NOT(ISNUMBER(INDEX('Liste outils'!$E$6:$E$130,Calcul!$BY$84))),"",IF(INDEX('Liste outils'!$E$6:$E$130,Calcul!$BY$84)&lt;=0,"",IF(ABS(INDEX('Liste outils'!$E$6:$E$130,Calcul!$BY$84)*64-ROUND(INDEX('Liste outils'!$E$6:$E$130,Calcul!$BY$84)*64,0))&gt;0.0005,"≈ ","")&amp;IF(INT(ROUND(INDEX('Liste outils'!$E$6:$E$130,Calcul!$BY$84)*64,0)/64)&gt;0,INT(ROUND(INDEX('Liste outils'!$E$6:$E$130,Calcul!$BY$84)*64,0)/64)&amp;IF(MOD(ROUND(INDEX('Liste outils'!$E$6:$E$130,Calcul!$BY$84)*64,0),64)&gt;0," ",""),"")&amp;IF(MOD(ROUND(INDEX('Liste outils'!$E$6:$E$130,Calcul!$BY$84)*64,0),64)&gt;0,MOD(ROUND(INDEX('Liste outils'!$E$6:$E$130,Calcul!$BY$84)*64,0),64)/GCD(MOD(ROUND(INDEX('Liste outils'!$E$6:$E$130,Calcul!$BY$84)*64,0),64),64)&amp;"/"&amp;64/GCD(MOD(ROUND(INDEX('Liste outils'!$E$6:$E$130,Calcul!$BY$84)*64,0),64),64),IF(ROUND(INDEX('Liste outils'!$E$6:$E$130,Calcul!$BY$84)*64,0)=0,"0",""))&amp;""""))&amp;" · "&amp;FIXED(INDEX('Liste outils'!$E$6:$E$130,Calcul!$BY$84),4,TRUE())&amp;" po · "&amp;FIXED(INDEX('Liste outils'!$E$6:$E$130,Calcul!$BY$84)*25.4,3,TRUE())&amp;" mm"),""))</f>
        <v>1/4" · 0.2500 po · 6.350 mm</v>
      </c>
      <c r="D38" s="25" t="str">
        <f aca="false">IF(Calcul!$BY$84=0,"",IF(ISNUMBER(INDEX('Liste outils'!$H$6:$H$130,Calcul!$BY$84)),IF(NOT(ISNUMBER(INDEX('Liste outils'!$H$6:$H$130,Calcul!$BY$84))),"",IF(NOT(ISNUMBER(INDEX('Liste outils'!$H$6:$H$130,Calcul!$BY$84))),"",IF(INDEX('Liste outils'!$H$6:$H$130,Calcul!$BY$84)&lt;=0,"",IF(ABS(INDEX('Liste outils'!$H$6:$H$130,Calcul!$BY$84)*64-ROUND(INDEX('Liste outils'!$H$6:$H$130,Calcul!$BY$84)*64,0))&gt;0.0005,"≈ ","")&amp;IF(INT(ROUND(INDEX('Liste outils'!$H$6:$H$130,Calcul!$BY$84)*64,0)/64)&gt;0,INT(ROUND(INDEX('Liste outils'!$H$6:$H$130,Calcul!$BY$84)*64,0)/64)&amp;IF(MOD(ROUND(INDEX('Liste outils'!$H$6:$H$130,Calcul!$BY$84)*64,0),64)&gt;0," ",""),"")&amp;IF(MOD(ROUND(INDEX('Liste outils'!$H$6:$H$130,Calcul!$BY$84)*64,0),64)&gt;0,MOD(ROUND(INDEX('Liste outils'!$H$6:$H$130,Calcul!$BY$84)*64,0),64)/GCD(MOD(ROUND(INDEX('Liste outils'!$H$6:$H$130,Calcul!$BY$84)*64,0),64),64)&amp;"/"&amp;64/GCD(MOD(ROUND(INDEX('Liste outils'!$H$6:$H$130,Calcul!$BY$84)*64,0),64),64),IF(ROUND(INDEX('Liste outils'!$H$6:$H$130,Calcul!$BY$84)*64,0)=0,"0",""))&amp;""""))&amp;" · "&amp;FIXED(INDEX('Liste outils'!$H$6:$H$130,Calcul!$BY$84),4,TRUE())&amp;" po · "&amp;FIXED(INDEX('Liste outils'!$H$6:$H$130,Calcul!$BY$84)*25.4,3,TRUE())&amp;" mm"),""))</f>
        <v>3/8" · 0.3750 po · 9.525 mm</v>
      </c>
      <c r="E38" s="25" t="str">
        <f aca="false">IF(Calcul!$BY$84=0,"",INDEX('Liste outils'!$J$6:$J$130,Calcul!$BY$84)&amp;"")</f>
        <v>Upcut</v>
      </c>
      <c r="F38" s="25" t="str">
        <f aca="false">IF(Calcul!$BY$84=0,"",INDEX('Liste outils'!$K$6:$K$130,Calcul!$BY$84)&amp;"")</f>
        <v>1</v>
      </c>
      <c r="G38" s="25" t="str">
        <f aca="false">IF(Calcul!$BY$84=0,"",INDEX('Liste outils'!$O$6:$O$130,Calcul!$BY$84)&amp;"")</f>
        <v>63-774</v>
      </c>
      <c r="H38" s="25" t="str">
        <f aca="false">IF(Calcul!$BY$84=0,"",INDEX('Liste outils'!$P$6:$P$130,Calcul!$BY$84)&amp;"")</f>
        <v>LMT Onsrud</v>
      </c>
      <c r="I38" s="25" t="str">
        <f aca="false">IF(Calcul!$BY$84=0,"",INDEX('Liste outils'!$AB$6:$AB$130,Calcul!$BY$84)&amp;"")</f>
        <v>A-1-A-3</v>
      </c>
      <c r="J38" s="25" t="str">
        <f aca="false">IF(Calcul!$BY$84=0,"",INDEX('Liste outils'!$AA$6:$AA$130,Calcul!$BY$84)&amp;"")</f>
        <v>Soft Plastic</v>
      </c>
      <c r="K38" s="25" t="str">
        <f aca="false">IF(Calcul!$BY$84=0,"",INDEX('Liste outils'!$AC$6:$AC$130,Calcul!$BY$84)&amp;"")</f>
        <v>ARMTEC</v>
      </c>
    </row>
    <row r="39" customFormat="false" ht="15" hidden="false" customHeight="false" outlineLevel="0" collapsed="false">
      <c r="A39" s="24" t="str">
        <f aca="false">IF(Calcul!$BY$85=0,"",INDEX('Liste outils'!$B$6:$B$130,Calcul!$BY$85)&amp;"")</f>
        <v>EM0025</v>
      </c>
      <c r="B39" s="25" t="str">
        <f aca="false">IF(Calcul!$BY$85=0,"",INDEX('Liste outils'!$C$6:$C$130,Calcul!$BY$85)&amp;"")</f>
        <v>End Mill</v>
      </c>
      <c r="C39" s="25" t="str">
        <f aca="false">IF(Calcul!$BY$85=0,"",IF(ISNUMBER(INDEX('Liste outils'!$E$6:$E$130,Calcul!$BY$85)),IF(NOT(ISNUMBER(INDEX('Liste outils'!$E$6:$E$130,Calcul!$BY$85))),"",IF(NOT(ISNUMBER(INDEX('Liste outils'!$E$6:$E$130,Calcul!$BY$85))),"",IF(INDEX('Liste outils'!$E$6:$E$130,Calcul!$BY$85)&lt;=0,"",IF(ABS(INDEX('Liste outils'!$E$6:$E$130,Calcul!$BY$85)*64-ROUND(INDEX('Liste outils'!$E$6:$E$130,Calcul!$BY$85)*64,0))&gt;0.0005,"≈ ","")&amp;IF(INT(ROUND(INDEX('Liste outils'!$E$6:$E$130,Calcul!$BY$85)*64,0)/64)&gt;0,INT(ROUND(INDEX('Liste outils'!$E$6:$E$130,Calcul!$BY$85)*64,0)/64)&amp;IF(MOD(ROUND(INDEX('Liste outils'!$E$6:$E$130,Calcul!$BY$85)*64,0),64)&gt;0," ",""),"")&amp;IF(MOD(ROUND(INDEX('Liste outils'!$E$6:$E$130,Calcul!$BY$85)*64,0),64)&gt;0,MOD(ROUND(INDEX('Liste outils'!$E$6:$E$130,Calcul!$BY$85)*64,0),64)/GCD(MOD(ROUND(INDEX('Liste outils'!$E$6:$E$130,Calcul!$BY$85)*64,0),64),64)&amp;"/"&amp;64/GCD(MOD(ROUND(INDEX('Liste outils'!$E$6:$E$130,Calcul!$BY$85)*64,0),64),64),IF(ROUND(INDEX('Liste outils'!$E$6:$E$130,Calcul!$BY$85)*64,0)=0,"0",""))&amp;""""))&amp;" · "&amp;FIXED(INDEX('Liste outils'!$E$6:$E$130,Calcul!$BY$85),4,TRUE())&amp;" po · "&amp;FIXED(INDEX('Liste outils'!$E$6:$E$130,Calcul!$BY$85)*25.4,3,TRUE())&amp;" mm"),""))</f>
        <v>1/4" · 0.2500 po · 6.350 mm</v>
      </c>
      <c r="D39" s="25" t="str">
        <f aca="false">IF(Calcul!$BY$85=0,"",IF(ISNUMBER(INDEX('Liste outils'!$H$6:$H$130,Calcul!$BY$85)),IF(NOT(ISNUMBER(INDEX('Liste outils'!$H$6:$H$130,Calcul!$BY$85))),"",IF(NOT(ISNUMBER(INDEX('Liste outils'!$H$6:$H$130,Calcul!$BY$85))),"",IF(INDEX('Liste outils'!$H$6:$H$130,Calcul!$BY$85)&lt;=0,"",IF(ABS(INDEX('Liste outils'!$H$6:$H$130,Calcul!$BY$85)*64-ROUND(INDEX('Liste outils'!$H$6:$H$130,Calcul!$BY$85)*64,0))&gt;0.0005,"≈ ","")&amp;IF(INT(ROUND(INDEX('Liste outils'!$H$6:$H$130,Calcul!$BY$85)*64,0)/64)&gt;0,INT(ROUND(INDEX('Liste outils'!$H$6:$H$130,Calcul!$BY$85)*64,0)/64)&amp;IF(MOD(ROUND(INDEX('Liste outils'!$H$6:$H$130,Calcul!$BY$85)*64,0),64)&gt;0," ",""),"")&amp;IF(MOD(ROUND(INDEX('Liste outils'!$H$6:$H$130,Calcul!$BY$85)*64,0),64)&gt;0,MOD(ROUND(INDEX('Liste outils'!$H$6:$H$130,Calcul!$BY$85)*64,0),64)/GCD(MOD(ROUND(INDEX('Liste outils'!$H$6:$H$130,Calcul!$BY$85)*64,0),64),64)&amp;"/"&amp;64/GCD(MOD(ROUND(INDEX('Liste outils'!$H$6:$H$130,Calcul!$BY$85)*64,0),64),64),IF(ROUND(INDEX('Liste outils'!$H$6:$H$130,Calcul!$BY$85)*64,0)=0,"0",""))&amp;""""))&amp;" · "&amp;FIXED(INDEX('Liste outils'!$H$6:$H$130,Calcul!$BY$85),4,TRUE())&amp;" po · "&amp;FIXED(INDEX('Liste outils'!$H$6:$H$130,Calcul!$BY$85)*25.4,3,TRUE())&amp;" mm"),""))</f>
        <v>1/2" · 0.5000 po · 12.700 mm</v>
      </c>
      <c r="E39" s="25" t="str">
        <f aca="false">IF(Calcul!$BY$85=0,"",INDEX('Liste outils'!$J$6:$J$130,Calcul!$BY$85)&amp;"")</f>
        <v>Upcut</v>
      </c>
      <c r="F39" s="25" t="str">
        <f aca="false">IF(Calcul!$BY$85=0,"",INDEX('Liste outils'!$K$6:$K$130,Calcul!$BY$85)&amp;"")</f>
        <v>3</v>
      </c>
      <c r="G39" s="25" t="str">
        <f aca="false">IF(Calcul!$BY$85=0,"",INDEX('Liste outils'!$O$6:$O$130,Calcul!$BY$85)&amp;"")</f>
        <v>88300209</v>
      </c>
      <c r="H39" s="25" t="str">
        <f aca="false">IF(Calcul!$BY$85=0,"",INDEX('Liste outils'!$P$6:$P$130,Calcul!$BY$85)&amp;"")</f>
        <v>OSG</v>
      </c>
      <c r="I39" s="25" t="str">
        <f aca="false">IF(Calcul!$BY$85=0,"",INDEX('Liste outils'!$AB$6:$AB$130,Calcul!$BY$85)&amp;"")</f>
        <v>A-1-H-4</v>
      </c>
      <c r="J39" s="25" t="str">
        <f aca="false">IF(Calcul!$BY$85=0,"",INDEX('Liste outils'!$AA$6:$AA$130,Calcul!$BY$85)&amp;"")</f>
        <v>Non-Ferrous Metal</v>
      </c>
      <c r="K39" s="25" t="str">
        <f aca="false">IF(Calcul!$BY$85=0,"",INDEX('Liste outils'!$AC$6:$AC$130,Calcul!$BY$85)&amp;"")</f>
        <v>Clear Charge</v>
      </c>
    </row>
    <row r="40" customFormat="false" ht="15" hidden="false" customHeight="false" outlineLevel="0" collapsed="false">
      <c r="A40" s="24" t="str">
        <f aca="false">IF(Calcul!$BY$86=0,"",INDEX('Liste outils'!$B$6:$B$130,Calcul!$BY$86)&amp;"")</f>
        <v>EM0008</v>
      </c>
      <c r="B40" s="25" t="str">
        <f aca="false">IF(Calcul!$BY$86=0,"",INDEX('Liste outils'!$C$6:$C$130,Calcul!$BY$86)&amp;"")</f>
        <v>End Mill</v>
      </c>
      <c r="C40" s="25" t="str">
        <f aca="false">IF(Calcul!$BY$86=0,"",IF(ISNUMBER(INDEX('Liste outils'!$E$6:$E$130,Calcul!$BY$86)),IF(NOT(ISNUMBER(INDEX('Liste outils'!$E$6:$E$130,Calcul!$BY$86))),"",IF(NOT(ISNUMBER(INDEX('Liste outils'!$E$6:$E$130,Calcul!$BY$86))),"",IF(INDEX('Liste outils'!$E$6:$E$130,Calcul!$BY$86)&lt;=0,"",IF(ABS(INDEX('Liste outils'!$E$6:$E$130,Calcul!$BY$86)*64-ROUND(INDEX('Liste outils'!$E$6:$E$130,Calcul!$BY$86)*64,0))&gt;0.0005,"≈ ","")&amp;IF(INT(ROUND(INDEX('Liste outils'!$E$6:$E$130,Calcul!$BY$86)*64,0)/64)&gt;0,INT(ROUND(INDEX('Liste outils'!$E$6:$E$130,Calcul!$BY$86)*64,0)/64)&amp;IF(MOD(ROUND(INDEX('Liste outils'!$E$6:$E$130,Calcul!$BY$86)*64,0),64)&gt;0," ",""),"")&amp;IF(MOD(ROUND(INDEX('Liste outils'!$E$6:$E$130,Calcul!$BY$86)*64,0),64)&gt;0,MOD(ROUND(INDEX('Liste outils'!$E$6:$E$130,Calcul!$BY$86)*64,0),64)/GCD(MOD(ROUND(INDEX('Liste outils'!$E$6:$E$130,Calcul!$BY$86)*64,0),64),64)&amp;"/"&amp;64/GCD(MOD(ROUND(INDEX('Liste outils'!$E$6:$E$130,Calcul!$BY$86)*64,0),64),64),IF(ROUND(INDEX('Liste outils'!$E$6:$E$130,Calcul!$BY$86)*64,0)=0,"0",""))&amp;""""))&amp;" · "&amp;FIXED(INDEX('Liste outils'!$E$6:$E$130,Calcul!$BY$86),4,TRUE())&amp;" po · "&amp;FIXED(INDEX('Liste outils'!$E$6:$E$130,Calcul!$BY$86)*25.4,3,TRUE())&amp;" mm"),""))</f>
        <v>1/4" · 0.2500 po · 6.350 mm</v>
      </c>
      <c r="D40" s="25" t="str">
        <f aca="false">IF(Calcul!$BY$86=0,"",IF(ISNUMBER(INDEX('Liste outils'!$H$6:$H$130,Calcul!$BY$86)),IF(NOT(ISNUMBER(INDEX('Liste outils'!$H$6:$H$130,Calcul!$BY$86))),"",IF(NOT(ISNUMBER(INDEX('Liste outils'!$H$6:$H$130,Calcul!$BY$86))),"",IF(INDEX('Liste outils'!$H$6:$H$130,Calcul!$BY$86)&lt;=0,"",IF(ABS(INDEX('Liste outils'!$H$6:$H$130,Calcul!$BY$86)*64-ROUND(INDEX('Liste outils'!$H$6:$H$130,Calcul!$BY$86)*64,0))&gt;0.0005,"≈ ","")&amp;IF(INT(ROUND(INDEX('Liste outils'!$H$6:$H$130,Calcul!$BY$86)*64,0)/64)&gt;0,INT(ROUND(INDEX('Liste outils'!$H$6:$H$130,Calcul!$BY$86)*64,0)/64)&amp;IF(MOD(ROUND(INDEX('Liste outils'!$H$6:$H$130,Calcul!$BY$86)*64,0),64)&gt;0," ",""),"")&amp;IF(MOD(ROUND(INDEX('Liste outils'!$H$6:$H$130,Calcul!$BY$86)*64,0),64)&gt;0,MOD(ROUND(INDEX('Liste outils'!$H$6:$H$130,Calcul!$BY$86)*64,0),64)/GCD(MOD(ROUND(INDEX('Liste outils'!$H$6:$H$130,Calcul!$BY$86)*64,0),64),64)&amp;"/"&amp;64/GCD(MOD(ROUND(INDEX('Liste outils'!$H$6:$H$130,Calcul!$BY$86)*64,0),64),64),IF(ROUND(INDEX('Liste outils'!$H$6:$H$130,Calcul!$BY$86)*64,0)=0,"0",""))&amp;""""))&amp;" · "&amp;FIXED(INDEX('Liste outils'!$H$6:$H$130,Calcul!$BY$86),4,TRUE())&amp;" po · "&amp;FIXED(INDEX('Liste outils'!$H$6:$H$130,Calcul!$BY$86)*25.4,3,TRUE())&amp;" mm"),""))</f>
        <v>3/4" · 0.7500 po · 19.050 mm</v>
      </c>
      <c r="E40" s="25" t="str">
        <f aca="false">IF(Calcul!$BY$86=0,"",INDEX('Liste outils'!$J$6:$J$130,Calcul!$BY$86)&amp;"")</f>
        <v>Upcut</v>
      </c>
      <c r="F40" s="25" t="str">
        <f aca="false">IF(Calcul!$BY$86=0,"",INDEX('Liste outils'!$K$6:$K$130,Calcul!$BY$86)&amp;"")</f>
        <v>1</v>
      </c>
      <c r="G40" s="25" t="str">
        <f aca="false">IF(Calcul!$BY$86=0,"",INDEX('Liste outils'!$O$6:$O$130,Calcul!$BY$86)&amp;"")</f>
        <v>63-725</v>
      </c>
      <c r="H40" s="25" t="str">
        <f aca="false">IF(Calcul!$BY$86=0,"",INDEX('Liste outils'!$P$6:$P$130,Calcul!$BY$86)&amp;"")</f>
        <v>LMT Onsrud</v>
      </c>
      <c r="I40" s="25" t="str">
        <f aca="false">IF(Calcul!$BY$86=0,"",INDEX('Liste outils'!$AB$6:$AB$130,Calcul!$BY$86)&amp;"")</f>
        <v>A-1-B-3</v>
      </c>
      <c r="J40" s="25" t="str">
        <f aca="false">IF(Calcul!$BY$86=0,"",INDEX('Liste outils'!$AA$6:$AA$130,Calcul!$BY$86)&amp;"")</f>
        <v>Hard Plastic</v>
      </c>
      <c r="K40" s="25" t="str">
        <f aca="false">IF(Calcul!$BY$86=0,"",INDEX('Liste outils'!$AC$6:$AC$130,Calcul!$BY$86)&amp;"")</f>
        <v/>
      </c>
    </row>
    <row r="41" customFormat="false" ht="15" hidden="false" customHeight="false" outlineLevel="0" collapsed="false">
      <c r="A41" s="24" t="str">
        <f aca="false">IF(Calcul!$BY$87=0,"",INDEX('Liste outils'!$B$6:$B$130,Calcul!$BY$87)&amp;"")</f>
        <v>EM0015</v>
      </c>
      <c r="B41" s="25" t="str">
        <f aca="false">IF(Calcul!$BY$87=0,"",INDEX('Liste outils'!$C$6:$C$130,Calcul!$BY$87)&amp;"")</f>
        <v>End Mill</v>
      </c>
      <c r="C41" s="25" t="str">
        <f aca="false">IF(Calcul!$BY$87=0,"",IF(ISNUMBER(INDEX('Liste outils'!$E$6:$E$130,Calcul!$BY$87)),IF(NOT(ISNUMBER(INDEX('Liste outils'!$E$6:$E$130,Calcul!$BY$87))),"",IF(NOT(ISNUMBER(INDEX('Liste outils'!$E$6:$E$130,Calcul!$BY$87))),"",IF(INDEX('Liste outils'!$E$6:$E$130,Calcul!$BY$87)&lt;=0,"",IF(ABS(INDEX('Liste outils'!$E$6:$E$130,Calcul!$BY$87)*64-ROUND(INDEX('Liste outils'!$E$6:$E$130,Calcul!$BY$87)*64,0))&gt;0.0005,"≈ ","")&amp;IF(INT(ROUND(INDEX('Liste outils'!$E$6:$E$130,Calcul!$BY$87)*64,0)/64)&gt;0,INT(ROUND(INDEX('Liste outils'!$E$6:$E$130,Calcul!$BY$87)*64,0)/64)&amp;IF(MOD(ROUND(INDEX('Liste outils'!$E$6:$E$130,Calcul!$BY$87)*64,0),64)&gt;0," ",""),"")&amp;IF(MOD(ROUND(INDEX('Liste outils'!$E$6:$E$130,Calcul!$BY$87)*64,0),64)&gt;0,MOD(ROUND(INDEX('Liste outils'!$E$6:$E$130,Calcul!$BY$87)*64,0),64)/GCD(MOD(ROUND(INDEX('Liste outils'!$E$6:$E$130,Calcul!$BY$87)*64,0),64),64)&amp;"/"&amp;64/GCD(MOD(ROUND(INDEX('Liste outils'!$E$6:$E$130,Calcul!$BY$87)*64,0),64),64),IF(ROUND(INDEX('Liste outils'!$E$6:$E$130,Calcul!$BY$87)*64,0)=0,"0",""))&amp;""""))&amp;" · "&amp;FIXED(INDEX('Liste outils'!$E$6:$E$130,Calcul!$BY$87),4,TRUE())&amp;" po · "&amp;FIXED(INDEX('Liste outils'!$E$6:$E$130,Calcul!$BY$87)*25.4,3,TRUE())&amp;" mm"),""))</f>
        <v>1/4" · 0.2500 po · 6.350 mm</v>
      </c>
      <c r="D41" s="25" t="str">
        <f aca="false">IF(Calcul!$BY$87=0,"",IF(ISNUMBER(INDEX('Liste outils'!$H$6:$H$130,Calcul!$BY$87)),IF(NOT(ISNUMBER(INDEX('Liste outils'!$H$6:$H$130,Calcul!$BY$87))),"",IF(NOT(ISNUMBER(INDEX('Liste outils'!$H$6:$H$130,Calcul!$BY$87))),"",IF(INDEX('Liste outils'!$H$6:$H$130,Calcul!$BY$87)&lt;=0,"",IF(ABS(INDEX('Liste outils'!$H$6:$H$130,Calcul!$BY$87)*64-ROUND(INDEX('Liste outils'!$H$6:$H$130,Calcul!$BY$87)*64,0))&gt;0.0005,"≈ ","")&amp;IF(INT(ROUND(INDEX('Liste outils'!$H$6:$H$130,Calcul!$BY$87)*64,0)/64)&gt;0,INT(ROUND(INDEX('Liste outils'!$H$6:$H$130,Calcul!$BY$87)*64,0)/64)&amp;IF(MOD(ROUND(INDEX('Liste outils'!$H$6:$H$130,Calcul!$BY$87)*64,0),64)&gt;0," ",""),"")&amp;IF(MOD(ROUND(INDEX('Liste outils'!$H$6:$H$130,Calcul!$BY$87)*64,0),64)&gt;0,MOD(ROUND(INDEX('Liste outils'!$H$6:$H$130,Calcul!$BY$87)*64,0),64)/GCD(MOD(ROUND(INDEX('Liste outils'!$H$6:$H$130,Calcul!$BY$87)*64,0),64),64)&amp;"/"&amp;64/GCD(MOD(ROUND(INDEX('Liste outils'!$H$6:$H$130,Calcul!$BY$87)*64,0),64),64),IF(ROUND(INDEX('Liste outils'!$H$6:$H$130,Calcul!$BY$87)*64,0)=0,"0",""))&amp;""""))&amp;" · "&amp;FIXED(INDEX('Liste outils'!$H$6:$H$130,Calcul!$BY$87),4,TRUE())&amp;" po · "&amp;FIXED(INDEX('Liste outils'!$H$6:$H$130,Calcul!$BY$87)*25.4,3,TRUE())&amp;" mm"),""))</f>
        <v>3/4" · 0.7500 po · 19.050 mm</v>
      </c>
      <c r="E41" s="25" t="str">
        <f aca="false">IF(Calcul!$BY$87=0,"",INDEX('Liste outils'!$J$6:$J$130,Calcul!$BY$87)&amp;"")</f>
        <v>Upcut</v>
      </c>
      <c r="F41" s="25" t="str">
        <f aca="false">IF(Calcul!$BY$87=0,"",INDEX('Liste outils'!$K$6:$K$130,Calcul!$BY$87)&amp;"")</f>
        <v>1</v>
      </c>
      <c r="G41" s="25" t="str">
        <f aca="false">IF(Calcul!$BY$87=0,"",INDEX('Liste outils'!$O$6:$O$130,Calcul!$BY$87)&amp;"")</f>
        <v>63-775</v>
      </c>
      <c r="H41" s="25" t="str">
        <f aca="false">IF(Calcul!$BY$87=0,"",INDEX('Liste outils'!$P$6:$P$130,Calcul!$BY$87)&amp;"")</f>
        <v>LMT Onsrud</v>
      </c>
      <c r="I41" s="25" t="str">
        <f aca="false">IF(Calcul!$BY$87=0,"",INDEX('Liste outils'!$AB$6:$AB$130,Calcul!$BY$87)&amp;"")</f>
        <v>A-1-D-2</v>
      </c>
      <c r="J41" s="25" t="str">
        <f aca="false">IF(Calcul!$BY$87=0,"",INDEX('Liste outils'!$AA$6:$AA$130,Calcul!$BY$87)&amp;"")</f>
        <v>Soft Plastic</v>
      </c>
      <c r="K41" s="25" t="str">
        <f aca="false">IF(Calcul!$BY$87=0,"",INDEX('Liste outils'!$AC$6:$AC$130,Calcul!$BY$87)&amp;"")</f>
        <v/>
      </c>
    </row>
    <row r="42" customFormat="false" ht="15" hidden="false" customHeight="false" outlineLevel="0" collapsed="false">
      <c r="A42" s="24" t="str">
        <f aca="false">IF(Calcul!$BY$88=0,"",INDEX('Liste outils'!$B$6:$B$130,Calcul!$BY$88)&amp;"")</f>
        <v>EM0050</v>
      </c>
      <c r="B42" s="25" t="str">
        <f aca="false">IF(Calcul!$BY$88=0,"",INDEX('Liste outils'!$C$6:$C$130,Calcul!$BY$88)&amp;"")</f>
        <v>End Mill</v>
      </c>
      <c r="C42" s="25" t="str">
        <f aca="false">IF(Calcul!$BY$88=0,"",IF(ISNUMBER(INDEX('Liste outils'!$E$6:$E$130,Calcul!$BY$88)),IF(NOT(ISNUMBER(INDEX('Liste outils'!$E$6:$E$130,Calcul!$BY$88))),"",IF(NOT(ISNUMBER(INDEX('Liste outils'!$E$6:$E$130,Calcul!$BY$88))),"",IF(INDEX('Liste outils'!$E$6:$E$130,Calcul!$BY$88)&lt;=0,"",IF(ABS(INDEX('Liste outils'!$E$6:$E$130,Calcul!$BY$88)*64-ROUND(INDEX('Liste outils'!$E$6:$E$130,Calcul!$BY$88)*64,0))&gt;0.0005,"≈ ","")&amp;IF(INT(ROUND(INDEX('Liste outils'!$E$6:$E$130,Calcul!$BY$88)*64,0)/64)&gt;0,INT(ROUND(INDEX('Liste outils'!$E$6:$E$130,Calcul!$BY$88)*64,0)/64)&amp;IF(MOD(ROUND(INDEX('Liste outils'!$E$6:$E$130,Calcul!$BY$88)*64,0),64)&gt;0," ",""),"")&amp;IF(MOD(ROUND(INDEX('Liste outils'!$E$6:$E$130,Calcul!$BY$88)*64,0),64)&gt;0,MOD(ROUND(INDEX('Liste outils'!$E$6:$E$130,Calcul!$BY$88)*64,0),64)/GCD(MOD(ROUND(INDEX('Liste outils'!$E$6:$E$130,Calcul!$BY$88)*64,0),64),64)&amp;"/"&amp;64/GCD(MOD(ROUND(INDEX('Liste outils'!$E$6:$E$130,Calcul!$BY$88)*64,0),64),64),IF(ROUND(INDEX('Liste outils'!$E$6:$E$130,Calcul!$BY$88)*64,0)=0,"0",""))&amp;""""))&amp;" · "&amp;FIXED(INDEX('Liste outils'!$E$6:$E$130,Calcul!$BY$88),4,TRUE())&amp;" po · "&amp;FIXED(INDEX('Liste outils'!$E$6:$E$130,Calcul!$BY$88)*25.4,3,TRUE())&amp;" mm"),""))</f>
        <v>1/4" · 0.2500 po · 6.350 mm</v>
      </c>
      <c r="D42" s="25" t="str">
        <f aca="false">IF(Calcul!$BY$88=0,"",IF(ISNUMBER(INDEX('Liste outils'!$H$6:$H$130,Calcul!$BY$88)),IF(NOT(ISNUMBER(INDEX('Liste outils'!$H$6:$H$130,Calcul!$BY$88))),"",IF(NOT(ISNUMBER(INDEX('Liste outils'!$H$6:$H$130,Calcul!$BY$88))),"",IF(INDEX('Liste outils'!$H$6:$H$130,Calcul!$BY$88)&lt;=0,"",IF(ABS(INDEX('Liste outils'!$H$6:$H$130,Calcul!$BY$88)*64-ROUND(INDEX('Liste outils'!$H$6:$H$130,Calcul!$BY$88)*64,0))&gt;0.0005,"≈ ","")&amp;IF(INT(ROUND(INDEX('Liste outils'!$H$6:$H$130,Calcul!$BY$88)*64,0)/64)&gt;0,INT(ROUND(INDEX('Liste outils'!$H$6:$H$130,Calcul!$BY$88)*64,0)/64)&amp;IF(MOD(ROUND(INDEX('Liste outils'!$H$6:$H$130,Calcul!$BY$88)*64,0),64)&gt;0," ",""),"")&amp;IF(MOD(ROUND(INDEX('Liste outils'!$H$6:$H$130,Calcul!$BY$88)*64,0),64)&gt;0,MOD(ROUND(INDEX('Liste outils'!$H$6:$H$130,Calcul!$BY$88)*64,0),64)/GCD(MOD(ROUND(INDEX('Liste outils'!$H$6:$H$130,Calcul!$BY$88)*64,0),64),64)&amp;"/"&amp;64/GCD(MOD(ROUND(INDEX('Liste outils'!$H$6:$H$130,Calcul!$BY$88)*64,0),64),64),IF(ROUND(INDEX('Liste outils'!$H$6:$H$130,Calcul!$BY$88)*64,0)=0,"0",""))&amp;""""))&amp;" · "&amp;FIXED(INDEX('Liste outils'!$H$6:$H$130,Calcul!$BY$88),4,TRUE())&amp;" po · "&amp;FIXED(INDEX('Liste outils'!$H$6:$H$130,Calcul!$BY$88)*25.4,3,TRUE())&amp;" mm"),""))</f>
        <v>3/4" · 0.7500 po · 19.050 mm</v>
      </c>
      <c r="E42" s="25" t="str">
        <f aca="false">IF(Calcul!$BY$88=0,"",INDEX('Liste outils'!$J$6:$J$130,Calcul!$BY$88)&amp;"")</f>
        <v>Upcut</v>
      </c>
      <c r="F42" s="25" t="str">
        <f aca="false">IF(Calcul!$BY$88=0,"",INDEX('Liste outils'!$K$6:$K$130,Calcul!$BY$88)&amp;"")</f>
        <v>3</v>
      </c>
      <c r="G42" s="25" t="str">
        <f aca="false">IF(Calcul!$BY$88=0,"",INDEX('Liste outils'!$O$6:$O$130,Calcul!$BY$88)&amp;"")</f>
        <v>86300409</v>
      </c>
      <c r="H42" s="25" t="str">
        <f aca="false">IF(Calcul!$BY$88=0,"",INDEX('Liste outils'!$P$6:$P$130,Calcul!$BY$88)&amp;"")</f>
        <v>OSG</v>
      </c>
      <c r="I42" s="25" t="str">
        <f aca="false">IF(Calcul!$BY$88=0,"",INDEX('Liste outils'!$AB$6:$AB$130,Calcul!$BY$88)&amp;"")</f>
        <v>A-1-H-1</v>
      </c>
      <c r="J42" s="25" t="str">
        <f aca="false">IF(Calcul!$BY$88=0,"",INDEX('Liste outils'!$AA$6:$AA$130,Calcul!$BY$88)&amp;"")</f>
        <v>Non-Ferrous Metal</v>
      </c>
      <c r="K42" s="25" t="str">
        <f aca="false">IF(Calcul!$BY$88=0,"",INDEX('Liste outils'!$AC$6:$AC$130,Calcul!$BY$88)&amp;"")</f>
        <v/>
      </c>
    </row>
    <row r="43" customFormat="false" ht="35.05" hidden="false" customHeight="false" outlineLevel="0" collapsed="false">
      <c r="A43" s="24" t="str">
        <f aca="false">IF(Calcul!$BY$89=0,"",INDEX('Liste outils'!$B$6:$B$130,Calcul!$BY$89)&amp;"")</f>
        <v>EM0029</v>
      </c>
      <c r="B43" s="25" t="str">
        <f aca="false">IF(Calcul!$BY$89=0,"",INDEX('Liste outils'!$C$6:$C$130,Calcul!$BY$89)&amp;"")</f>
        <v>End Mill</v>
      </c>
      <c r="C43" s="25" t="str">
        <f aca="false">IF(Calcul!$BY$89=0,"",IF(ISNUMBER(INDEX('Liste outils'!$E$6:$E$130,Calcul!$BY$89)),IF(NOT(ISNUMBER(INDEX('Liste outils'!$E$6:$E$130,Calcul!$BY$89))),"",IF(NOT(ISNUMBER(INDEX('Liste outils'!$E$6:$E$130,Calcul!$BY$89))),"",IF(INDEX('Liste outils'!$E$6:$E$130,Calcul!$BY$89)&lt;=0,"",IF(ABS(INDEX('Liste outils'!$E$6:$E$130,Calcul!$BY$89)*64-ROUND(INDEX('Liste outils'!$E$6:$E$130,Calcul!$BY$89)*64,0))&gt;0.0005,"≈ ","")&amp;IF(INT(ROUND(INDEX('Liste outils'!$E$6:$E$130,Calcul!$BY$89)*64,0)/64)&gt;0,INT(ROUND(INDEX('Liste outils'!$E$6:$E$130,Calcul!$BY$89)*64,0)/64)&amp;IF(MOD(ROUND(INDEX('Liste outils'!$E$6:$E$130,Calcul!$BY$89)*64,0),64)&gt;0," ",""),"")&amp;IF(MOD(ROUND(INDEX('Liste outils'!$E$6:$E$130,Calcul!$BY$89)*64,0),64)&gt;0,MOD(ROUND(INDEX('Liste outils'!$E$6:$E$130,Calcul!$BY$89)*64,0),64)/GCD(MOD(ROUND(INDEX('Liste outils'!$E$6:$E$130,Calcul!$BY$89)*64,0),64),64)&amp;"/"&amp;64/GCD(MOD(ROUND(INDEX('Liste outils'!$E$6:$E$130,Calcul!$BY$89)*64,0),64),64),IF(ROUND(INDEX('Liste outils'!$E$6:$E$130,Calcul!$BY$89)*64,0)=0,"0",""))&amp;""""))&amp;" · "&amp;FIXED(INDEX('Liste outils'!$E$6:$E$130,Calcul!$BY$89),4,TRUE())&amp;" po · "&amp;FIXED(INDEX('Liste outils'!$E$6:$E$130,Calcul!$BY$89)*25.4,3,TRUE())&amp;" mm"),""))</f>
        <v>1/4" · 0.2500 po · 6.350 mm</v>
      </c>
      <c r="D43" s="25" t="str">
        <f aca="false">IF(Calcul!$BY$89=0,"",IF(ISNUMBER(INDEX('Liste outils'!$H$6:$H$130,Calcul!$BY$89)),IF(NOT(ISNUMBER(INDEX('Liste outils'!$H$6:$H$130,Calcul!$BY$89))),"",IF(NOT(ISNUMBER(INDEX('Liste outils'!$H$6:$H$130,Calcul!$BY$89))),"",IF(INDEX('Liste outils'!$H$6:$H$130,Calcul!$BY$89)&lt;=0,"",IF(ABS(INDEX('Liste outils'!$H$6:$H$130,Calcul!$BY$89)*64-ROUND(INDEX('Liste outils'!$H$6:$H$130,Calcul!$BY$89)*64,0))&gt;0.0005,"≈ ","")&amp;IF(INT(ROUND(INDEX('Liste outils'!$H$6:$H$130,Calcul!$BY$89)*64,0)/64)&gt;0,INT(ROUND(INDEX('Liste outils'!$H$6:$H$130,Calcul!$BY$89)*64,0)/64)&amp;IF(MOD(ROUND(INDEX('Liste outils'!$H$6:$H$130,Calcul!$BY$89)*64,0),64)&gt;0," ",""),"")&amp;IF(MOD(ROUND(INDEX('Liste outils'!$H$6:$H$130,Calcul!$BY$89)*64,0),64)&gt;0,MOD(ROUND(INDEX('Liste outils'!$H$6:$H$130,Calcul!$BY$89)*64,0),64)/GCD(MOD(ROUND(INDEX('Liste outils'!$H$6:$H$130,Calcul!$BY$89)*64,0),64),64)&amp;"/"&amp;64/GCD(MOD(ROUND(INDEX('Liste outils'!$H$6:$H$130,Calcul!$BY$89)*64,0),64),64),IF(ROUND(INDEX('Liste outils'!$H$6:$H$130,Calcul!$BY$89)*64,0)=0,"0",""))&amp;""""))&amp;" · "&amp;FIXED(INDEX('Liste outils'!$H$6:$H$130,Calcul!$BY$89),4,TRUE())&amp;" po · "&amp;FIXED(INDEX('Liste outils'!$H$6:$H$130,Calcul!$BY$89)*25.4,3,TRUE())&amp;" mm"),""))</f>
        <v>7/8" · 0.8750 po · 22.225 mm</v>
      </c>
      <c r="E43" s="25" t="str">
        <f aca="false">IF(Calcul!$BY$89=0,"",INDEX('Liste outils'!$J$6:$J$130,Calcul!$BY$89)&amp;"")</f>
        <v>Upcut</v>
      </c>
      <c r="F43" s="25" t="str">
        <f aca="false">IF(Calcul!$BY$89=0,"",INDEX('Liste outils'!$K$6:$K$130,Calcul!$BY$89)&amp;"")</f>
        <v>2</v>
      </c>
      <c r="G43" s="25" t="str">
        <f aca="false">IF(Calcul!$BY$89=0,"",INDEX('Liste outils'!$O$6:$O$130,Calcul!$BY$89)&amp;"")</f>
        <v>52-280B</v>
      </c>
      <c r="H43" s="25" t="str">
        <f aca="false">IF(Calcul!$BY$89=0,"",INDEX('Liste outils'!$P$6:$P$130,Calcul!$BY$89)&amp;"")</f>
        <v>LMT Onsrud</v>
      </c>
      <c r="I43" s="25" t="str">
        <f aca="false">IF(Calcul!$BY$89=0,"",INDEX('Liste outils'!$AB$6:$AB$130,Calcul!$BY$89)&amp;"")</f>
        <v>A-1-K-1</v>
      </c>
      <c r="J43" s="25" t="str">
        <f aca="false">IF(Calcul!$BY$89=0,"",INDEX('Liste outils'!$AA$6:$AA$130,Calcul!$BY$89)&amp;"")</f>
        <v>Soft Wood, Hard Wood, Wood Composite, Soft Plastic, Hard Plastic, Aluminum</v>
      </c>
      <c r="K43" s="25" t="str">
        <f aca="false">IF(Calcul!$BY$89=0,"",INDEX('Liste outils'!$AC$6:$AC$130,Calcul!$BY$89)&amp;"")</f>
        <v>Ball Nose</v>
      </c>
    </row>
    <row r="44" customFormat="false" ht="15" hidden="false" customHeight="false" outlineLevel="0" collapsed="false">
      <c r="A44" s="24" t="str">
        <f aca="false">IF(Calcul!$BY$90=0,"",INDEX('Liste outils'!$B$6:$B$130,Calcul!$BY$90)&amp;"")</f>
        <v>EM0016</v>
      </c>
      <c r="B44" s="25" t="str">
        <f aca="false">IF(Calcul!$BY$90=0,"",INDEX('Liste outils'!$C$6:$C$130,Calcul!$BY$90)&amp;"")</f>
        <v>End Mill</v>
      </c>
      <c r="C44" s="25" t="str">
        <f aca="false">IF(Calcul!$BY$90=0,"",IF(ISNUMBER(INDEX('Liste outils'!$E$6:$E$130,Calcul!$BY$90)),IF(NOT(ISNUMBER(INDEX('Liste outils'!$E$6:$E$130,Calcul!$BY$90))),"",IF(NOT(ISNUMBER(INDEX('Liste outils'!$E$6:$E$130,Calcul!$BY$90))),"",IF(INDEX('Liste outils'!$E$6:$E$130,Calcul!$BY$90)&lt;=0,"",IF(ABS(INDEX('Liste outils'!$E$6:$E$130,Calcul!$BY$90)*64-ROUND(INDEX('Liste outils'!$E$6:$E$130,Calcul!$BY$90)*64,0))&gt;0.0005,"≈ ","")&amp;IF(INT(ROUND(INDEX('Liste outils'!$E$6:$E$130,Calcul!$BY$90)*64,0)/64)&gt;0,INT(ROUND(INDEX('Liste outils'!$E$6:$E$130,Calcul!$BY$90)*64,0)/64)&amp;IF(MOD(ROUND(INDEX('Liste outils'!$E$6:$E$130,Calcul!$BY$90)*64,0),64)&gt;0," ",""),"")&amp;IF(MOD(ROUND(INDEX('Liste outils'!$E$6:$E$130,Calcul!$BY$90)*64,0),64)&gt;0,MOD(ROUND(INDEX('Liste outils'!$E$6:$E$130,Calcul!$BY$90)*64,0),64)/GCD(MOD(ROUND(INDEX('Liste outils'!$E$6:$E$130,Calcul!$BY$90)*64,0),64),64)&amp;"/"&amp;64/GCD(MOD(ROUND(INDEX('Liste outils'!$E$6:$E$130,Calcul!$BY$90)*64,0),64),64),IF(ROUND(INDEX('Liste outils'!$E$6:$E$130,Calcul!$BY$90)*64,0)=0,"0",""))&amp;""""))&amp;" · "&amp;FIXED(INDEX('Liste outils'!$E$6:$E$130,Calcul!$BY$90),4,TRUE())&amp;" po · "&amp;FIXED(INDEX('Liste outils'!$E$6:$E$130,Calcul!$BY$90)*25.4,3,TRUE())&amp;" mm"),""))</f>
        <v>1/4" · 0.2500 po · 6.350 mm</v>
      </c>
      <c r="D44" s="25" t="str">
        <f aca="false">IF(Calcul!$BY$90=0,"",IF(ISNUMBER(INDEX('Liste outils'!$H$6:$H$130,Calcul!$BY$90)),IF(NOT(ISNUMBER(INDEX('Liste outils'!$H$6:$H$130,Calcul!$BY$90))),"",IF(NOT(ISNUMBER(INDEX('Liste outils'!$H$6:$H$130,Calcul!$BY$90))),"",IF(INDEX('Liste outils'!$H$6:$H$130,Calcul!$BY$90)&lt;=0,"",IF(ABS(INDEX('Liste outils'!$H$6:$H$130,Calcul!$BY$90)*64-ROUND(INDEX('Liste outils'!$H$6:$H$130,Calcul!$BY$90)*64,0))&gt;0.0005,"≈ ","")&amp;IF(INT(ROUND(INDEX('Liste outils'!$H$6:$H$130,Calcul!$BY$90)*64,0)/64)&gt;0,INT(ROUND(INDEX('Liste outils'!$H$6:$H$130,Calcul!$BY$90)*64,0)/64)&amp;IF(MOD(ROUND(INDEX('Liste outils'!$H$6:$H$130,Calcul!$BY$90)*64,0),64)&gt;0," ",""),"")&amp;IF(MOD(ROUND(INDEX('Liste outils'!$H$6:$H$130,Calcul!$BY$90)*64,0),64)&gt;0,MOD(ROUND(INDEX('Liste outils'!$H$6:$H$130,Calcul!$BY$90)*64,0),64)/GCD(MOD(ROUND(INDEX('Liste outils'!$H$6:$H$130,Calcul!$BY$90)*64,0),64),64)&amp;"/"&amp;64/GCD(MOD(ROUND(INDEX('Liste outils'!$H$6:$H$130,Calcul!$BY$90)*64,0),64),64),IF(ROUND(INDEX('Liste outils'!$H$6:$H$130,Calcul!$BY$90)*64,0)=0,"0",""))&amp;""""))&amp;" · "&amp;FIXED(INDEX('Liste outils'!$H$6:$H$130,Calcul!$BY$90),4,TRUE())&amp;" po · "&amp;FIXED(INDEX('Liste outils'!$H$6:$H$130,Calcul!$BY$90)*25.4,3,TRUE())&amp;" mm"),""))</f>
        <v>1 1/4" · 1.2500 po · 31.750 mm</v>
      </c>
      <c r="E44" s="25" t="str">
        <f aca="false">IF(Calcul!$BY$90=0,"",INDEX('Liste outils'!$J$6:$J$130,Calcul!$BY$90)&amp;"")</f>
        <v>Upcut</v>
      </c>
      <c r="F44" s="25" t="str">
        <f aca="false">IF(Calcul!$BY$90=0,"",INDEX('Liste outils'!$K$6:$K$130,Calcul!$BY$90)&amp;"")</f>
        <v>1</v>
      </c>
      <c r="G44" s="25" t="str">
        <f aca="false">IF(Calcul!$BY$90=0,"",INDEX('Liste outils'!$O$6:$O$130,Calcul!$BY$90)&amp;"")</f>
        <v>63-776</v>
      </c>
      <c r="H44" s="25" t="str">
        <f aca="false">IF(Calcul!$BY$90=0,"",INDEX('Liste outils'!$P$6:$P$130,Calcul!$BY$90)&amp;"")</f>
        <v>LMT Onsrud</v>
      </c>
      <c r="I44" s="25" t="str">
        <f aca="false">IF(Calcul!$BY$90=0,"",INDEX('Liste outils'!$AB$6:$AB$130,Calcul!$BY$90)&amp;"")</f>
        <v>A-1-D-3</v>
      </c>
      <c r="J44" s="25" t="str">
        <f aca="false">IF(Calcul!$BY$90=0,"",INDEX('Liste outils'!$AA$6:$AA$130,Calcul!$BY$90)&amp;"")</f>
        <v>Soft Plastic</v>
      </c>
      <c r="K44" s="25" t="str">
        <f aca="false">IF(Calcul!$BY$90=0,"",INDEX('Liste outils'!$AC$6:$AC$130,Calcul!$BY$90)&amp;"")</f>
        <v/>
      </c>
    </row>
    <row r="45" customFormat="false" ht="15" hidden="false" customHeight="false" outlineLevel="0" collapsed="false">
      <c r="A45" s="24" t="str">
        <f aca="false">IF(Calcul!$BY$91=0,"",INDEX('Liste outils'!$B$6:$B$130,Calcul!$BY$91)&amp;"")</f>
        <v>EM0012</v>
      </c>
      <c r="B45" s="25" t="str">
        <f aca="false">IF(Calcul!$BY$91=0,"",INDEX('Liste outils'!$C$6:$C$130,Calcul!$BY$91)&amp;"")</f>
        <v>End Mill</v>
      </c>
      <c r="C45" s="25" t="str">
        <f aca="false">IF(Calcul!$BY$91=0,"",IF(ISNUMBER(INDEX('Liste outils'!$E$6:$E$130,Calcul!$BY$91)),IF(NOT(ISNUMBER(INDEX('Liste outils'!$E$6:$E$130,Calcul!$BY$91))),"",IF(NOT(ISNUMBER(INDEX('Liste outils'!$E$6:$E$130,Calcul!$BY$91))),"",IF(INDEX('Liste outils'!$E$6:$E$130,Calcul!$BY$91)&lt;=0,"",IF(ABS(INDEX('Liste outils'!$E$6:$E$130,Calcul!$BY$91)*64-ROUND(INDEX('Liste outils'!$E$6:$E$130,Calcul!$BY$91)*64,0))&gt;0.0005,"≈ ","")&amp;IF(INT(ROUND(INDEX('Liste outils'!$E$6:$E$130,Calcul!$BY$91)*64,0)/64)&gt;0,INT(ROUND(INDEX('Liste outils'!$E$6:$E$130,Calcul!$BY$91)*64,0)/64)&amp;IF(MOD(ROUND(INDEX('Liste outils'!$E$6:$E$130,Calcul!$BY$91)*64,0),64)&gt;0," ",""),"")&amp;IF(MOD(ROUND(INDEX('Liste outils'!$E$6:$E$130,Calcul!$BY$91)*64,0),64)&gt;0,MOD(ROUND(INDEX('Liste outils'!$E$6:$E$130,Calcul!$BY$91)*64,0),64)/GCD(MOD(ROUND(INDEX('Liste outils'!$E$6:$E$130,Calcul!$BY$91)*64,0),64),64)&amp;"/"&amp;64/GCD(MOD(ROUND(INDEX('Liste outils'!$E$6:$E$130,Calcul!$BY$91)*64,0),64),64),IF(ROUND(INDEX('Liste outils'!$E$6:$E$130,Calcul!$BY$91)*64,0)=0,"0",""))&amp;""""))&amp;" · "&amp;FIXED(INDEX('Liste outils'!$E$6:$E$130,Calcul!$BY$91),4,TRUE())&amp;" po · "&amp;FIXED(INDEX('Liste outils'!$E$6:$E$130,Calcul!$BY$91)*25.4,3,TRUE())&amp;" mm"),""))</f>
        <v>1/4" · 0.2500 po · 6.350 mm</v>
      </c>
      <c r="D45" s="25" t="str">
        <f aca="false">IF(Calcul!$BY$91=0,"",IF(ISNUMBER(INDEX('Liste outils'!$H$6:$H$130,Calcul!$BY$91)),IF(NOT(ISNUMBER(INDEX('Liste outils'!$H$6:$H$130,Calcul!$BY$91))),"",IF(NOT(ISNUMBER(INDEX('Liste outils'!$H$6:$H$130,Calcul!$BY$91))),"",IF(INDEX('Liste outils'!$H$6:$H$130,Calcul!$BY$91)&lt;=0,"",IF(ABS(INDEX('Liste outils'!$H$6:$H$130,Calcul!$BY$91)*64-ROUND(INDEX('Liste outils'!$H$6:$H$130,Calcul!$BY$91)*64,0))&gt;0.0005,"≈ ","")&amp;IF(INT(ROUND(INDEX('Liste outils'!$H$6:$H$130,Calcul!$BY$91)*64,0)/64)&gt;0,INT(ROUND(INDEX('Liste outils'!$H$6:$H$130,Calcul!$BY$91)*64,0)/64)&amp;IF(MOD(ROUND(INDEX('Liste outils'!$H$6:$H$130,Calcul!$BY$91)*64,0),64)&gt;0," ",""),"")&amp;IF(MOD(ROUND(INDEX('Liste outils'!$H$6:$H$130,Calcul!$BY$91)*64,0),64)&gt;0,MOD(ROUND(INDEX('Liste outils'!$H$6:$H$130,Calcul!$BY$91)*64,0),64)/GCD(MOD(ROUND(INDEX('Liste outils'!$H$6:$H$130,Calcul!$BY$91)*64,0),64),64)&amp;"/"&amp;64/GCD(MOD(ROUND(INDEX('Liste outils'!$H$6:$H$130,Calcul!$BY$91)*64,0),64),64),IF(ROUND(INDEX('Liste outils'!$H$6:$H$130,Calcul!$BY$91)*64,0)=0,"0",""))&amp;""""))&amp;" · "&amp;FIXED(INDEX('Liste outils'!$H$6:$H$130,Calcul!$BY$91),4,TRUE())&amp;" po · "&amp;FIXED(INDEX('Liste outils'!$H$6:$H$130,Calcul!$BY$91)*25.4,3,TRUE())&amp;" mm"),""))</f>
        <v>1 1/2" · 1.5000 po · 38.100 mm</v>
      </c>
      <c r="E45" s="25" t="str">
        <f aca="false">IF(Calcul!$BY$91=0,"",INDEX('Liste outils'!$J$6:$J$130,Calcul!$BY$91)&amp;"")</f>
        <v>Downcut</v>
      </c>
      <c r="F45" s="25" t="str">
        <f aca="false">IF(Calcul!$BY$91=0,"",INDEX('Liste outils'!$K$6:$K$130,Calcul!$BY$91)&amp;"")</f>
        <v>1</v>
      </c>
      <c r="G45" s="25" t="str">
        <f aca="false">IF(Calcul!$BY$91=0,"",INDEX('Liste outils'!$O$6:$O$130,Calcul!$BY$91)&amp;"")</f>
        <v>62-727</v>
      </c>
      <c r="H45" s="25" t="str">
        <f aca="false">IF(Calcul!$BY$91=0,"",INDEX('Liste outils'!$P$6:$P$130,Calcul!$BY$91)&amp;"")</f>
        <v>LMT Onsrud</v>
      </c>
      <c r="I45" s="25" t="str">
        <f aca="false">IF(Calcul!$BY$91=0,"",INDEX('Liste outils'!$AB$6:$AB$130,Calcul!$BY$91)&amp;"")</f>
        <v>A-1-C-3</v>
      </c>
      <c r="J45" s="25" t="str">
        <f aca="false">IF(Calcul!$BY$91=0,"",INDEX('Liste outils'!$AA$6:$AA$130,Calcul!$BY$91)&amp;"")</f>
        <v>Hard Plastic</v>
      </c>
      <c r="K45" s="25" t="str">
        <f aca="false">IF(Calcul!$BY$91=0,"",INDEX('Liste outils'!$AC$6:$AC$130,Calcul!$BY$91)&amp;"")</f>
        <v/>
      </c>
    </row>
    <row r="46" customFormat="false" ht="15" hidden="false" customHeight="false" outlineLevel="0" collapsed="false">
      <c r="A46" s="24" t="str">
        <f aca="false">IF(Calcul!$BY$92=0,"",INDEX('Liste outils'!$B$6:$B$130,Calcul!$BY$92)&amp;"")</f>
        <v>EM0013</v>
      </c>
      <c r="B46" s="25" t="str">
        <f aca="false">IF(Calcul!$BY$92=0,"",INDEX('Liste outils'!$C$6:$C$130,Calcul!$BY$92)&amp;"")</f>
        <v>End Mill</v>
      </c>
      <c r="C46" s="25" t="str">
        <f aca="false">IF(Calcul!$BY$92=0,"",IF(ISNUMBER(INDEX('Liste outils'!$E$6:$E$130,Calcul!$BY$92)),IF(NOT(ISNUMBER(INDEX('Liste outils'!$E$6:$E$130,Calcul!$BY$92))),"",IF(NOT(ISNUMBER(INDEX('Liste outils'!$E$6:$E$130,Calcul!$BY$92))),"",IF(INDEX('Liste outils'!$E$6:$E$130,Calcul!$BY$92)&lt;=0,"",IF(ABS(INDEX('Liste outils'!$E$6:$E$130,Calcul!$BY$92)*64-ROUND(INDEX('Liste outils'!$E$6:$E$130,Calcul!$BY$92)*64,0))&gt;0.0005,"≈ ","")&amp;IF(INT(ROUND(INDEX('Liste outils'!$E$6:$E$130,Calcul!$BY$92)*64,0)/64)&gt;0,INT(ROUND(INDEX('Liste outils'!$E$6:$E$130,Calcul!$BY$92)*64,0)/64)&amp;IF(MOD(ROUND(INDEX('Liste outils'!$E$6:$E$130,Calcul!$BY$92)*64,0),64)&gt;0," ",""),"")&amp;IF(MOD(ROUND(INDEX('Liste outils'!$E$6:$E$130,Calcul!$BY$92)*64,0),64)&gt;0,MOD(ROUND(INDEX('Liste outils'!$E$6:$E$130,Calcul!$BY$92)*64,0),64)/GCD(MOD(ROUND(INDEX('Liste outils'!$E$6:$E$130,Calcul!$BY$92)*64,0),64),64)&amp;"/"&amp;64/GCD(MOD(ROUND(INDEX('Liste outils'!$E$6:$E$130,Calcul!$BY$92)*64,0),64),64),IF(ROUND(INDEX('Liste outils'!$E$6:$E$130,Calcul!$BY$92)*64,0)=0,"0",""))&amp;""""))&amp;" · "&amp;FIXED(INDEX('Liste outils'!$E$6:$E$130,Calcul!$BY$92),4,TRUE())&amp;" po · "&amp;FIXED(INDEX('Liste outils'!$E$6:$E$130,Calcul!$BY$92)*25.4,3,TRUE())&amp;" mm"),""))</f>
        <v>1/4" · 0.2500 po · 6.350 mm</v>
      </c>
      <c r="D46" s="25" t="str">
        <f aca="false">IF(Calcul!$BY$92=0,"",IF(ISNUMBER(INDEX('Liste outils'!$H$6:$H$130,Calcul!$BY$92)),IF(NOT(ISNUMBER(INDEX('Liste outils'!$H$6:$H$130,Calcul!$BY$92))),"",IF(NOT(ISNUMBER(INDEX('Liste outils'!$H$6:$H$130,Calcul!$BY$92))),"",IF(INDEX('Liste outils'!$H$6:$H$130,Calcul!$BY$92)&lt;=0,"",IF(ABS(INDEX('Liste outils'!$H$6:$H$130,Calcul!$BY$92)*64-ROUND(INDEX('Liste outils'!$H$6:$H$130,Calcul!$BY$92)*64,0))&gt;0.0005,"≈ ","")&amp;IF(INT(ROUND(INDEX('Liste outils'!$H$6:$H$130,Calcul!$BY$92)*64,0)/64)&gt;0,INT(ROUND(INDEX('Liste outils'!$H$6:$H$130,Calcul!$BY$92)*64,0)/64)&amp;IF(MOD(ROUND(INDEX('Liste outils'!$H$6:$H$130,Calcul!$BY$92)*64,0),64)&gt;0," ",""),"")&amp;IF(MOD(ROUND(INDEX('Liste outils'!$H$6:$H$130,Calcul!$BY$92)*64,0),64)&gt;0,MOD(ROUND(INDEX('Liste outils'!$H$6:$H$130,Calcul!$BY$92)*64,0),64)/GCD(MOD(ROUND(INDEX('Liste outils'!$H$6:$H$130,Calcul!$BY$92)*64,0),64),64)&amp;"/"&amp;64/GCD(MOD(ROUND(INDEX('Liste outils'!$H$6:$H$130,Calcul!$BY$92)*64,0),64),64),IF(ROUND(INDEX('Liste outils'!$H$6:$H$130,Calcul!$BY$92)*64,0)=0,"0",""))&amp;""""))&amp;" · "&amp;FIXED(INDEX('Liste outils'!$H$6:$H$130,Calcul!$BY$92),4,TRUE())&amp;" po · "&amp;FIXED(INDEX('Liste outils'!$H$6:$H$130,Calcul!$BY$92)*25.4,3,TRUE())&amp;" mm"),""))</f>
        <v>1 1/2" · 1.5000 po · 38.100 mm</v>
      </c>
      <c r="E46" s="25" t="str">
        <f aca="false">IF(Calcul!$BY$92=0,"",INDEX('Liste outils'!$J$6:$J$130,Calcul!$BY$92)&amp;"")</f>
        <v>Upcut</v>
      </c>
      <c r="F46" s="25" t="str">
        <f aca="false">IF(Calcul!$BY$92=0,"",INDEX('Liste outils'!$K$6:$K$130,Calcul!$BY$92)&amp;"")</f>
        <v>1</v>
      </c>
      <c r="G46" s="25" t="str">
        <f aca="false">IF(Calcul!$BY$92=0,"",INDEX('Liste outils'!$O$6:$O$130,Calcul!$BY$92)&amp;"")</f>
        <v>65-109</v>
      </c>
      <c r="H46" s="25" t="str">
        <f aca="false">IF(Calcul!$BY$92=0,"",INDEX('Liste outils'!$P$6:$P$130,Calcul!$BY$92)&amp;"")</f>
        <v>LMT Onsrud</v>
      </c>
      <c r="I46" s="25" t="str">
        <f aca="false">IF(Calcul!$BY$92=0,"",INDEX('Liste outils'!$AB$6:$AB$130,Calcul!$BY$92)&amp;"")</f>
        <v>A-1-C-4</v>
      </c>
      <c r="J46" s="25" t="str">
        <f aca="false">IF(Calcul!$BY$92=0,"",INDEX('Liste outils'!$AA$6:$AA$130,Calcul!$BY$92)&amp;"")</f>
        <v>Plastic</v>
      </c>
      <c r="K46" s="25" t="str">
        <f aca="false">IF(Calcul!$BY$92=0,"",INDEX('Liste outils'!$AC$6:$AC$130,Calcul!$BY$92)&amp;"")</f>
        <v>Stronger core 8x Diameter</v>
      </c>
    </row>
    <row r="47" customFormat="false" ht="15" hidden="false" customHeight="false" outlineLevel="0" collapsed="false">
      <c r="A47" s="24" t="str">
        <f aca="false">IF(Calcul!$BY$93=0,"",INDEX('Liste outils'!$B$6:$B$130,Calcul!$BY$93)&amp;"")</f>
        <v>EM0017</v>
      </c>
      <c r="B47" s="25" t="str">
        <f aca="false">IF(Calcul!$BY$93=0,"",INDEX('Liste outils'!$C$6:$C$130,Calcul!$BY$93)&amp;"")</f>
        <v>End Mill</v>
      </c>
      <c r="C47" s="25" t="str">
        <f aca="false">IF(Calcul!$BY$93=0,"",IF(ISNUMBER(INDEX('Liste outils'!$E$6:$E$130,Calcul!$BY$93)),IF(NOT(ISNUMBER(INDEX('Liste outils'!$E$6:$E$130,Calcul!$BY$93))),"",IF(NOT(ISNUMBER(INDEX('Liste outils'!$E$6:$E$130,Calcul!$BY$93))),"",IF(INDEX('Liste outils'!$E$6:$E$130,Calcul!$BY$93)&lt;=0,"",IF(ABS(INDEX('Liste outils'!$E$6:$E$130,Calcul!$BY$93)*64-ROUND(INDEX('Liste outils'!$E$6:$E$130,Calcul!$BY$93)*64,0))&gt;0.0005,"≈ ","")&amp;IF(INT(ROUND(INDEX('Liste outils'!$E$6:$E$130,Calcul!$BY$93)*64,0)/64)&gt;0,INT(ROUND(INDEX('Liste outils'!$E$6:$E$130,Calcul!$BY$93)*64,0)/64)&amp;IF(MOD(ROUND(INDEX('Liste outils'!$E$6:$E$130,Calcul!$BY$93)*64,0),64)&gt;0," ",""),"")&amp;IF(MOD(ROUND(INDEX('Liste outils'!$E$6:$E$130,Calcul!$BY$93)*64,0),64)&gt;0,MOD(ROUND(INDEX('Liste outils'!$E$6:$E$130,Calcul!$BY$93)*64,0),64)/GCD(MOD(ROUND(INDEX('Liste outils'!$E$6:$E$130,Calcul!$BY$93)*64,0),64),64)&amp;"/"&amp;64/GCD(MOD(ROUND(INDEX('Liste outils'!$E$6:$E$130,Calcul!$BY$93)*64,0),64),64),IF(ROUND(INDEX('Liste outils'!$E$6:$E$130,Calcul!$BY$93)*64,0)=0,"0",""))&amp;""""))&amp;" · "&amp;FIXED(INDEX('Liste outils'!$E$6:$E$130,Calcul!$BY$93),4,TRUE())&amp;" po · "&amp;FIXED(INDEX('Liste outils'!$E$6:$E$130,Calcul!$BY$93)*25.4,3,TRUE())&amp;" mm"),""))</f>
        <v>1/4" · 0.2500 po · 6.350 mm</v>
      </c>
      <c r="D47" s="25" t="str">
        <f aca="false">IF(Calcul!$BY$93=0,"",IF(ISNUMBER(INDEX('Liste outils'!$H$6:$H$130,Calcul!$BY$93)),IF(NOT(ISNUMBER(INDEX('Liste outils'!$H$6:$H$130,Calcul!$BY$93))),"",IF(NOT(ISNUMBER(INDEX('Liste outils'!$H$6:$H$130,Calcul!$BY$93))),"",IF(INDEX('Liste outils'!$H$6:$H$130,Calcul!$BY$93)&lt;=0,"",IF(ABS(INDEX('Liste outils'!$H$6:$H$130,Calcul!$BY$93)*64-ROUND(INDEX('Liste outils'!$H$6:$H$130,Calcul!$BY$93)*64,0))&gt;0.0005,"≈ ","")&amp;IF(INT(ROUND(INDEX('Liste outils'!$H$6:$H$130,Calcul!$BY$93)*64,0)/64)&gt;0,INT(ROUND(INDEX('Liste outils'!$H$6:$H$130,Calcul!$BY$93)*64,0)/64)&amp;IF(MOD(ROUND(INDEX('Liste outils'!$H$6:$H$130,Calcul!$BY$93)*64,0),64)&gt;0," ",""),"")&amp;IF(MOD(ROUND(INDEX('Liste outils'!$H$6:$H$130,Calcul!$BY$93)*64,0),64)&gt;0,MOD(ROUND(INDEX('Liste outils'!$H$6:$H$130,Calcul!$BY$93)*64,0),64)/GCD(MOD(ROUND(INDEX('Liste outils'!$H$6:$H$130,Calcul!$BY$93)*64,0),64),64)&amp;"/"&amp;64/GCD(MOD(ROUND(INDEX('Liste outils'!$H$6:$H$130,Calcul!$BY$93)*64,0),64),64),IF(ROUND(INDEX('Liste outils'!$H$6:$H$130,Calcul!$BY$93)*64,0)=0,"0",""))&amp;""""))&amp;" · "&amp;FIXED(INDEX('Liste outils'!$H$6:$H$130,Calcul!$BY$93),4,TRUE())&amp;" po · "&amp;FIXED(INDEX('Liste outils'!$H$6:$H$130,Calcul!$BY$93)*25.4,3,TRUE())&amp;" mm"),""))</f>
        <v>1 1/2" · 1.5000 po · 38.100 mm</v>
      </c>
      <c r="E47" s="25" t="str">
        <f aca="false">IF(Calcul!$BY$93=0,"",INDEX('Liste outils'!$J$6:$J$130,Calcul!$BY$93)&amp;"")</f>
        <v>Upcut</v>
      </c>
      <c r="F47" s="25" t="str">
        <f aca="false">IF(Calcul!$BY$93=0,"",INDEX('Liste outils'!$K$6:$K$130,Calcul!$BY$93)&amp;"")</f>
        <v>1</v>
      </c>
      <c r="G47" s="25" t="str">
        <f aca="false">IF(Calcul!$BY$93=0,"",INDEX('Liste outils'!$O$6:$O$130,Calcul!$BY$93)&amp;"")</f>
        <v>63-777</v>
      </c>
      <c r="H47" s="25" t="str">
        <f aca="false">IF(Calcul!$BY$93=0,"",INDEX('Liste outils'!$P$6:$P$130,Calcul!$BY$93)&amp;"")</f>
        <v>LMT Onsrud</v>
      </c>
      <c r="I47" s="25" t="str">
        <f aca="false">IF(Calcul!$BY$93=0,"",INDEX('Liste outils'!$AB$6:$AB$130,Calcul!$BY$93)&amp;"")</f>
        <v>A-1-D-4</v>
      </c>
      <c r="J47" s="25" t="str">
        <f aca="false">IF(Calcul!$BY$93=0,"",INDEX('Liste outils'!$AA$6:$AA$130,Calcul!$BY$93)&amp;"")</f>
        <v>Soft Plastic</v>
      </c>
      <c r="K47" s="25" t="str">
        <f aca="false">IF(Calcul!$BY$93=0,"",INDEX('Liste outils'!$AC$6:$AC$130,Calcul!$BY$93)&amp;"")</f>
        <v/>
      </c>
    </row>
    <row r="48" customFormat="false" ht="15" hidden="false" customHeight="false" outlineLevel="0" collapsed="false">
      <c r="A48" s="24" t="str">
        <f aca="false">IF(Calcul!$BY$94=0,"",INDEX('Liste outils'!$B$6:$B$130,Calcul!$BY$94)&amp;"")</f>
        <v>C0007</v>
      </c>
      <c r="B48" s="25" t="str">
        <f aca="false">IF(Calcul!$BY$94=0,"",INDEX('Liste outils'!$C$6:$C$130,Calcul!$BY$94)&amp;"")</f>
        <v>Cutter</v>
      </c>
      <c r="C48" s="25" t="str">
        <f aca="false">IF(Calcul!$BY$94=0,"",IF(ISNUMBER(INDEX('Liste outils'!$E$6:$E$130,Calcul!$BY$94)),IF(NOT(ISNUMBER(INDEX('Liste outils'!$E$6:$E$130,Calcul!$BY$94))),"",IF(NOT(ISNUMBER(INDEX('Liste outils'!$E$6:$E$130,Calcul!$BY$94))),"",IF(INDEX('Liste outils'!$E$6:$E$130,Calcul!$BY$94)&lt;=0,"",IF(ABS(INDEX('Liste outils'!$E$6:$E$130,Calcul!$BY$94)*64-ROUND(INDEX('Liste outils'!$E$6:$E$130,Calcul!$BY$94)*64,0))&gt;0.0005,"≈ ","")&amp;IF(INT(ROUND(INDEX('Liste outils'!$E$6:$E$130,Calcul!$BY$94)*64,0)/64)&gt;0,INT(ROUND(INDEX('Liste outils'!$E$6:$E$130,Calcul!$BY$94)*64,0)/64)&amp;IF(MOD(ROUND(INDEX('Liste outils'!$E$6:$E$130,Calcul!$BY$94)*64,0),64)&gt;0," ",""),"")&amp;IF(MOD(ROUND(INDEX('Liste outils'!$E$6:$E$130,Calcul!$BY$94)*64,0),64)&gt;0,MOD(ROUND(INDEX('Liste outils'!$E$6:$E$130,Calcul!$BY$94)*64,0),64)/GCD(MOD(ROUND(INDEX('Liste outils'!$E$6:$E$130,Calcul!$BY$94)*64,0),64),64)&amp;"/"&amp;64/GCD(MOD(ROUND(INDEX('Liste outils'!$E$6:$E$130,Calcul!$BY$94)*64,0),64),64),IF(ROUND(INDEX('Liste outils'!$E$6:$E$130,Calcul!$BY$94)*64,0)=0,"0",""))&amp;""""))&amp;" · "&amp;FIXED(INDEX('Liste outils'!$E$6:$E$130,Calcul!$BY$94),4,TRUE())&amp;" po · "&amp;FIXED(INDEX('Liste outils'!$E$6:$E$130,Calcul!$BY$94)*25.4,3,TRUE())&amp;" mm"),""))</f>
        <v>≈ 3/16" · 0.1890 po · 4.801 mm</v>
      </c>
      <c r="D48" s="25" t="str">
        <f aca="false">IF(Calcul!$BY$94=0,"",IF(ISNUMBER(INDEX('Liste outils'!$H$6:$H$130,Calcul!$BY$94)),IF(NOT(ISNUMBER(INDEX('Liste outils'!$H$6:$H$130,Calcul!$BY$94))),"",IF(NOT(ISNUMBER(INDEX('Liste outils'!$H$6:$H$130,Calcul!$BY$94))),"",IF(INDEX('Liste outils'!$H$6:$H$130,Calcul!$BY$94)&lt;=0,"",IF(ABS(INDEX('Liste outils'!$H$6:$H$130,Calcul!$BY$94)*64-ROUND(INDEX('Liste outils'!$H$6:$H$130,Calcul!$BY$94)*64,0))&gt;0.0005,"≈ ","")&amp;IF(INT(ROUND(INDEX('Liste outils'!$H$6:$H$130,Calcul!$BY$94)*64,0)/64)&gt;0,INT(ROUND(INDEX('Liste outils'!$H$6:$H$130,Calcul!$BY$94)*64,0)/64)&amp;IF(MOD(ROUND(INDEX('Liste outils'!$H$6:$H$130,Calcul!$BY$94)*64,0),64)&gt;0," ",""),"")&amp;IF(MOD(ROUND(INDEX('Liste outils'!$H$6:$H$130,Calcul!$BY$94)*64,0),64)&gt;0,MOD(ROUND(INDEX('Liste outils'!$H$6:$H$130,Calcul!$BY$94)*64,0),64)/GCD(MOD(ROUND(INDEX('Liste outils'!$H$6:$H$130,Calcul!$BY$94)*64,0),64),64)&amp;"/"&amp;64/GCD(MOD(ROUND(INDEX('Liste outils'!$H$6:$H$130,Calcul!$BY$94)*64,0),64),64),IF(ROUND(INDEX('Liste outils'!$H$6:$H$130,Calcul!$BY$94)*64,0)=0,"0",""))&amp;""""))&amp;" · "&amp;FIXED(INDEX('Liste outils'!$H$6:$H$130,Calcul!$BY$94),4,TRUE())&amp;" po · "&amp;FIXED(INDEX('Liste outils'!$H$6:$H$130,Calcul!$BY$94)*25.4,3,TRUE())&amp;" mm"),""))</f>
        <v/>
      </c>
      <c r="E48" s="25" t="str">
        <f aca="false">IF(Calcul!$BY$94=0,"",INDEX('Liste outils'!$J$6:$J$130,Calcul!$BY$94)&amp;"")</f>
        <v>Right</v>
      </c>
      <c r="F48" s="25" t="str">
        <f aca="false">IF(Calcul!$BY$94=0,"",INDEX('Liste outils'!$K$6:$K$130,Calcul!$BY$94)&amp;"")</f>
        <v/>
      </c>
      <c r="G48" s="25" t="str">
        <f aca="false">IF(Calcul!$BY$94=0,"",INDEX('Liste outils'!$O$6:$O$130,Calcul!$BY$94)&amp;"")</f>
        <v>GHMR 25.4</v>
      </c>
      <c r="H48" s="25" t="str">
        <f aca="false">IF(Calcul!$BY$94=0,"",INDEX('Liste outils'!$P$6:$P$130,Calcul!$BY$94)&amp;"")</f>
        <v>CUTGRIP</v>
      </c>
      <c r="I48" s="25" t="str">
        <f aca="false">IF(Calcul!$BY$94=0,"",INDEX('Liste outils'!$AB$6:$AB$130,Calcul!$BY$94)&amp;"")</f>
        <v>A-2-M-1</v>
      </c>
      <c r="J48" s="25" t="str">
        <f aca="false">IF(Calcul!$BY$94=0,"",INDEX('Liste outils'!$AA$6:$AA$130,Calcul!$BY$94)&amp;"")</f>
        <v/>
      </c>
      <c r="K48" s="25" t="str">
        <f aca="false">IF(Calcul!$BY$94=0,"",INDEX('Liste outils'!$AC$6:$AC$130,Calcul!$BY$94)&amp;"")</f>
        <v/>
      </c>
    </row>
    <row r="49" customFormat="false" ht="23.85" hidden="false" customHeight="false" outlineLevel="0" collapsed="false">
      <c r="A49" s="24" t="str">
        <f aca="false">IF(Calcul!$BY$95=0,"",INDEX('Liste outils'!$B$6:$B$130,Calcul!$BY$95)&amp;"")</f>
        <v>EM0038</v>
      </c>
      <c r="B49" s="25" t="str">
        <f aca="false">IF(Calcul!$BY$95=0,"",INDEX('Liste outils'!$C$6:$C$130,Calcul!$BY$95)&amp;"")</f>
        <v>End Mill</v>
      </c>
      <c r="C49" s="25" t="str">
        <f aca="false">IF(Calcul!$BY$95=0,"",IF(ISNUMBER(INDEX('Liste outils'!$E$6:$E$130,Calcul!$BY$95)),IF(NOT(ISNUMBER(INDEX('Liste outils'!$E$6:$E$130,Calcul!$BY$95))),"",IF(NOT(ISNUMBER(INDEX('Liste outils'!$E$6:$E$130,Calcul!$BY$95))),"",IF(INDEX('Liste outils'!$E$6:$E$130,Calcul!$BY$95)&lt;=0,"",IF(ABS(INDEX('Liste outils'!$E$6:$E$130,Calcul!$BY$95)*64-ROUND(INDEX('Liste outils'!$E$6:$E$130,Calcul!$BY$95)*64,0))&gt;0.0005,"≈ ","")&amp;IF(INT(ROUND(INDEX('Liste outils'!$E$6:$E$130,Calcul!$BY$95)*64,0)/64)&gt;0,INT(ROUND(INDEX('Liste outils'!$E$6:$E$130,Calcul!$BY$95)*64,0)/64)&amp;IF(MOD(ROUND(INDEX('Liste outils'!$E$6:$E$130,Calcul!$BY$95)*64,0),64)&gt;0," ",""),"")&amp;IF(MOD(ROUND(INDEX('Liste outils'!$E$6:$E$130,Calcul!$BY$95)*64,0),64)&gt;0,MOD(ROUND(INDEX('Liste outils'!$E$6:$E$130,Calcul!$BY$95)*64,0),64)/GCD(MOD(ROUND(INDEX('Liste outils'!$E$6:$E$130,Calcul!$BY$95)*64,0),64),64)&amp;"/"&amp;64/GCD(MOD(ROUND(INDEX('Liste outils'!$E$6:$E$130,Calcul!$BY$95)*64,0),64),64),IF(ROUND(INDEX('Liste outils'!$E$6:$E$130,Calcul!$BY$95)*64,0)=0,"0",""))&amp;""""))&amp;" · "&amp;FIXED(INDEX('Liste outils'!$E$6:$E$130,Calcul!$BY$95),4,TRUE())&amp;" po · "&amp;FIXED(INDEX('Liste outils'!$E$6:$E$130,Calcul!$BY$95)*25.4,3,TRUE())&amp;" mm"),""))</f>
        <v>3/8" · 0.3750 po · 9.525 mm</v>
      </c>
      <c r="D49" s="25" t="str">
        <f aca="false">IF(Calcul!$BY$95=0,"",IF(ISNUMBER(INDEX('Liste outils'!$H$6:$H$130,Calcul!$BY$95)),IF(NOT(ISNUMBER(INDEX('Liste outils'!$H$6:$H$130,Calcul!$BY$95))),"",IF(NOT(ISNUMBER(INDEX('Liste outils'!$H$6:$H$130,Calcul!$BY$95))),"",IF(INDEX('Liste outils'!$H$6:$H$130,Calcul!$BY$95)&lt;=0,"",IF(ABS(INDEX('Liste outils'!$H$6:$H$130,Calcul!$BY$95)*64-ROUND(INDEX('Liste outils'!$H$6:$H$130,Calcul!$BY$95)*64,0))&gt;0.0005,"≈ ","")&amp;IF(INT(ROUND(INDEX('Liste outils'!$H$6:$H$130,Calcul!$BY$95)*64,0)/64)&gt;0,INT(ROUND(INDEX('Liste outils'!$H$6:$H$130,Calcul!$BY$95)*64,0)/64)&amp;IF(MOD(ROUND(INDEX('Liste outils'!$H$6:$H$130,Calcul!$BY$95)*64,0),64)&gt;0," ",""),"")&amp;IF(MOD(ROUND(INDEX('Liste outils'!$H$6:$H$130,Calcul!$BY$95)*64,0),64)&gt;0,MOD(ROUND(INDEX('Liste outils'!$H$6:$H$130,Calcul!$BY$95)*64,0),64)/GCD(MOD(ROUND(INDEX('Liste outils'!$H$6:$H$130,Calcul!$BY$95)*64,0),64),64)&amp;"/"&amp;64/GCD(MOD(ROUND(INDEX('Liste outils'!$H$6:$H$130,Calcul!$BY$95)*64,0),64),64),IF(ROUND(INDEX('Liste outils'!$H$6:$H$130,Calcul!$BY$95)*64,0)=0,"0",""))&amp;""""))&amp;" · "&amp;FIXED(INDEX('Liste outils'!$H$6:$H$130,Calcul!$BY$95),4,TRUE())&amp;" po · "&amp;FIXED(INDEX('Liste outils'!$H$6:$H$130,Calcul!$BY$95)*25.4,3,TRUE())&amp;" mm"),""))</f>
        <v>1/2" · 0.5000 po · 12.700 mm</v>
      </c>
      <c r="E49" s="25" t="str">
        <f aca="false">IF(Calcul!$BY$95=0,"",INDEX('Liste outils'!$J$6:$J$130,Calcul!$BY$95)&amp;"")</f>
        <v>Straight V Flute</v>
      </c>
      <c r="F49" s="25" t="str">
        <f aca="false">IF(Calcul!$BY$95=0,"",INDEX('Liste outils'!$K$6:$K$130,Calcul!$BY$95)&amp;"")</f>
        <v>2</v>
      </c>
      <c r="G49" s="25" t="str">
        <f aca="false">IF(Calcul!$BY$95=0,"",INDEX('Liste outils'!$O$6:$O$130,Calcul!$BY$95)&amp;"")</f>
        <v>66-123</v>
      </c>
      <c r="H49" s="25" t="str">
        <f aca="false">IF(Calcul!$BY$95=0,"",INDEX('Liste outils'!$P$6:$P$130,Calcul!$BY$95)&amp;"")</f>
        <v>LMT Onsrud</v>
      </c>
      <c r="I49" s="25" t="str">
        <f aca="false">IF(Calcul!$BY$95=0,"",INDEX('Liste outils'!$AB$6:$AB$130,Calcul!$BY$95)&amp;"")</f>
        <v>A-1-K-3</v>
      </c>
      <c r="J49" s="25" t="str">
        <f aca="false">IF(Calcul!$BY$95=0,"",INDEX('Liste outils'!$AA$6:$AA$130,Calcul!$BY$95)&amp;"")</f>
        <v>Soft Plastic, Hard Plastic, Solid Surface</v>
      </c>
      <c r="K49" s="25" t="str">
        <f aca="false">IF(Calcul!$BY$95=0,"",INDEX('Liste outils'!$AC$6:$AC$130,Calcul!$BY$95)&amp;"")</f>
        <v/>
      </c>
    </row>
    <row r="50" customFormat="false" ht="15" hidden="false" customHeight="false" outlineLevel="0" collapsed="false">
      <c r="A50" s="24" t="str">
        <f aca="false">IF(Calcul!$BY$96=0,"",INDEX('Liste outils'!$B$6:$B$130,Calcul!$BY$96)&amp;"")</f>
        <v>EM0011</v>
      </c>
      <c r="B50" s="25" t="str">
        <f aca="false">IF(Calcul!$BY$96=0,"",INDEX('Liste outils'!$C$6:$C$130,Calcul!$BY$96)&amp;"")</f>
        <v>End Mill</v>
      </c>
      <c r="C50" s="25" t="str">
        <f aca="false">IF(Calcul!$BY$96=0,"",IF(ISNUMBER(INDEX('Liste outils'!$E$6:$E$130,Calcul!$BY$96)),IF(NOT(ISNUMBER(INDEX('Liste outils'!$E$6:$E$130,Calcul!$BY$96))),"",IF(NOT(ISNUMBER(INDEX('Liste outils'!$E$6:$E$130,Calcul!$BY$96))),"",IF(INDEX('Liste outils'!$E$6:$E$130,Calcul!$BY$96)&lt;=0,"",IF(ABS(INDEX('Liste outils'!$E$6:$E$130,Calcul!$BY$96)*64-ROUND(INDEX('Liste outils'!$E$6:$E$130,Calcul!$BY$96)*64,0))&gt;0.0005,"≈ ","")&amp;IF(INT(ROUND(INDEX('Liste outils'!$E$6:$E$130,Calcul!$BY$96)*64,0)/64)&gt;0,INT(ROUND(INDEX('Liste outils'!$E$6:$E$130,Calcul!$BY$96)*64,0)/64)&amp;IF(MOD(ROUND(INDEX('Liste outils'!$E$6:$E$130,Calcul!$BY$96)*64,0),64)&gt;0," ",""),"")&amp;IF(MOD(ROUND(INDEX('Liste outils'!$E$6:$E$130,Calcul!$BY$96)*64,0),64)&gt;0,MOD(ROUND(INDEX('Liste outils'!$E$6:$E$130,Calcul!$BY$96)*64,0),64)/GCD(MOD(ROUND(INDEX('Liste outils'!$E$6:$E$130,Calcul!$BY$96)*64,0),64),64)&amp;"/"&amp;64/GCD(MOD(ROUND(INDEX('Liste outils'!$E$6:$E$130,Calcul!$BY$96)*64,0),64),64),IF(ROUND(INDEX('Liste outils'!$E$6:$E$130,Calcul!$BY$96)*64,0)=0,"0",""))&amp;""""))&amp;" · "&amp;FIXED(INDEX('Liste outils'!$E$6:$E$130,Calcul!$BY$96),4,TRUE())&amp;" po · "&amp;FIXED(INDEX('Liste outils'!$E$6:$E$130,Calcul!$BY$96)*25.4,3,TRUE())&amp;" mm"),""))</f>
        <v>3/8" · 0.3750 po · 9.525 mm</v>
      </c>
      <c r="D50" s="25" t="str">
        <f aca="false">IF(Calcul!$BY$96=0,"",IF(ISNUMBER(INDEX('Liste outils'!$H$6:$H$130,Calcul!$BY$96)),IF(NOT(ISNUMBER(INDEX('Liste outils'!$H$6:$H$130,Calcul!$BY$96))),"",IF(NOT(ISNUMBER(INDEX('Liste outils'!$H$6:$H$130,Calcul!$BY$96))),"",IF(INDEX('Liste outils'!$H$6:$H$130,Calcul!$BY$96)&lt;=0,"",IF(ABS(INDEX('Liste outils'!$H$6:$H$130,Calcul!$BY$96)*64-ROUND(INDEX('Liste outils'!$H$6:$H$130,Calcul!$BY$96)*64,0))&gt;0.0005,"≈ ","")&amp;IF(INT(ROUND(INDEX('Liste outils'!$H$6:$H$130,Calcul!$BY$96)*64,0)/64)&gt;0,INT(ROUND(INDEX('Liste outils'!$H$6:$H$130,Calcul!$BY$96)*64,0)/64)&amp;IF(MOD(ROUND(INDEX('Liste outils'!$H$6:$H$130,Calcul!$BY$96)*64,0),64)&gt;0," ",""),"")&amp;IF(MOD(ROUND(INDEX('Liste outils'!$H$6:$H$130,Calcul!$BY$96)*64,0),64)&gt;0,MOD(ROUND(INDEX('Liste outils'!$H$6:$H$130,Calcul!$BY$96)*64,0),64)/GCD(MOD(ROUND(INDEX('Liste outils'!$H$6:$H$130,Calcul!$BY$96)*64,0),64),64)&amp;"/"&amp;64/GCD(MOD(ROUND(INDEX('Liste outils'!$H$6:$H$130,Calcul!$BY$96)*64,0),64),64),IF(ROUND(INDEX('Liste outils'!$H$6:$H$130,Calcul!$BY$96)*64,0)=0,"0",""))&amp;""""))&amp;" · "&amp;FIXED(INDEX('Liste outils'!$H$6:$H$130,Calcul!$BY$96),4,TRUE())&amp;" po · "&amp;FIXED(INDEX('Liste outils'!$H$6:$H$130,Calcul!$BY$96)*25.4,3,TRUE())&amp;" mm"),""))</f>
        <v>5/8" · 0.6250 po · 15.875 mm</v>
      </c>
      <c r="E50" s="25" t="str">
        <f aca="false">IF(Calcul!$BY$96=0,"",INDEX('Liste outils'!$J$6:$J$130,Calcul!$BY$96)&amp;"")</f>
        <v>Upcut</v>
      </c>
      <c r="F50" s="25" t="str">
        <f aca="false">IF(Calcul!$BY$96=0,"",INDEX('Liste outils'!$K$6:$K$130,Calcul!$BY$96)&amp;"")</f>
        <v>2</v>
      </c>
      <c r="G50" s="25" t="str">
        <f aca="false">IF(Calcul!$BY$96=0,"",INDEX('Liste outils'!$O$6:$O$130,Calcul!$BY$96)&amp;"")</f>
        <v>66-321</v>
      </c>
      <c r="H50" s="25" t="str">
        <f aca="false">IF(Calcul!$BY$96=0,"",INDEX('Liste outils'!$P$6:$P$130,Calcul!$BY$96)&amp;"")</f>
        <v>LMT Onsrud</v>
      </c>
      <c r="I50" s="25" t="str">
        <f aca="false">IF(Calcul!$BY$96=0,"",INDEX('Liste outils'!$AB$6:$AB$130,Calcul!$BY$96)&amp;"")</f>
        <v>A-1-C-2</v>
      </c>
      <c r="J50" s="25" t="str">
        <f aca="false">IF(Calcul!$BY$96=0,"",INDEX('Liste outils'!$AA$6:$AA$130,Calcul!$BY$96)&amp;"")</f>
        <v>Soft Plastic, Hard Plastic, Aluminum</v>
      </c>
      <c r="K50" s="25" t="str">
        <f aca="false">IF(Calcul!$BY$96=0,"",INDEX('Liste outils'!$AC$6:$AC$130,Calcul!$BY$96)&amp;"")</f>
        <v>Pocket, Surface</v>
      </c>
    </row>
    <row r="51" customFormat="false" ht="15" hidden="false" customHeight="false" outlineLevel="0" collapsed="false">
      <c r="A51" s="24" t="str">
        <f aca="false">IF(Calcul!$BY$97=0,"",INDEX('Liste outils'!$B$6:$B$130,Calcul!$BY$97)&amp;"")</f>
        <v>EM0010</v>
      </c>
      <c r="B51" s="25" t="str">
        <f aca="false">IF(Calcul!$BY$97=0,"",INDEX('Liste outils'!$C$6:$C$130,Calcul!$BY$97)&amp;"")</f>
        <v>End Mill</v>
      </c>
      <c r="C51" s="25" t="str">
        <f aca="false">IF(Calcul!$BY$97=0,"",IF(ISNUMBER(INDEX('Liste outils'!$E$6:$E$130,Calcul!$BY$97)),IF(NOT(ISNUMBER(INDEX('Liste outils'!$E$6:$E$130,Calcul!$BY$97))),"",IF(NOT(ISNUMBER(INDEX('Liste outils'!$E$6:$E$130,Calcul!$BY$97))),"",IF(INDEX('Liste outils'!$E$6:$E$130,Calcul!$BY$97)&lt;=0,"",IF(ABS(INDEX('Liste outils'!$E$6:$E$130,Calcul!$BY$97)*64-ROUND(INDEX('Liste outils'!$E$6:$E$130,Calcul!$BY$97)*64,0))&gt;0.0005,"≈ ","")&amp;IF(INT(ROUND(INDEX('Liste outils'!$E$6:$E$130,Calcul!$BY$97)*64,0)/64)&gt;0,INT(ROUND(INDEX('Liste outils'!$E$6:$E$130,Calcul!$BY$97)*64,0)/64)&amp;IF(MOD(ROUND(INDEX('Liste outils'!$E$6:$E$130,Calcul!$BY$97)*64,0),64)&gt;0," ",""),"")&amp;IF(MOD(ROUND(INDEX('Liste outils'!$E$6:$E$130,Calcul!$BY$97)*64,0),64)&gt;0,MOD(ROUND(INDEX('Liste outils'!$E$6:$E$130,Calcul!$BY$97)*64,0),64)/GCD(MOD(ROUND(INDEX('Liste outils'!$E$6:$E$130,Calcul!$BY$97)*64,0),64),64)&amp;"/"&amp;64/GCD(MOD(ROUND(INDEX('Liste outils'!$E$6:$E$130,Calcul!$BY$97)*64,0),64),64),IF(ROUND(INDEX('Liste outils'!$E$6:$E$130,Calcul!$BY$97)*64,0)=0,"0",""))&amp;""""))&amp;" · "&amp;FIXED(INDEX('Liste outils'!$E$6:$E$130,Calcul!$BY$97),4,TRUE())&amp;" po · "&amp;FIXED(INDEX('Liste outils'!$E$6:$E$130,Calcul!$BY$97)*25.4,3,TRUE())&amp;" mm"),""))</f>
        <v>3/8" · 0.3750 po · 9.525 mm</v>
      </c>
      <c r="D51" s="25" t="str">
        <f aca="false">IF(Calcul!$BY$97=0,"",IF(ISNUMBER(INDEX('Liste outils'!$H$6:$H$130,Calcul!$BY$97)),IF(NOT(ISNUMBER(INDEX('Liste outils'!$H$6:$H$130,Calcul!$BY$97))),"",IF(NOT(ISNUMBER(INDEX('Liste outils'!$H$6:$H$130,Calcul!$BY$97))),"",IF(INDEX('Liste outils'!$H$6:$H$130,Calcul!$BY$97)&lt;=0,"",IF(ABS(INDEX('Liste outils'!$H$6:$H$130,Calcul!$BY$97)*64-ROUND(INDEX('Liste outils'!$H$6:$H$130,Calcul!$BY$97)*64,0))&gt;0.0005,"≈ ","")&amp;IF(INT(ROUND(INDEX('Liste outils'!$H$6:$H$130,Calcul!$BY$97)*64,0)/64)&gt;0,INT(ROUND(INDEX('Liste outils'!$H$6:$H$130,Calcul!$BY$97)*64,0)/64)&amp;IF(MOD(ROUND(INDEX('Liste outils'!$H$6:$H$130,Calcul!$BY$97)*64,0),64)&gt;0," ",""),"")&amp;IF(MOD(ROUND(INDEX('Liste outils'!$H$6:$H$130,Calcul!$BY$97)*64,0),64)&gt;0,MOD(ROUND(INDEX('Liste outils'!$H$6:$H$130,Calcul!$BY$97)*64,0),64)/GCD(MOD(ROUND(INDEX('Liste outils'!$H$6:$H$130,Calcul!$BY$97)*64,0),64),64)&amp;"/"&amp;64/GCD(MOD(ROUND(INDEX('Liste outils'!$H$6:$H$130,Calcul!$BY$97)*64,0),64),64),IF(ROUND(INDEX('Liste outils'!$H$6:$H$130,Calcul!$BY$97)*64,0)=0,"0",""))&amp;""""))&amp;" · "&amp;FIXED(INDEX('Liste outils'!$H$6:$H$130,Calcul!$BY$97),4,TRUE())&amp;" po · "&amp;FIXED(INDEX('Liste outils'!$H$6:$H$130,Calcul!$BY$97)*25.4,3,TRUE())&amp;" mm"),""))</f>
        <v>3/4" · 0.7500 po · 19.050 mm</v>
      </c>
      <c r="E51" s="25" t="str">
        <f aca="false">IF(Calcul!$BY$97=0,"",INDEX('Liste outils'!$J$6:$J$130,Calcul!$BY$97)&amp;"")</f>
        <v>Upcut</v>
      </c>
      <c r="F51" s="25" t="str">
        <f aca="false">IF(Calcul!$BY$97=0,"",INDEX('Liste outils'!$K$6:$K$130,Calcul!$BY$97)&amp;"")</f>
        <v>1</v>
      </c>
      <c r="G51" s="25" t="str">
        <f aca="false">IF(Calcul!$BY$97=0,"",INDEX('Liste outils'!$O$6:$O$130,Calcul!$BY$97)&amp;"")</f>
        <v>63-781</v>
      </c>
      <c r="H51" s="25" t="str">
        <f aca="false">IF(Calcul!$BY$97=0,"",INDEX('Liste outils'!$P$6:$P$130,Calcul!$BY$97)&amp;"")</f>
        <v>LMT Onsrud</v>
      </c>
      <c r="I51" s="25" t="str">
        <f aca="false">IF(Calcul!$BY$97=0,"",INDEX('Liste outils'!$AB$6:$AB$130,Calcul!$BY$97)&amp;"")</f>
        <v>A-1-C-1</v>
      </c>
      <c r="J51" s="25" t="str">
        <f aca="false">IF(Calcul!$BY$97=0,"",INDEX('Liste outils'!$AA$6:$AA$130,Calcul!$BY$97)&amp;"")</f>
        <v>Soft Plastic</v>
      </c>
      <c r="K51" s="25" t="str">
        <f aca="false">IF(Calcul!$BY$97=0,"",INDEX('Liste outils'!$AC$6:$AC$130,Calcul!$BY$97)&amp;"")</f>
        <v/>
      </c>
    </row>
    <row r="52" customFormat="false" ht="15" hidden="false" customHeight="false" outlineLevel="0" collapsed="false">
      <c r="A52" s="24" t="str">
        <f aca="false">IF(Calcul!$BY$98=0,"",INDEX('Liste outils'!$B$6:$B$130,Calcul!$BY$98)&amp;"")</f>
        <v>EM0019</v>
      </c>
      <c r="B52" s="25" t="str">
        <f aca="false">IF(Calcul!$BY$98=0,"",INDEX('Liste outils'!$C$6:$C$130,Calcul!$BY$98)&amp;"")</f>
        <v>End Mill</v>
      </c>
      <c r="C52" s="25" t="str">
        <f aca="false">IF(Calcul!$BY$98=0,"",IF(ISNUMBER(INDEX('Liste outils'!$E$6:$E$130,Calcul!$BY$98)),IF(NOT(ISNUMBER(INDEX('Liste outils'!$E$6:$E$130,Calcul!$BY$98))),"",IF(NOT(ISNUMBER(INDEX('Liste outils'!$E$6:$E$130,Calcul!$BY$98))),"",IF(INDEX('Liste outils'!$E$6:$E$130,Calcul!$BY$98)&lt;=0,"",IF(ABS(INDEX('Liste outils'!$E$6:$E$130,Calcul!$BY$98)*64-ROUND(INDEX('Liste outils'!$E$6:$E$130,Calcul!$BY$98)*64,0))&gt;0.0005,"≈ ","")&amp;IF(INT(ROUND(INDEX('Liste outils'!$E$6:$E$130,Calcul!$BY$98)*64,0)/64)&gt;0,INT(ROUND(INDEX('Liste outils'!$E$6:$E$130,Calcul!$BY$98)*64,0)/64)&amp;IF(MOD(ROUND(INDEX('Liste outils'!$E$6:$E$130,Calcul!$BY$98)*64,0),64)&gt;0," ",""),"")&amp;IF(MOD(ROUND(INDEX('Liste outils'!$E$6:$E$130,Calcul!$BY$98)*64,0),64)&gt;0,MOD(ROUND(INDEX('Liste outils'!$E$6:$E$130,Calcul!$BY$98)*64,0),64)/GCD(MOD(ROUND(INDEX('Liste outils'!$E$6:$E$130,Calcul!$BY$98)*64,0),64),64)&amp;"/"&amp;64/GCD(MOD(ROUND(INDEX('Liste outils'!$E$6:$E$130,Calcul!$BY$98)*64,0),64),64),IF(ROUND(INDEX('Liste outils'!$E$6:$E$130,Calcul!$BY$98)*64,0)=0,"0",""))&amp;""""))&amp;" · "&amp;FIXED(INDEX('Liste outils'!$E$6:$E$130,Calcul!$BY$98),4,TRUE())&amp;" po · "&amp;FIXED(INDEX('Liste outils'!$E$6:$E$130,Calcul!$BY$98)*25.4,3,TRUE())&amp;" mm"),""))</f>
        <v>3/8" · 0.3750 po · 9.525 mm</v>
      </c>
      <c r="D52" s="25" t="str">
        <f aca="false">IF(Calcul!$BY$98=0,"",IF(ISNUMBER(INDEX('Liste outils'!$H$6:$H$130,Calcul!$BY$98)),IF(NOT(ISNUMBER(INDEX('Liste outils'!$H$6:$H$130,Calcul!$BY$98))),"",IF(NOT(ISNUMBER(INDEX('Liste outils'!$H$6:$H$130,Calcul!$BY$98))),"",IF(INDEX('Liste outils'!$H$6:$H$130,Calcul!$BY$98)&lt;=0,"",IF(ABS(INDEX('Liste outils'!$H$6:$H$130,Calcul!$BY$98)*64-ROUND(INDEX('Liste outils'!$H$6:$H$130,Calcul!$BY$98)*64,0))&gt;0.0005,"≈ ","")&amp;IF(INT(ROUND(INDEX('Liste outils'!$H$6:$H$130,Calcul!$BY$98)*64,0)/64)&gt;0,INT(ROUND(INDEX('Liste outils'!$H$6:$H$130,Calcul!$BY$98)*64,0)/64)&amp;IF(MOD(ROUND(INDEX('Liste outils'!$H$6:$H$130,Calcul!$BY$98)*64,0),64)&gt;0," ",""),"")&amp;IF(MOD(ROUND(INDEX('Liste outils'!$H$6:$H$130,Calcul!$BY$98)*64,0),64)&gt;0,MOD(ROUND(INDEX('Liste outils'!$H$6:$H$130,Calcul!$BY$98)*64,0),64)/GCD(MOD(ROUND(INDEX('Liste outils'!$H$6:$H$130,Calcul!$BY$98)*64,0),64),64)&amp;"/"&amp;64/GCD(MOD(ROUND(INDEX('Liste outils'!$H$6:$H$130,Calcul!$BY$98)*64,0),64),64),IF(ROUND(INDEX('Liste outils'!$H$6:$H$130,Calcul!$BY$98)*64,0)=0,"0",""))&amp;""""))&amp;" · "&amp;FIXED(INDEX('Liste outils'!$H$6:$H$130,Calcul!$BY$98),4,TRUE())&amp;" po · "&amp;FIXED(INDEX('Liste outils'!$H$6:$H$130,Calcul!$BY$98)*25.4,3,TRUE())&amp;" mm"),""))</f>
        <v>3/4" · 0.7500 po · 19.050 mm</v>
      </c>
      <c r="E52" s="25" t="str">
        <f aca="false">IF(Calcul!$BY$98=0,"",INDEX('Liste outils'!$J$6:$J$130,Calcul!$BY$98)&amp;"")</f>
        <v>Upcut</v>
      </c>
      <c r="F52" s="25" t="str">
        <f aca="false">IF(Calcul!$BY$98=0,"",INDEX('Liste outils'!$K$6:$K$130,Calcul!$BY$98)&amp;"")</f>
        <v>1</v>
      </c>
      <c r="G52" s="25" t="str">
        <f aca="false">IF(Calcul!$BY$98=0,"",INDEX('Liste outils'!$O$6:$O$130,Calcul!$BY$98)&amp;"")</f>
        <v>63-731</v>
      </c>
      <c r="H52" s="25" t="str">
        <f aca="false">IF(Calcul!$BY$98=0,"",INDEX('Liste outils'!$P$6:$P$130,Calcul!$BY$98)&amp;"")</f>
        <v>LMT Onsrud</v>
      </c>
      <c r="I52" s="25" t="str">
        <f aca="false">IF(Calcul!$BY$98=0,"",INDEX('Liste outils'!$AB$6:$AB$130,Calcul!$BY$98)&amp;"")</f>
        <v>A-1-G-1</v>
      </c>
      <c r="J52" s="25" t="str">
        <f aca="false">IF(Calcul!$BY$98=0,"",INDEX('Liste outils'!$AA$6:$AA$130,Calcul!$BY$98)&amp;"")</f>
        <v>Hard Plastic</v>
      </c>
      <c r="K52" s="25" t="str">
        <f aca="false">IF(Calcul!$BY$98=0,"",INDEX('Liste outils'!$AC$6:$AC$130,Calcul!$BY$98)&amp;"")</f>
        <v>Black Acrylic</v>
      </c>
    </row>
    <row r="53" customFormat="false" ht="15" hidden="false" customHeight="false" outlineLevel="0" collapsed="false">
      <c r="A53" s="24" t="str">
        <f aca="false">IF(Calcul!$BY$99=0,"",INDEX('Liste outils'!$B$6:$B$130,Calcul!$BY$99)&amp;"")</f>
        <v>EM0022</v>
      </c>
      <c r="B53" s="25" t="str">
        <f aca="false">IF(Calcul!$BY$99=0,"",INDEX('Liste outils'!$C$6:$C$130,Calcul!$BY$99)&amp;"")</f>
        <v>End Mill</v>
      </c>
      <c r="C53" s="25" t="str">
        <f aca="false">IF(Calcul!$BY$99=0,"",IF(ISNUMBER(INDEX('Liste outils'!$E$6:$E$130,Calcul!$BY$99)),IF(NOT(ISNUMBER(INDEX('Liste outils'!$E$6:$E$130,Calcul!$BY$99))),"",IF(NOT(ISNUMBER(INDEX('Liste outils'!$E$6:$E$130,Calcul!$BY$99))),"",IF(INDEX('Liste outils'!$E$6:$E$130,Calcul!$BY$99)&lt;=0,"",IF(ABS(INDEX('Liste outils'!$E$6:$E$130,Calcul!$BY$99)*64-ROUND(INDEX('Liste outils'!$E$6:$E$130,Calcul!$BY$99)*64,0))&gt;0.0005,"≈ ","")&amp;IF(INT(ROUND(INDEX('Liste outils'!$E$6:$E$130,Calcul!$BY$99)*64,0)/64)&gt;0,INT(ROUND(INDEX('Liste outils'!$E$6:$E$130,Calcul!$BY$99)*64,0)/64)&amp;IF(MOD(ROUND(INDEX('Liste outils'!$E$6:$E$130,Calcul!$BY$99)*64,0),64)&gt;0," ",""),"")&amp;IF(MOD(ROUND(INDEX('Liste outils'!$E$6:$E$130,Calcul!$BY$99)*64,0),64)&gt;0,MOD(ROUND(INDEX('Liste outils'!$E$6:$E$130,Calcul!$BY$99)*64,0),64)/GCD(MOD(ROUND(INDEX('Liste outils'!$E$6:$E$130,Calcul!$BY$99)*64,0),64),64)&amp;"/"&amp;64/GCD(MOD(ROUND(INDEX('Liste outils'!$E$6:$E$130,Calcul!$BY$99)*64,0),64),64),IF(ROUND(INDEX('Liste outils'!$E$6:$E$130,Calcul!$BY$99)*64,0)=0,"0",""))&amp;""""))&amp;" · "&amp;FIXED(INDEX('Liste outils'!$E$6:$E$130,Calcul!$BY$99),4,TRUE())&amp;" po · "&amp;FIXED(INDEX('Liste outils'!$E$6:$E$130,Calcul!$BY$99)*25.4,3,TRUE())&amp;" mm"),""))</f>
        <v>3/8" · 0.3750 po · 9.525 mm</v>
      </c>
      <c r="D53" s="25" t="str">
        <f aca="false">IF(Calcul!$BY$99=0,"",IF(ISNUMBER(INDEX('Liste outils'!$H$6:$H$130,Calcul!$BY$99)),IF(NOT(ISNUMBER(INDEX('Liste outils'!$H$6:$H$130,Calcul!$BY$99))),"",IF(NOT(ISNUMBER(INDEX('Liste outils'!$H$6:$H$130,Calcul!$BY$99))),"",IF(INDEX('Liste outils'!$H$6:$H$130,Calcul!$BY$99)&lt;=0,"",IF(ABS(INDEX('Liste outils'!$H$6:$H$130,Calcul!$BY$99)*64-ROUND(INDEX('Liste outils'!$H$6:$H$130,Calcul!$BY$99)*64,0))&gt;0.0005,"≈ ","")&amp;IF(INT(ROUND(INDEX('Liste outils'!$H$6:$H$130,Calcul!$BY$99)*64,0)/64)&gt;0,INT(ROUND(INDEX('Liste outils'!$H$6:$H$130,Calcul!$BY$99)*64,0)/64)&amp;IF(MOD(ROUND(INDEX('Liste outils'!$H$6:$H$130,Calcul!$BY$99)*64,0),64)&gt;0," ",""),"")&amp;IF(MOD(ROUND(INDEX('Liste outils'!$H$6:$H$130,Calcul!$BY$99)*64,0),64)&gt;0,MOD(ROUND(INDEX('Liste outils'!$H$6:$H$130,Calcul!$BY$99)*64,0),64)/GCD(MOD(ROUND(INDEX('Liste outils'!$H$6:$H$130,Calcul!$BY$99)*64,0),64),64)&amp;"/"&amp;64/GCD(MOD(ROUND(INDEX('Liste outils'!$H$6:$H$130,Calcul!$BY$99)*64,0),64),64),IF(ROUND(INDEX('Liste outils'!$H$6:$H$130,Calcul!$BY$99)*64,0)=0,"0",""))&amp;""""))&amp;" · "&amp;FIXED(INDEX('Liste outils'!$H$6:$H$130,Calcul!$BY$99),4,TRUE())&amp;" po · "&amp;FIXED(INDEX('Liste outils'!$H$6:$H$130,Calcul!$BY$99)*25.4,3,TRUE())&amp;" mm"),""))</f>
        <v>7/8" · 0.8750 po · 22.225 mm</v>
      </c>
      <c r="E53" s="25" t="str">
        <f aca="false">IF(Calcul!$BY$99=0,"",INDEX('Liste outils'!$J$6:$J$130,Calcul!$BY$99)&amp;"")</f>
        <v>Upcut</v>
      </c>
      <c r="F53" s="25" t="str">
        <f aca="false">IF(Calcul!$BY$99=0,"",INDEX('Liste outils'!$K$6:$K$130,Calcul!$BY$99)&amp;"")</f>
        <v>3</v>
      </c>
      <c r="G53" s="25" t="str">
        <f aca="false">IF(Calcul!$BY$99=0,"",INDEX('Liste outils'!$O$6:$O$130,Calcul!$BY$99)&amp;"")</f>
        <v>88300409</v>
      </c>
      <c r="H53" s="25" t="str">
        <f aca="false">IF(Calcul!$BY$99=0,"",INDEX('Liste outils'!$P$6:$P$130,Calcul!$BY$99)&amp;"")</f>
        <v>OSG</v>
      </c>
      <c r="I53" s="25" t="str">
        <f aca="false">IF(Calcul!$BY$99=0,"",INDEX('Liste outils'!$AB$6:$AB$130,Calcul!$BY$99)&amp;"")</f>
        <v>A-1-H-1</v>
      </c>
      <c r="J53" s="25" t="str">
        <f aca="false">IF(Calcul!$BY$99=0,"",INDEX('Liste outils'!$AA$6:$AA$130,Calcul!$BY$99)&amp;"")</f>
        <v>Non-Ferrous Metal</v>
      </c>
      <c r="K53" s="25" t="str">
        <f aca="false">IF(Calcul!$BY$99=0,"",INDEX('Liste outils'!$AC$6:$AC$130,Calcul!$BY$99)&amp;"")</f>
        <v/>
      </c>
    </row>
    <row r="54" customFormat="false" ht="15" hidden="false" customHeight="false" outlineLevel="0" collapsed="false">
      <c r="A54" s="24" t="str">
        <f aca="false">IF(Calcul!$BY$100=0,"",INDEX('Liste outils'!$B$6:$B$130,Calcul!$BY$100)&amp;"")</f>
        <v>EM0040</v>
      </c>
      <c r="B54" s="25" t="str">
        <f aca="false">IF(Calcul!$BY$100=0,"",INDEX('Liste outils'!$C$6:$C$130,Calcul!$BY$100)&amp;"")</f>
        <v>End Mill</v>
      </c>
      <c r="C54" s="25" t="str">
        <f aca="false">IF(Calcul!$BY$100=0,"",IF(ISNUMBER(INDEX('Liste outils'!$E$6:$E$130,Calcul!$BY$100)),IF(NOT(ISNUMBER(INDEX('Liste outils'!$E$6:$E$130,Calcul!$BY$100))),"",IF(NOT(ISNUMBER(INDEX('Liste outils'!$E$6:$E$130,Calcul!$BY$100))),"",IF(INDEX('Liste outils'!$E$6:$E$130,Calcul!$BY$100)&lt;=0,"",IF(ABS(INDEX('Liste outils'!$E$6:$E$130,Calcul!$BY$100)*64-ROUND(INDEX('Liste outils'!$E$6:$E$130,Calcul!$BY$100)*64,0))&gt;0.0005,"≈ ","")&amp;IF(INT(ROUND(INDEX('Liste outils'!$E$6:$E$130,Calcul!$BY$100)*64,0)/64)&gt;0,INT(ROUND(INDEX('Liste outils'!$E$6:$E$130,Calcul!$BY$100)*64,0)/64)&amp;IF(MOD(ROUND(INDEX('Liste outils'!$E$6:$E$130,Calcul!$BY$100)*64,0),64)&gt;0," ",""),"")&amp;IF(MOD(ROUND(INDEX('Liste outils'!$E$6:$E$130,Calcul!$BY$100)*64,0),64)&gt;0,MOD(ROUND(INDEX('Liste outils'!$E$6:$E$130,Calcul!$BY$100)*64,0),64)/GCD(MOD(ROUND(INDEX('Liste outils'!$E$6:$E$130,Calcul!$BY$100)*64,0),64),64)&amp;"/"&amp;64/GCD(MOD(ROUND(INDEX('Liste outils'!$E$6:$E$130,Calcul!$BY$100)*64,0),64),64),IF(ROUND(INDEX('Liste outils'!$E$6:$E$130,Calcul!$BY$100)*64,0)=0,"0",""))&amp;""""))&amp;" · "&amp;FIXED(INDEX('Liste outils'!$E$6:$E$130,Calcul!$BY$100),4,TRUE())&amp;" po · "&amp;FIXED(INDEX('Liste outils'!$E$6:$E$130,Calcul!$BY$100)*25.4,3,TRUE())&amp;" mm"),""))</f>
        <v>3/8" · 0.3750 po · 9.525 mm</v>
      </c>
      <c r="D54" s="25" t="str">
        <f aca="false">IF(Calcul!$BY$100=0,"",IF(ISNUMBER(INDEX('Liste outils'!$H$6:$H$130,Calcul!$BY$100)),IF(NOT(ISNUMBER(INDEX('Liste outils'!$H$6:$H$130,Calcul!$BY$100))),"",IF(NOT(ISNUMBER(INDEX('Liste outils'!$H$6:$H$130,Calcul!$BY$100))),"",IF(INDEX('Liste outils'!$H$6:$H$130,Calcul!$BY$100)&lt;=0,"",IF(ABS(INDEX('Liste outils'!$H$6:$H$130,Calcul!$BY$100)*64-ROUND(INDEX('Liste outils'!$H$6:$H$130,Calcul!$BY$100)*64,0))&gt;0.0005,"≈ ","")&amp;IF(INT(ROUND(INDEX('Liste outils'!$H$6:$H$130,Calcul!$BY$100)*64,0)/64)&gt;0,INT(ROUND(INDEX('Liste outils'!$H$6:$H$130,Calcul!$BY$100)*64,0)/64)&amp;IF(MOD(ROUND(INDEX('Liste outils'!$H$6:$H$130,Calcul!$BY$100)*64,0),64)&gt;0," ",""),"")&amp;IF(MOD(ROUND(INDEX('Liste outils'!$H$6:$H$130,Calcul!$BY$100)*64,0),64)&gt;0,MOD(ROUND(INDEX('Liste outils'!$H$6:$H$130,Calcul!$BY$100)*64,0),64)/GCD(MOD(ROUND(INDEX('Liste outils'!$H$6:$H$130,Calcul!$BY$100)*64,0),64),64)&amp;"/"&amp;64/GCD(MOD(ROUND(INDEX('Liste outils'!$H$6:$H$130,Calcul!$BY$100)*64,0),64),64),IF(ROUND(INDEX('Liste outils'!$H$6:$H$130,Calcul!$BY$100)*64,0)=0,"0",""))&amp;""""))&amp;" · "&amp;FIXED(INDEX('Liste outils'!$H$6:$H$130,Calcul!$BY$100),4,TRUE())&amp;" po · "&amp;FIXED(INDEX('Liste outils'!$H$6:$H$130,Calcul!$BY$100)*25.4,3,TRUE())&amp;" mm"),""))</f>
        <v>1 1/8" · 1.1250 po · 28.575 mm</v>
      </c>
      <c r="E54" s="25" t="str">
        <f aca="false">IF(Calcul!$BY$100=0,"",INDEX('Liste outils'!$J$6:$J$130,Calcul!$BY$100)&amp;"")</f>
        <v>Upcut</v>
      </c>
      <c r="F54" s="25" t="str">
        <f aca="false">IF(Calcul!$BY$100=0,"",INDEX('Liste outils'!$K$6:$K$130,Calcul!$BY$100)&amp;"")</f>
        <v>1</v>
      </c>
      <c r="G54" s="25" t="str">
        <f aca="false">IF(Calcul!$BY$100=0,"",INDEX('Liste outils'!$O$6:$O$130,Calcul!$BY$100)&amp;"")</f>
        <v>63-783</v>
      </c>
      <c r="H54" s="25" t="str">
        <f aca="false">IF(Calcul!$BY$100=0,"",INDEX('Liste outils'!$P$6:$P$130,Calcul!$BY$100)&amp;"")</f>
        <v>LMT Onsrud</v>
      </c>
      <c r="I54" s="25" t="str">
        <f aca="false">IF(Calcul!$BY$100=0,"",INDEX('Liste outils'!$AB$6:$AB$130,Calcul!$BY$100)&amp;"")</f>
        <v>A-1-E-2</v>
      </c>
      <c r="J54" s="25" t="str">
        <f aca="false">IF(Calcul!$BY$100=0,"",INDEX('Liste outils'!$AA$6:$AA$130,Calcul!$BY$100)&amp;"")</f>
        <v>Soft Plastic, Solid Surface</v>
      </c>
      <c r="K54" s="25" t="str">
        <f aca="false">IF(Calcul!$BY$100=0,"",INDEX('Liste outils'!$AC$6:$AC$130,Calcul!$BY$100)&amp;"")</f>
        <v/>
      </c>
    </row>
    <row r="55" customFormat="false" ht="15" hidden="false" customHeight="false" outlineLevel="0" collapsed="false">
      <c r="A55" s="24" t="str">
        <f aca="false">IF(Calcul!$BY$101=0,"",INDEX('Liste outils'!$B$6:$B$130,Calcul!$BY$101)&amp;"")</f>
        <v>EM0021</v>
      </c>
      <c r="B55" s="25" t="str">
        <f aca="false">IF(Calcul!$BY$101=0,"",INDEX('Liste outils'!$C$6:$C$130,Calcul!$BY$101)&amp;"")</f>
        <v>End Mill</v>
      </c>
      <c r="C55" s="25" t="str">
        <f aca="false">IF(Calcul!$BY$101=0,"",IF(ISNUMBER(INDEX('Liste outils'!$E$6:$E$130,Calcul!$BY$101)),IF(NOT(ISNUMBER(INDEX('Liste outils'!$E$6:$E$130,Calcul!$BY$101))),"",IF(NOT(ISNUMBER(INDEX('Liste outils'!$E$6:$E$130,Calcul!$BY$101))),"",IF(INDEX('Liste outils'!$E$6:$E$130,Calcul!$BY$101)&lt;=0,"",IF(ABS(INDEX('Liste outils'!$E$6:$E$130,Calcul!$BY$101)*64-ROUND(INDEX('Liste outils'!$E$6:$E$130,Calcul!$BY$101)*64,0))&gt;0.0005,"≈ ","")&amp;IF(INT(ROUND(INDEX('Liste outils'!$E$6:$E$130,Calcul!$BY$101)*64,0)/64)&gt;0,INT(ROUND(INDEX('Liste outils'!$E$6:$E$130,Calcul!$BY$101)*64,0)/64)&amp;IF(MOD(ROUND(INDEX('Liste outils'!$E$6:$E$130,Calcul!$BY$101)*64,0),64)&gt;0," ",""),"")&amp;IF(MOD(ROUND(INDEX('Liste outils'!$E$6:$E$130,Calcul!$BY$101)*64,0),64)&gt;0,MOD(ROUND(INDEX('Liste outils'!$E$6:$E$130,Calcul!$BY$101)*64,0),64)/GCD(MOD(ROUND(INDEX('Liste outils'!$E$6:$E$130,Calcul!$BY$101)*64,0),64),64)&amp;"/"&amp;64/GCD(MOD(ROUND(INDEX('Liste outils'!$E$6:$E$130,Calcul!$BY$101)*64,0),64),64),IF(ROUND(INDEX('Liste outils'!$E$6:$E$130,Calcul!$BY$101)*64,0)=0,"0",""))&amp;""""))&amp;" · "&amp;FIXED(INDEX('Liste outils'!$E$6:$E$130,Calcul!$BY$101),4,TRUE())&amp;" po · "&amp;FIXED(INDEX('Liste outils'!$E$6:$E$130,Calcul!$BY$101)*25.4,3,TRUE())&amp;" mm"),""))</f>
        <v>3/8" · 0.3750 po · 9.525 mm</v>
      </c>
      <c r="D55" s="25" t="str">
        <f aca="false">IF(Calcul!$BY$101=0,"",IF(ISNUMBER(INDEX('Liste outils'!$H$6:$H$130,Calcul!$BY$101)),IF(NOT(ISNUMBER(INDEX('Liste outils'!$H$6:$H$130,Calcul!$BY$101))),"",IF(NOT(ISNUMBER(INDEX('Liste outils'!$H$6:$H$130,Calcul!$BY$101))),"",IF(INDEX('Liste outils'!$H$6:$H$130,Calcul!$BY$101)&lt;=0,"",IF(ABS(INDEX('Liste outils'!$H$6:$H$130,Calcul!$BY$101)*64-ROUND(INDEX('Liste outils'!$H$6:$H$130,Calcul!$BY$101)*64,0))&gt;0.0005,"≈ ","")&amp;IF(INT(ROUND(INDEX('Liste outils'!$H$6:$H$130,Calcul!$BY$101)*64,0)/64)&gt;0,INT(ROUND(INDEX('Liste outils'!$H$6:$H$130,Calcul!$BY$101)*64,0)/64)&amp;IF(MOD(ROUND(INDEX('Liste outils'!$H$6:$H$130,Calcul!$BY$101)*64,0),64)&gt;0," ",""),"")&amp;IF(MOD(ROUND(INDEX('Liste outils'!$H$6:$H$130,Calcul!$BY$101)*64,0),64)&gt;0,MOD(ROUND(INDEX('Liste outils'!$H$6:$H$130,Calcul!$BY$101)*64,0),64)/GCD(MOD(ROUND(INDEX('Liste outils'!$H$6:$H$130,Calcul!$BY$101)*64,0),64),64)&amp;"/"&amp;64/GCD(MOD(ROUND(INDEX('Liste outils'!$H$6:$H$130,Calcul!$BY$101)*64,0),64),64),IF(ROUND(INDEX('Liste outils'!$H$6:$H$130,Calcul!$BY$101)*64,0)=0,"0",""))&amp;""""))&amp;" · "&amp;FIXED(INDEX('Liste outils'!$H$6:$H$130,Calcul!$BY$101),4,TRUE())&amp;" po · "&amp;FIXED(INDEX('Liste outils'!$H$6:$H$130,Calcul!$BY$101)*25.4,3,TRUE())&amp;" mm"),""))</f>
        <v>1 1/2" · 1.5000 po · 38.100 mm</v>
      </c>
      <c r="E55" s="25" t="str">
        <f aca="false">IF(Calcul!$BY$101=0,"",INDEX('Liste outils'!$J$6:$J$130,Calcul!$BY$101)&amp;"")</f>
        <v>Upcut</v>
      </c>
      <c r="F55" s="25" t="str">
        <f aca="false">IF(Calcul!$BY$101=0,"",INDEX('Liste outils'!$K$6:$K$130,Calcul!$BY$101)&amp;"")</f>
        <v>1</v>
      </c>
      <c r="G55" s="25" t="str">
        <f aca="false">IF(Calcul!$BY$101=0,"",INDEX('Liste outils'!$O$6:$O$130,Calcul!$BY$101)&amp;"")</f>
        <v>897424</v>
      </c>
      <c r="H55" s="25" t="str">
        <f aca="false">IF(Calcul!$BY$101=0,"",INDEX('Liste outils'!$P$6:$P$130,Calcul!$BY$101)&amp;"")</f>
        <v>Harvey Tool</v>
      </c>
      <c r="I55" s="25" t="str">
        <f aca="false">IF(Calcul!$BY$101=0,"",INDEX('Liste outils'!$AB$6:$AB$130,Calcul!$BY$101)&amp;"")</f>
        <v>A-1-G-3</v>
      </c>
      <c r="J55" s="25" t="str">
        <f aca="false">IF(Calcul!$BY$101=0,"",INDEX('Liste outils'!$AA$6:$AA$130,Calcul!$BY$101)&amp;"")</f>
        <v>Hard Plastic</v>
      </c>
      <c r="K55" s="25" t="str">
        <f aca="false">IF(Calcul!$BY$101=0,"",INDEX('Liste outils'!$AC$6:$AC$130,Calcul!$BY$101)&amp;"")</f>
        <v/>
      </c>
    </row>
    <row r="56" customFormat="false" ht="15" hidden="false" customHeight="false" outlineLevel="0" collapsed="false">
      <c r="A56" s="24" t="str">
        <f aca="false">IF(Calcul!$BY$102=0,"",INDEX('Liste outils'!$B$6:$B$130,Calcul!$BY$102)&amp;"")</f>
        <v>EM0023</v>
      </c>
      <c r="B56" s="25" t="str">
        <f aca="false">IF(Calcul!$BY$102=0,"",INDEX('Liste outils'!$C$6:$C$130,Calcul!$BY$102)&amp;"")</f>
        <v>End Mill</v>
      </c>
      <c r="C56" s="25" t="str">
        <f aca="false">IF(Calcul!$BY$102=0,"",IF(ISNUMBER(INDEX('Liste outils'!$E$6:$E$130,Calcul!$BY$102)),IF(NOT(ISNUMBER(INDEX('Liste outils'!$E$6:$E$130,Calcul!$BY$102))),"",IF(NOT(ISNUMBER(INDEX('Liste outils'!$E$6:$E$130,Calcul!$BY$102))),"",IF(INDEX('Liste outils'!$E$6:$E$130,Calcul!$BY$102)&lt;=0,"",IF(ABS(INDEX('Liste outils'!$E$6:$E$130,Calcul!$BY$102)*64-ROUND(INDEX('Liste outils'!$E$6:$E$130,Calcul!$BY$102)*64,0))&gt;0.0005,"≈ ","")&amp;IF(INT(ROUND(INDEX('Liste outils'!$E$6:$E$130,Calcul!$BY$102)*64,0)/64)&gt;0,INT(ROUND(INDEX('Liste outils'!$E$6:$E$130,Calcul!$BY$102)*64,0)/64)&amp;IF(MOD(ROUND(INDEX('Liste outils'!$E$6:$E$130,Calcul!$BY$102)*64,0),64)&gt;0," ",""),"")&amp;IF(MOD(ROUND(INDEX('Liste outils'!$E$6:$E$130,Calcul!$BY$102)*64,0),64)&gt;0,MOD(ROUND(INDEX('Liste outils'!$E$6:$E$130,Calcul!$BY$102)*64,0),64)/GCD(MOD(ROUND(INDEX('Liste outils'!$E$6:$E$130,Calcul!$BY$102)*64,0),64),64)&amp;"/"&amp;64/GCD(MOD(ROUND(INDEX('Liste outils'!$E$6:$E$130,Calcul!$BY$102)*64,0),64),64),IF(ROUND(INDEX('Liste outils'!$E$6:$E$130,Calcul!$BY$102)*64,0)=0,"0",""))&amp;""""))&amp;" · "&amp;FIXED(INDEX('Liste outils'!$E$6:$E$130,Calcul!$BY$102),4,TRUE())&amp;" po · "&amp;FIXED(INDEX('Liste outils'!$E$6:$E$130,Calcul!$BY$102)*25.4,3,TRUE())&amp;" mm"),""))</f>
        <v>3/8" · 0.3750 po · 9.525 mm</v>
      </c>
      <c r="D56" s="25" t="str">
        <f aca="false">IF(Calcul!$BY$102=0,"",IF(ISNUMBER(INDEX('Liste outils'!$H$6:$H$130,Calcul!$BY$102)),IF(NOT(ISNUMBER(INDEX('Liste outils'!$H$6:$H$130,Calcul!$BY$102))),"",IF(NOT(ISNUMBER(INDEX('Liste outils'!$H$6:$H$130,Calcul!$BY$102))),"",IF(INDEX('Liste outils'!$H$6:$H$130,Calcul!$BY$102)&lt;=0,"",IF(ABS(INDEX('Liste outils'!$H$6:$H$130,Calcul!$BY$102)*64-ROUND(INDEX('Liste outils'!$H$6:$H$130,Calcul!$BY$102)*64,0))&gt;0.0005,"≈ ","")&amp;IF(INT(ROUND(INDEX('Liste outils'!$H$6:$H$130,Calcul!$BY$102)*64,0)/64)&gt;0,INT(ROUND(INDEX('Liste outils'!$H$6:$H$130,Calcul!$BY$102)*64,0)/64)&amp;IF(MOD(ROUND(INDEX('Liste outils'!$H$6:$H$130,Calcul!$BY$102)*64,0),64)&gt;0," ",""),"")&amp;IF(MOD(ROUND(INDEX('Liste outils'!$H$6:$H$130,Calcul!$BY$102)*64,0),64)&gt;0,MOD(ROUND(INDEX('Liste outils'!$H$6:$H$130,Calcul!$BY$102)*64,0),64)/GCD(MOD(ROUND(INDEX('Liste outils'!$H$6:$H$130,Calcul!$BY$102)*64,0),64),64)&amp;"/"&amp;64/GCD(MOD(ROUND(INDEX('Liste outils'!$H$6:$H$130,Calcul!$BY$102)*64,0),64),64),IF(ROUND(INDEX('Liste outils'!$H$6:$H$130,Calcul!$BY$102)*64,0)=0,"0",""))&amp;""""))&amp;" · "&amp;FIXED(INDEX('Liste outils'!$H$6:$H$130,Calcul!$BY$102),4,TRUE())&amp;" po · "&amp;FIXED(INDEX('Liste outils'!$H$6:$H$130,Calcul!$BY$102)*25.4,3,TRUE())&amp;" mm"),""))</f>
        <v>1 1/2" · 1.5000 po · 38.100 mm</v>
      </c>
      <c r="E56" s="25" t="str">
        <f aca="false">IF(Calcul!$BY$102=0,"",INDEX('Liste outils'!$J$6:$J$130,Calcul!$BY$102)&amp;"")</f>
        <v>Upcut</v>
      </c>
      <c r="F56" s="25" t="str">
        <f aca="false">IF(Calcul!$BY$102=0,"",INDEX('Liste outils'!$K$6:$K$130,Calcul!$BY$102)&amp;"")</f>
        <v>3</v>
      </c>
      <c r="G56" s="25" t="str">
        <f aca="false">IF(Calcul!$BY$102=0,"",INDEX('Liste outils'!$O$6:$O$130,Calcul!$BY$102)&amp;"")</f>
        <v>86300909</v>
      </c>
      <c r="H56" s="25" t="str">
        <f aca="false">IF(Calcul!$BY$102=0,"",INDEX('Liste outils'!$P$6:$P$130,Calcul!$BY$102)&amp;"")</f>
        <v>OSG</v>
      </c>
      <c r="I56" s="25" t="str">
        <f aca="false">IF(Calcul!$BY$102=0,"",INDEX('Liste outils'!$AB$6:$AB$130,Calcul!$BY$102)&amp;"")</f>
        <v>A-1-H-2</v>
      </c>
      <c r="J56" s="25" t="str">
        <f aca="false">IF(Calcul!$BY$102=0,"",INDEX('Liste outils'!$AA$6:$AA$130,Calcul!$BY$102)&amp;"")</f>
        <v>Non-Ferrous Metal</v>
      </c>
      <c r="K56" s="25" t="str">
        <f aca="false">IF(Calcul!$BY$102=0,"",INDEX('Liste outils'!$AC$6:$AC$130,Calcul!$BY$102)&amp;"")</f>
        <v>3/8" Long LOC</v>
      </c>
    </row>
    <row r="57" customFormat="false" ht="15" hidden="false" customHeight="false" outlineLevel="0" collapsed="false">
      <c r="A57" s="24" t="str">
        <f aca="false">IF(Calcul!$BY$103=0,"",INDEX('Liste outils'!$B$6:$B$130,Calcul!$BY$103)&amp;"")</f>
        <v>EM0041</v>
      </c>
      <c r="B57" s="25" t="str">
        <f aca="false">IF(Calcul!$BY$103=0,"",INDEX('Liste outils'!$C$6:$C$130,Calcul!$BY$103)&amp;"")</f>
        <v>End Mill</v>
      </c>
      <c r="C57" s="25" t="str">
        <f aca="false">IF(Calcul!$BY$103=0,"",IF(ISNUMBER(INDEX('Liste outils'!$E$6:$E$130,Calcul!$BY$103)),IF(NOT(ISNUMBER(INDEX('Liste outils'!$E$6:$E$130,Calcul!$BY$103))),"",IF(NOT(ISNUMBER(INDEX('Liste outils'!$E$6:$E$130,Calcul!$BY$103))),"",IF(INDEX('Liste outils'!$E$6:$E$130,Calcul!$BY$103)&lt;=0,"",IF(ABS(INDEX('Liste outils'!$E$6:$E$130,Calcul!$BY$103)*64-ROUND(INDEX('Liste outils'!$E$6:$E$130,Calcul!$BY$103)*64,0))&gt;0.0005,"≈ ","")&amp;IF(INT(ROUND(INDEX('Liste outils'!$E$6:$E$130,Calcul!$BY$103)*64,0)/64)&gt;0,INT(ROUND(INDEX('Liste outils'!$E$6:$E$130,Calcul!$BY$103)*64,0)/64)&amp;IF(MOD(ROUND(INDEX('Liste outils'!$E$6:$E$130,Calcul!$BY$103)*64,0),64)&gt;0," ",""),"")&amp;IF(MOD(ROUND(INDEX('Liste outils'!$E$6:$E$130,Calcul!$BY$103)*64,0),64)&gt;0,MOD(ROUND(INDEX('Liste outils'!$E$6:$E$130,Calcul!$BY$103)*64,0),64)/GCD(MOD(ROUND(INDEX('Liste outils'!$E$6:$E$130,Calcul!$BY$103)*64,0),64),64)&amp;"/"&amp;64/GCD(MOD(ROUND(INDEX('Liste outils'!$E$6:$E$130,Calcul!$BY$103)*64,0),64),64),IF(ROUND(INDEX('Liste outils'!$E$6:$E$130,Calcul!$BY$103)*64,0)=0,"0",""))&amp;""""))&amp;" · "&amp;FIXED(INDEX('Liste outils'!$E$6:$E$130,Calcul!$BY$103),4,TRUE())&amp;" po · "&amp;FIXED(INDEX('Liste outils'!$E$6:$E$130,Calcul!$BY$103)*25.4,3,TRUE())&amp;" mm"),""))</f>
        <v>3/8" · 0.3750 po · 9.525 mm</v>
      </c>
      <c r="D57" s="25" t="str">
        <f aca="false">IF(Calcul!$BY$103=0,"",IF(ISNUMBER(INDEX('Liste outils'!$H$6:$H$130,Calcul!$BY$103)),IF(NOT(ISNUMBER(INDEX('Liste outils'!$H$6:$H$130,Calcul!$BY$103))),"",IF(NOT(ISNUMBER(INDEX('Liste outils'!$H$6:$H$130,Calcul!$BY$103))),"",IF(INDEX('Liste outils'!$H$6:$H$130,Calcul!$BY$103)&lt;=0,"",IF(ABS(INDEX('Liste outils'!$H$6:$H$130,Calcul!$BY$103)*64-ROUND(INDEX('Liste outils'!$H$6:$H$130,Calcul!$BY$103)*64,0))&gt;0.0005,"≈ ","")&amp;IF(INT(ROUND(INDEX('Liste outils'!$H$6:$H$130,Calcul!$BY$103)*64,0)/64)&gt;0,INT(ROUND(INDEX('Liste outils'!$H$6:$H$130,Calcul!$BY$103)*64,0)/64)&amp;IF(MOD(ROUND(INDEX('Liste outils'!$H$6:$H$130,Calcul!$BY$103)*64,0),64)&gt;0," ",""),"")&amp;IF(MOD(ROUND(INDEX('Liste outils'!$H$6:$H$130,Calcul!$BY$103)*64,0),64)&gt;0,MOD(ROUND(INDEX('Liste outils'!$H$6:$H$130,Calcul!$BY$103)*64,0),64)/GCD(MOD(ROUND(INDEX('Liste outils'!$H$6:$H$130,Calcul!$BY$103)*64,0),64),64)&amp;"/"&amp;64/GCD(MOD(ROUND(INDEX('Liste outils'!$H$6:$H$130,Calcul!$BY$103)*64,0),64),64),IF(ROUND(INDEX('Liste outils'!$H$6:$H$130,Calcul!$BY$103)*64,0)=0,"0",""))&amp;""""))&amp;" · "&amp;FIXED(INDEX('Liste outils'!$H$6:$H$130,Calcul!$BY$103),4,TRUE())&amp;" po · "&amp;FIXED(INDEX('Liste outils'!$H$6:$H$130,Calcul!$BY$103)*25.4,3,TRUE())&amp;" mm"),""))</f>
        <v>1 5/8" · 1.6250 po · 41.275 mm</v>
      </c>
      <c r="E57" s="25" t="str">
        <f aca="false">IF(Calcul!$BY$103=0,"",INDEX('Liste outils'!$J$6:$J$130,Calcul!$BY$103)&amp;"")</f>
        <v>Upcut</v>
      </c>
      <c r="F57" s="25" t="str">
        <f aca="false">IF(Calcul!$BY$103=0,"",INDEX('Liste outils'!$K$6:$K$130,Calcul!$BY$103)&amp;"")</f>
        <v>1</v>
      </c>
      <c r="G57" s="25" t="str">
        <f aca="false">IF(Calcul!$BY$103=0,"",INDEX('Liste outils'!$O$6:$O$130,Calcul!$BY$103)&amp;"")</f>
        <v>63-735</v>
      </c>
      <c r="H57" s="25" t="str">
        <f aca="false">IF(Calcul!$BY$103=0,"",INDEX('Liste outils'!$P$6:$P$130,Calcul!$BY$103)&amp;"")</f>
        <v>LMT Onsrud</v>
      </c>
      <c r="I57" s="25" t="str">
        <f aca="false">IF(Calcul!$BY$103=0,"",INDEX('Liste outils'!$AB$6:$AB$130,Calcul!$BY$103)&amp;"")</f>
        <v>A-1-E-3</v>
      </c>
      <c r="J57" s="25" t="str">
        <f aca="false">IF(Calcul!$BY$103=0,"",INDEX('Liste outils'!$AA$6:$AA$130,Calcul!$BY$103)&amp;"")</f>
        <v>Hard Plastic, Solid Surface</v>
      </c>
      <c r="K57" s="25" t="str">
        <f aca="false">IF(Calcul!$BY$103=0,"",INDEX('Liste outils'!$AC$6:$AC$130,Calcul!$BY$103)&amp;"")</f>
        <v/>
      </c>
    </row>
    <row r="58" customFormat="false" ht="35.05" hidden="false" customHeight="false" outlineLevel="0" collapsed="false">
      <c r="A58" s="24" t="str">
        <f aca="false">IF(Calcul!$BY$104=0,"",INDEX('Liste outils'!$B$6:$B$130,Calcul!$BY$104)&amp;"")</f>
        <v>EM0048</v>
      </c>
      <c r="B58" s="25" t="str">
        <f aca="false">IF(Calcul!$BY$104=0,"",INDEX('Liste outils'!$C$6:$C$130,Calcul!$BY$104)&amp;"")</f>
        <v>End Mill</v>
      </c>
      <c r="C58" s="25" t="str">
        <f aca="false">IF(Calcul!$BY$104=0,"",IF(ISNUMBER(INDEX('Liste outils'!$E$6:$E$130,Calcul!$BY$104)),IF(NOT(ISNUMBER(INDEX('Liste outils'!$E$6:$E$130,Calcul!$BY$104))),"",IF(NOT(ISNUMBER(INDEX('Liste outils'!$E$6:$E$130,Calcul!$BY$104))),"",IF(INDEX('Liste outils'!$E$6:$E$130,Calcul!$BY$104)&lt;=0,"",IF(ABS(INDEX('Liste outils'!$E$6:$E$130,Calcul!$BY$104)*64-ROUND(INDEX('Liste outils'!$E$6:$E$130,Calcul!$BY$104)*64,0))&gt;0.0005,"≈ ","")&amp;IF(INT(ROUND(INDEX('Liste outils'!$E$6:$E$130,Calcul!$BY$104)*64,0)/64)&gt;0,INT(ROUND(INDEX('Liste outils'!$E$6:$E$130,Calcul!$BY$104)*64,0)/64)&amp;IF(MOD(ROUND(INDEX('Liste outils'!$E$6:$E$130,Calcul!$BY$104)*64,0),64)&gt;0," ",""),"")&amp;IF(MOD(ROUND(INDEX('Liste outils'!$E$6:$E$130,Calcul!$BY$104)*64,0),64)&gt;0,MOD(ROUND(INDEX('Liste outils'!$E$6:$E$130,Calcul!$BY$104)*64,0),64)/GCD(MOD(ROUND(INDEX('Liste outils'!$E$6:$E$130,Calcul!$BY$104)*64,0),64),64)&amp;"/"&amp;64/GCD(MOD(ROUND(INDEX('Liste outils'!$E$6:$E$130,Calcul!$BY$104)*64,0),64),64),IF(ROUND(INDEX('Liste outils'!$E$6:$E$130,Calcul!$BY$104)*64,0)=0,"0",""))&amp;""""))&amp;" · "&amp;FIXED(INDEX('Liste outils'!$E$6:$E$130,Calcul!$BY$104),4,TRUE())&amp;" po · "&amp;FIXED(INDEX('Liste outils'!$E$6:$E$130,Calcul!$BY$104)*25.4,3,TRUE())&amp;" mm"),""))</f>
        <v>1/2" · 0.5000 po · 12.700 mm</v>
      </c>
      <c r="D58" s="25" t="str">
        <f aca="false">IF(Calcul!$BY$104=0,"",IF(ISNUMBER(INDEX('Liste outils'!$H$6:$H$130,Calcul!$BY$104)),IF(NOT(ISNUMBER(INDEX('Liste outils'!$H$6:$H$130,Calcul!$BY$104))),"",IF(NOT(ISNUMBER(INDEX('Liste outils'!$H$6:$H$130,Calcul!$BY$104))),"",IF(INDEX('Liste outils'!$H$6:$H$130,Calcul!$BY$104)&lt;=0,"",IF(ABS(INDEX('Liste outils'!$H$6:$H$130,Calcul!$BY$104)*64-ROUND(INDEX('Liste outils'!$H$6:$H$130,Calcul!$BY$104)*64,0))&gt;0.0005,"≈ ","")&amp;IF(INT(ROUND(INDEX('Liste outils'!$H$6:$H$130,Calcul!$BY$104)*64,0)/64)&gt;0,INT(ROUND(INDEX('Liste outils'!$H$6:$H$130,Calcul!$BY$104)*64,0)/64)&amp;IF(MOD(ROUND(INDEX('Liste outils'!$H$6:$H$130,Calcul!$BY$104)*64,0),64)&gt;0," ",""),"")&amp;IF(MOD(ROUND(INDEX('Liste outils'!$H$6:$H$130,Calcul!$BY$104)*64,0),64)&gt;0,MOD(ROUND(INDEX('Liste outils'!$H$6:$H$130,Calcul!$BY$104)*64,0),64)/GCD(MOD(ROUND(INDEX('Liste outils'!$H$6:$H$130,Calcul!$BY$104)*64,0),64),64)&amp;"/"&amp;64/GCD(MOD(ROUND(INDEX('Liste outils'!$H$6:$H$130,Calcul!$BY$104)*64,0),64),64),IF(ROUND(INDEX('Liste outils'!$H$6:$H$130,Calcul!$BY$104)*64,0)=0,"0",""))&amp;""""))&amp;" · "&amp;FIXED(INDEX('Liste outils'!$H$6:$H$130,Calcul!$BY$104),4,TRUE())&amp;" po · "&amp;FIXED(INDEX('Liste outils'!$H$6:$H$130,Calcul!$BY$104)*25.4,3,TRUE())&amp;" mm"),""))</f>
        <v>≈ 13/64" · 0.1970 po · 5.004 mm</v>
      </c>
      <c r="E58" s="25" t="str">
        <f aca="false">IF(Calcul!$BY$104=0,"",INDEX('Liste outils'!$J$6:$J$130,Calcul!$BY$104)&amp;"")</f>
        <v/>
      </c>
      <c r="F58" s="25" t="str">
        <f aca="false">IF(Calcul!$BY$104=0,"",INDEX('Liste outils'!$K$6:$K$130,Calcul!$BY$104)&amp;"")</f>
        <v>2</v>
      </c>
      <c r="G58" s="25" t="str">
        <f aca="false">IF(Calcul!$BY$104=0,"",INDEX('Liste outils'!$O$6:$O$130,Calcul!$BY$104)&amp;"")</f>
        <v>17197</v>
      </c>
      <c r="H58" s="25" t="str">
        <f aca="false">IF(Calcul!$BY$104=0,"",INDEX('Liste outils'!$P$6:$P$130,Calcul!$BY$104)&amp;"")</f>
        <v>Harvey Tool</v>
      </c>
      <c r="I58" s="25" t="str">
        <f aca="false">IF(Calcul!$BY$104=0,"",INDEX('Liste outils'!$AB$6:$AB$130,Calcul!$BY$104)&amp;"")</f>
        <v>A-1-J-2</v>
      </c>
      <c r="J58" s="25" t="str">
        <f aca="false">IF(Calcul!$BY$104=0,"",INDEX('Liste outils'!$AA$6:$AA$130,Calcul!$BY$104)&amp;"")</f>
        <v>Aluminum, Steel, Cast Iron, Stainless Steel, Exotic Metal, Titanium, Composites, Wood</v>
      </c>
      <c r="K58" s="25" t="str">
        <f aca="false">IF(Calcul!$BY$104=0,"",INDEX('Liste outils'!$AC$6:$AC$130,Calcul!$BY$104)&amp;"")</f>
        <v>5mm Radius</v>
      </c>
    </row>
    <row r="59" customFormat="false" ht="23.85" hidden="false" customHeight="false" outlineLevel="0" collapsed="false">
      <c r="A59" s="24" t="str">
        <f aca="false">IF(Calcul!$BY$105=0,"",INDEX('Liste outils'!$B$6:$B$130,Calcul!$BY$105)&amp;"")</f>
        <v>EM0028</v>
      </c>
      <c r="B59" s="25" t="str">
        <f aca="false">IF(Calcul!$BY$105=0,"",INDEX('Liste outils'!$C$6:$C$130,Calcul!$BY$105)&amp;"")</f>
        <v>End Mill</v>
      </c>
      <c r="C59" s="25" t="str">
        <f aca="false">IF(Calcul!$BY$105=0,"",IF(ISNUMBER(INDEX('Liste outils'!$E$6:$E$130,Calcul!$BY$105)),IF(NOT(ISNUMBER(INDEX('Liste outils'!$E$6:$E$130,Calcul!$BY$105))),"",IF(NOT(ISNUMBER(INDEX('Liste outils'!$E$6:$E$130,Calcul!$BY$105))),"",IF(INDEX('Liste outils'!$E$6:$E$130,Calcul!$BY$105)&lt;=0,"",IF(ABS(INDEX('Liste outils'!$E$6:$E$130,Calcul!$BY$105)*64-ROUND(INDEX('Liste outils'!$E$6:$E$130,Calcul!$BY$105)*64,0))&gt;0.0005,"≈ ","")&amp;IF(INT(ROUND(INDEX('Liste outils'!$E$6:$E$130,Calcul!$BY$105)*64,0)/64)&gt;0,INT(ROUND(INDEX('Liste outils'!$E$6:$E$130,Calcul!$BY$105)*64,0)/64)&amp;IF(MOD(ROUND(INDEX('Liste outils'!$E$6:$E$130,Calcul!$BY$105)*64,0),64)&gt;0," ",""),"")&amp;IF(MOD(ROUND(INDEX('Liste outils'!$E$6:$E$130,Calcul!$BY$105)*64,0),64)&gt;0,MOD(ROUND(INDEX('Liste outils'!$E$6:$E$130,Calcul!$BY$105)*64,0),64)/GCD(MOD(ROUND(INDEX('Liste outils'!$E$6:$E$130,Calcul!$BY$105)*64,0),64),64)&amp;"/"&amp;64/GCD(MOD(ROUND(INDEX('Liste outils'!$E$6:$E$130,Calcul!$BY$105)*64,0),64),64),IF(ROUND(INDEX('Liste outils'!$E$6:$E$130,Calcul!$BY$105)*64,0)=0,"0",""))&amp;""""))&amp;" · "&amp;FIXED(INDEX('Liste outils'!$E$6:$E$130,Calcul!$BY$105),4,TRUE())&amp;" po · "&amp;FIXED(INDEX('Liste outils'!$E$6:$E$130,Calcul!$BY$105)*25.4,3,TRUE())&amp;" mm"),""))</f>
        <v>1/2" · 0.5000 po · 12.700 mm</v>
      </c>
      <c r="D59" s="25" t="str">
        <f aca="false">IF(Calcul!$BY$105=0,"",IF(ISNUMBER(INDEX('Liste outils'!$H$6:$H$130,Calcul!$BY$105)),IF(NOT(ISNUMBER(INDEX('Liste outils'!$H$6:$H$130,Calcul!$BY$105))),"",IF(NOT(ISNUMBER(INDEX('Liste outils'!$H$6:$H$130,Calcul!$BY$105))),"",IF(INDEX('Liste outils'!$H$6:$H$130,Calcul!$BY$105)&lt;=0,"",IF(ABS(INDEX('Liste outils'!$H$6:$H$130,Calcul!$BY$105)*64-ROUND(INDEX('Liste outils'!$H$6:$H$130,Calcul!$BY$105)*64,0))&gt;0.0005,"≈ ","")&amp;IF(INT(ROUND(INDEX('Liste outils'!$H$6:$H$130,Calcul!$BY$105)*64,0)/64)&gt;0,INT(ROUND(INDEX('Liste outils'!$H$6:$H$130,Calcul!$BY$105)*64,0)/64)&amp;IF(MOD(ROUND(INDEX('Liste outils'!$H$6:$H$130,Calcul!$BY$105)*64,0),64)&gt;0," ",""),"")&amp;IF(MOD(ROUND(INDEX('Liste outils'!$H$6:$H$130,Calcul!$BY$105)*64,0),64)&gt;0,MOD(ROUND(INDEX('Liste outils'!$H$6:$H$130,Calcul!$BY$105)*64,0),64)/GCD(MOD(ROUND(INDEX('Liste outils'!$H$6:$H$130,Calcul!$BY$105)*64,0),64),64)&amp;"/"&amp;64/GCD(MOD(ROUND(INDEX('Liste outils'!$H$6:$H$130,Calcul!$BY$105)*64,0),64),64),IF(ROUND(INDEX('Liste outils'!$H$6:$H$130,Calcul!$BY$105)*64,0)=0,"0",""))&amp;""""))&amp;" · "&amp;FIXED(INDEX('Liste outils'!$H$6:$H$130,Calcul!$BY$105),4,TRUE())&amp;" po · "&amp;FIXED(INDEX('Liste outils'!$H$6:$H$130,Calcul!$BY$105)*25.4,3,TRUE())&amp;" mm"),""))</f>
        <v>≈ 13/32" · 0.4060 po · 10.312 mm</v>
      </c>
      <c r="E59" s="25" t="str">
        <f aca="false">IF(Calcul!$BY$105=0,"",INDEX('Liste outils'!$J$6:$J$130,Calcul!$BY$105)&amp;"")</f>
        <v/>
      </c>
      <c r="F59" s="25" t="str">
        <f aca="false">IF(Calcul!$BY$105=0,"",INDEX('Liste outils'!$K$6:$K$130,Calcul!$BY$105)&amp;"")</f>
        <v>2</v>
      </c>
      <c r="G59" s="25" t="str">
        <f aca="false">IF(Calcul!$BY$105=0,"",INDEX('Liste outils'!$O$6:$O$130,Calcul!$BY$105)&amp;"")</f>
        <v>37-61</v>
      </c>
      <c r="H59" s="25" t="str">
        <f aca="false">IF(Calcul!$BY$105=0,"",INDEX('Liste outils'!$P$6:$P$130,Calcul!$BY$105)&amp;"")</f>
        <v>LMT Onsrud</v>
      </c>
      <c r="I59" s="25" t="str">
        <f aca="false">IF(Calcul!$BY$105=0,"",INDEX('Liste outils'!$AB$6:$AB$130,Calcul!$BY$105)&amp;"")</f>
        <v>A-1-J-1</v>
      </c>
      <c r="J59" s="25" t="str">
        <f aca="false">IF(Calcul!$BY$105=0,"",INDEX('Liste outils'!$AA$6:$AA$130,Calcul!$BY$105)&amp;"")</f>
        <v>Hard Wood, Soft Wood, Soft Plastic, Hard Plastic</v>
      </c>
      <c r="K59" s="25" t="str">
        <f aca="false">IF(Calcul!$BY$105=0,"",INDEX('Liste outils'!$AC$6:$AC$130,Calcul!$BY$105)&amp;"")</f>
        <v>V grooving or beveling 90º</v>
      </c>
    </row>
    <row r="60" customFormat="false" ht="23.85" hidden="false" customHeight="false" outlineLevel="0" collapsed="false">
      <c r="A60" s="24" t="str">
        <f aca="false">IF(Calcul!$BY$106=0,"",INDEX('Liste outils'!$B$6:$B$130,Calcul!$BY$106)&amp;"")</f>
        <v>EM0034</v>
      </c>
      <c r="B60" s="25" t="str">
        <f aca="false">IF(Calcul!$BY$106=0,"",INDEX('Liste outils'!$C$6:$C$130,Calcul!$BY$106)&amp;"")</f>
        <v>End Mill</v>
      </c>
      <c r="C60" s="25" t="str">
        <f aca="false">IF(Calcul!$BY$106=0,"",IF(ISNUMBER(INDEX('Liste outils'!$E$6:$E$130,Calcul!$BY$106)),IF(NOT(ISNUMBER(INDEX('Liste outils'!$E$6:$E$130,Calcul!$BY$106))),"",IF(NOT(ISNUMBER(INDEX('Liste outils'!$E$6:$E$130,Calcul!$BY$106))),"",IF(INDEX('Liste outils'!$E$6:$E$130,Calcul!$BY$106)&lt;=0,"",IF(ABS(INDEX('Liste outils'!$E$6:$E$130,Calcul!$BY$106)*64-ROUND(INDEX('Liste outils'!$E$6:$E$130,Calcul!$BY$106)*64,0))&gt;0.0005,"≈ ","")&amp;IF(INT(ROUND(INDEX('Liste outils'!$E$6:$E$130,Calcul!$BY$106)*64,0)/64)&gt;0,INT(ROUND(INDEX('Liste outils'!$E$6:$E$130,Calcul!$BY$106)*64,0)/64)&amp;IF(MOD(ROUND(INDEX('Liste outils'!$E$6:$E$130,Calcul!$BY$106)*64,0),64)&gt;0," ",""),"")&amp;IF(MOD(ROUND(INDEX('Liste outils'!$E$6:$E$130,Calcul!$BY$106)*64,0),64)&gt;0,MOD(ROUND(INDEX('Liste outils'!$E$6:$E$130,Calcul!$BY$106)*64,0),64)/GCD(MOD(ROUND(INDEX('Liste outils'!$E$6:$E$130,Calcul!$BY$106)*64,0),64),64)&amp;"/"&amp;64/GCD(MOD(ROUND(INDEX('Liste outils'!$E$6:$E$130,Calcul!$BY$106)*64,0),64),64),IF(ROUND(INDEX('Liste outils'!$E$6:$E$130,Calcul!$BY$106)*64,0)=0,"0",""))&amp;""""))&amp;" · "&amp;FIXED(INDEX('Liste outils'!$E$6:$E$130,Calcul!$BY$106),4,TRUE())&amp;" po · "&amp;FIXED(INDEX('Liste outils'!$E$6:$E$130,Calcul!$BY$106)*25.4,3,TRUE())&amp;" mm"),""))</f>
        <v>1/2" · 0.5000 po · 12.700 mm</v>
      </c>
      <c r="D60" s="25" t="str">
        <f aca="false">IF(Calcul!$BY$106=0,"",IF(ISNUMBER(INDEX('Liste outils'!$H$6:$H$130,Calcul!$BY$106)),IF(NOT(ISNUMBER(INDEX('Liste outils'!$H$6:$H$130,Calcul!$BY$106))),"",IF(NOT(ISNUMBER(INDEX('Liste outils'!$H$6:$H$130,Calcul!$BY$106))),"",IF(INDEX('Liste outils'!$H$6:$H$130,Calcul!$BY$106)&lt;=0,"",IF(ABS(INDEX('Liste outils'!$H$6:$H$130,Calcul!$BY$106)*64-ROUND(INDEX('Liste outils'!$H$6:$H$130,Calcul!$BY$106)*64,0))&gt;0.0005,"≈ ","")&amp;IF(INT(ROUND(INDEX('Liste outils'!$H$6:$H$130,Calcul!$BY$106)*64,0)/64)&gt;0,INT(ROUND(INDEX('Liste outils'!$H$6:$H$130,Calcul!$BY$106)*64,0)/64)&amp;IF(MOD(ROUND(INDEX('Liste outils'!$H$6:$H$130,Calcul!$BY$106)*64,0),64)&gt;0," ",""),"")&amp;IF(MOD(ROUND(INDEX('Liste outils'!$H$6:$H$130,Calcul!$BY$106)*64,0),64)&gt;0,MOD(ROUND(INDEX('Liste outils'!$H$6:$H$130,Calcul!$BY$106)*64,0),64)/GCD(MOD(ROUND(INDEX('Liste outils'!$H$6:$H$130,Calcul!$BY$106)*64,0),64),64)&amp;"/"&amp;64/GCD(MOD(ROUND(INDEX('Liste outils'!$H$6:$H$130,Calcul!$BY$106)*64,0),64),64),IF(ROUND(INDEX('Liste outils'!$H$6:$H$130,Calcul!$BY$106)*64,0)=0,"0",""))&amp;""""))&amp;" · "&amp;FIXED(INDEX('Liste outils'!$H$6:$H$130,Calcul!$BY$106),4,TRUE())&amp;" po · "&amp;FIXED(INDEX('Liste outils'!$H$6:$H$130,Calcul!$BY$106)*25.4,3,TRUE())&amp;" mm"),""))</f>
        <v>7/8" · 0.8750 po · 22.225 mm</v>
      </c>
      <c r="E60" s="25" t="str">
        <f aca="false">IF(Calcul!$BY$106=0,"",INDEX('Liste outils'!$J$6:$J$130,Calcul!$BY$106)&amp;"")</f>
        <v>Compression</v>
      </c>
      <c r="F60" s="25" t="str">
        <f aca="false">IF(Calcul!$BY$106=0,"",INDEX('Liste outils'!$K$6:$K$130,Calcul!$BY$106)&amp;"")</f>
        <v>2</v>
      </c>
      <c r="G60" s="25" t="str">
        <f aca="false">IF(Calcul!$BY$106=0,"",INDEX('Liste outils'!$O$6:$O$130,Calcul!$BY$106)&amp;"")</f>
        <v>60-163PLR</v>
      </c>
      <c r="H60" s="25" t="str">
        <f aca="false">IF(Calcul!$BY$106=0,"",INDEX('Liste outils'!$P$6:$P$130,Calcul!$BY$106)&amp;"")</f>
        <v>LMT Onsrud</v>
      </c>
      <c r="I60" s="25" t="str">
        <f aca="false">IF(Calcul!$BY$106=0,"",INDEX('Liste outils'!$AB$6:$AB$130,Calcul!$BY$106)&amp;"")</f>
        <v>A-1-K-2</v>
      </c>
      <c r="J60" s="25" t="str">
        <f aca="false">IF(Calcul!$BY$106=0,"",INDEX('Liste outils'!$AA$6:$AA$130,Calcul!$BY$106)&amp;"")</f>
        <v>Double-Sided Laminated and Veneered Wood Composites</v>
      </c>
      <c r="K60" s="25" t="str">
        <f aca="false">IF(Calcul!$BY$106=0,"",INDEX('Liste outils'!$AC$6:$AC$130,Calcul!$BY$106)&amp;"")</f>
        <v>MDF Pockets, discontinued 60-163EC(Replacement)</v>
      </c>
    </row>
    <row r="61" customFormat="false" ht="15" hidden="false" customHeight="false" outlineLevel="0" collapsed="false">
      <c r="A61" s="24" t="str">
        <f aca="false">IF(Calcul!$BY$107=0,"",INDEX('Liste outils'!$B$6:$B$130,Calcul!$BY$107)&amp;"")</f>
        <v>EM0043</v>
      </c>
      <c r="B61" s="25" t="str">
        <f aca="false">IF(Calcul!$BY$107=0,"",INDEX('Liste outils'!$C$6:$C$130,Calcul!$BY$107)&amp;"")</f>
        <v>End Mill</v>
      </c>
      <c r="C61" s="25" t="str">
        <f aca="false">IF(Calcul!$BY$107=0,"",IF(ISNUMBER(INDEX('Liste outils'!$E$6:$E$130,Calcul!$BY$107)),IF(NOT(ISNUMBER(INDEX('Liste outils'!$E$6:$E$130,Calcul!$BY$107))),"",IF(NOT(ISNUMBER(INDEX('Liste outils'!$E$6:$E$130,Calcul!$BY$107))),"",IF(INDEX('Liste outils'!$E$6:$E$130,Calcul!$BY$107)&lt;=0,"",IF(ABS(INDEX('Liste outils'!$E$6:$E$130,Calcul!$BY$107)*64-ROUND(INDEX('Liste outils'!$E$6:$E$130,Calcul!$BY$107)*64,0))&gt;0.0005,"≈ ","")&amp;IF(INT(ROUND(INDEX('Liste outils'!$E$6:$E$130,Calcul!$BY$107)*64,0)/64)&gt;0,INT(ROUND(INDEX('Liste outils'!$E$6:$E$130,Calcul!$BY$107)*64,0)/64)&amp;IF(MOD(ROUND(INDEX('Liste outils'!$E$6:$E$130,Calcul!$BY$107)*64,0),64)&gt;0," ",""),"")&amp;IF(MOD(ROUND(INDEX('Liste outils'!$E$6:$E$130,Calcul!$BY$107)*64,0),64)&gt;0,MOD(ROUND(INDEX('Liste outils'!$E$6:$E$130,Calcul!$BY$107)*64,0),64)/GCD(MOD(ROUND(INDEX('Liste outils'!$E$6:$E$130,Calcul!$BY$107)*64,0),64),64)&amp;"/"&amp;64/GCD(MOD(ROUND(INDEX('Liste outils'!$E$6:$E$130,Calcul!$BY$107)*64,0),64),64),IF(ROUND(INDEX('Liste outils'!$E$6:$E$130,Calcul!$BY$107)*64,0)=0,"0",""))&amp;""""))&amp;" · "&amp;FIXED(INDEX('Liste outils'!$E$6:$E$130,Calcul!$BY$107),4,TRUE())&amp;" po · "&amp;FIXED(INDEX('Liste outils'!$E$6:$E$130,Calcul!$BY$107)*25.4,3,TRUE())&amp;" mm"),""))</f>
        <v>1/2" · 0.5000 po · 12.700 mm</v>
      </c>
      <c r="D61" s="25" t="str">
        <f aca="false">IF(Calcul!$BY$107=0,"",IF(ISNUMBER(INDEX('Liste outils'!$H$6:$H$130,Calcul!$BY$107)),IF(NOT(ISNUMBER(INDEX('Liste outils'!$H$6:$H$130,Calcul!$BY$107))),"",IF(NOT(ISNUMBER(INDEX('Liste outils'!$H$6:$H$130,Calcul!$BY$107))),"",IF(INDEX('Liste outils'!$H$6:$H$130,Calcul!$BY$107)&lt;=0,"",IF(ABS(INDEX('Liste outils'!$H$6:$H$130,Calcul!$BY$107)*64-ROUND(INDEX('Liste outils'!$H$6:$H$130,Calcul!$BY$107)*64,0))&gt;0.0005,"≈ ","")&amp;IF(INT(ROUND(INDEX('Liste outils'!$H$6:$H$130,Calcul!$BY$107)*64,0)/64)&gt;0,INT(ROUND(INDEX('Liste outils'!$H$6:$H$130,Calcul!$BY$107)*64,0)/64)&amp;IF(MOD(ROUND(INDEX('Liste outils'!$H$6:$H$130,Calcul!$BY$107)*64,0),64)&gt;0," ",""),"")&amp;IF(MOD(ROUND(INDEX('Liste outils'!$H$6:$H$130,Calcul!$BY$107)*64,0),64)&gt;0,MOD(ROUND(INDEX('Liste outils'!$H$6:$H$130,Calcul!$BY$107)*64,0),64)/GCD(MOD(ROUND(INDEX('Liste outils'!$H$6:$H$130,Calcul!$BY$107)*64,0),64),64)&amp;"/"&amp;64/GCD(MOD(ROUND(INDEX('Liste outils'!$H$6:$H$130,Calcul!$BY$107)*64,0),64),64),IF(ROUND(INDEX('Liste outils'!$H$6:$H$130,Calcul!$BY$107)*64,0)=0,"0",""))&amp;""""))&amp;" · "&amp;FIXED(INDEX('Liste outils'!$H$6:$H$130,Calcul!$BY$107),4,TRUE())&amp;" po · "&amp;FIXED(INDEX('Liste outils'!$H$6:$H$130,Calcul!$BY$107)*25.4,3,TRUE())&amp;" mm"),""))</f>
        <v>7/8" · 0.8750 po · 22.225 mm</v>
      </c>
      <c r="E61" s="25" t="str">
        <f aca="false">IF(Calcul!$BY$107=0,"",INDEX('Liste outils'!$J$6:$J$130,Calcul!$BY$107)&amp;"")</f>
        <v>Upcut</v>
      </c>
      <c r="F61" s="25" t="str">
        <f aca="false">IF(Calcul!$BY$107=0,"",INDEX('Liste outils'!$K$6:$K$130,Calcul!$BY$107)&amp;"")</f>
        <v>2</v>
      </c>
      <c r="G61" s="25" t="str">
        <f aca="false">IF(Calcul!$BY$107=0,"",INDEX('Liste outils'!$O$6:$O$130,Calcul!$BY$107)&amp;"")</f>
        <v>66-327</v>
      </c>
      <c r="H61" s="25" t="str">
        <f aca="false">IF(Calcul!$BY$107=0,"",INDEX('Liste outils'!$P$6:$P$130,Calcul!$BY$107)&amp;"")</f>
        <v>LMT Onsrud</v>
      </c>
      <c r="I61" s="25" t="str">
        <f aca="false">IF(Calcul!$BY$107=0,"",INDEX('Liste outils'!$AB$6:$AB$130,Calcul!$BY$107)&amp;"")</f>
        <v>A-1-F-2</v>
      </c>
      <c r="J61" s="25" t="str">
        <f aca="false">IF(Calcul!$BY$107=0,"",INDEX('Liste outils'!$AA$6:$AA$130,Calcul!$BY$107)&amp;"")</f>
        <v>Soft Plastic, Hard Plastic, Aluminum</v>
      </c>
      <c r="K61" s="25" t="str">
        <f aca="false">IF(Calcul!$BY$107=0,"",INDEX('Liste outils'!$AC$6:$AC$130,Calcul!$BY$107)&amp;"")</f>
        <v/>
      </c>
    </row>
    <row r="62" customFormat="false" ht="15" hidden="false" customHeight="false" outlineLevel="0" collapsed="false">
      <c r="A62" s="24" t="str">
        <f aca="false">IF(Calcul!$BY$108=0,"",INDEX('Liste outils'!$B$6:$B$130,Calcul!$BY$108)&amp;"")</f>
        <v>EM0020</v>
      </c>
      <c r="B62" s="25" t="str">
        <f aca="false">IF(Calcul!$BY$108=0,"",INDEX('Liste outils'!$C$6:$C$130,Calcul!$BY$108)&amp;"")</f>
        <v>End Mill</v>
      </c>
      <c r="C62" s="25" t="str">
        <f aca="false">IF(Calcul!$BY$108=0,"",IF(ISNUMBER(INDEX('Liste outils'!$E$6:$E$130,Calcul!$BY$108)),IF(NOT(ISNUMBER(INDEX('Liste outils'!$E$6:$E$130,Calcul!$BY$108))),"",IF(NOT(ISNUMBER(INDEX('Liste outils'!$E$6:$E$130,Calcul!$BY$108))),"",IF(INDEX('Liste outils'!$E$6:$E$130,Calcul!$BY$108)&lt;=0,"",IF(ABS(INDEX('Liste outils'!$E$6:$E$130,Calcul!$BY$108)*64-ROUND(INDEX('Liste outils'!$E$6:$E$130,Calcul!$BY$108)*64,0))&gt;0.0005,"≈ ","")&amp;IF(INT(ROUND(INDEX('Liste outils'!$E$6:$E$130,Calcul!$BY$108)*64,0)/64)&gt;0,INT(ROUND(INDEX('Liste outils'!$E$6:$E$130,Calcul!$BY$108)*64,0)/64)&amp;IF(MOD(ROUND(INDEX('Liste outils'!$E$6:$E$130,Calcul!$BY$108)*64,0),64)&gt;0," ",""),"")&amp;IF(MOD(ROUND(INDEX('Liste outils'!$E$6:$E$130,Calcul!$BY$108)*64,0),64)&gt;0,MOD(ROUND(INDEX('Liste outils'!$E$6:$E$130,Calcul!$BY$108)*64,0),64)/GCD(MOD(ROUND(INDEX('Liste outils'!$E$6:$E$130,Calcul!$BY$108)*64,0),64),64)&amp;"/"&amp;64/GCD(MOD(ROUND(INDEX('Liste outils'!$E$6:$E$130,Calcul!$BY$108)*64,0),64),64),IF(ROUND(INDEX('Liste outils'!$E$6:$E$130,Calcul!$BY$108)*64,0)=0,"0",""))&amp;""""))&amp;" · "&amp;FIXED(INDEX('Liste outils'!$E$6:$E$130,Calcul!$BY$108),4,TRUE())&amp;" po · "&amp;FIXED(INDEX('Liste outils'!$E$6:$E$130,Calcul!$BY$108)*25.4,3,TRUE())&amp;" mm"),""))</f>
        <v>1/2" · 0.5000 po · 12.700 mm</v>
      </c>
      <c r="D62" s="25" t="str">
        <f aca="false">IF(Calcul!$BY$108=0,"",IF(ISNUMBER(INDEX('Liste outils'!$H$6:$H$130,Calcul!$BY$108)),IF(NOT(ISNUMBER(INDEX('Liste outils'!$H$6:$H$130,Calcul!$BY$108))),"",IF(NOT(ISNUMBER(INDEX('Liste outils'!$H$6:$H$130,Calcul!$BY$108))),"",IF(INDEX('Liste outils'!$H$6:$H$130,Calcul!$BY$108)&lt;=0,"",IF(ABS(INDEX('Liste outils'!$H$6:$H$130,Calcul!$BY$108)*64-ROUND(INDEX('Liste outils'!$H$6:$H$130,Calcul!$BY$108)*64,0))&gt;0.0005,"≈ ","")&amp;IF(INT(ROUND(INDEX('Liste outils'!$H$6:$H$130,Calcul!$BY$108)*64,0)/64)&gt;0,INT(ROUND(INDEX('Liste outils'!$H$6:$H$130,Calcul!$BY$108)*64,0)/64)&amp;IF(MOD(ROUND(INDEX('Liste outils'!$H$6:$H$130,Calcul!$BY$108)*64,0),64)&gt;0," ",""),"")&amp;IF(MOD(ROUND(INDEX('Liste outils'!$H$6:$H$130,Calcul!$BY$108)*64,0),64)&gt;0,MOD(ROUND(INDEX('Liste outils'!$H$6:$H$130,Calcul!$BY$108)*64,0),64)/GCD(MOD(ROUND(INDEX('Liste outils'!$H$6:$H$130,Calcul!$BY$108)*64,0),64),64)&amp;"/"&amp;64/GCD(MOD(ROUND(INDEX('Liste outils'!$H$6:$H$130,Calcul!$BY$108)*64,0),64),64),IF(ROUND(INDEX('Liste outils'!$H$6:$H$130,Calcul!$BY$108)*64,0)=0,"0",""))&amp;""""))&amp;" · "&amp;FIXED(INDEX('Liste outils'!$H$6:$H$130,Calcul!$BY$108),4,TRUE())&amp;" po · "&amp;FIXED(INDEX('Liste outils'!$H$6:$H$130,Calcul!$BY$108)*25.4,3,TRUE())&amp;" mm"),""))</f>
        <v>1 5/8" · 1.6250 po · 41.275 mm</v>
      </c>
      <c r="E62" s="25" t="str">
        <f aca="false">IF(Calcul!$BY$108=0,"",INDEX('Liste outils'!$J$6:$J$130,Calcul!$BY$108)&amp;"")</f>
        <v>Upcut</v>
      </c>
      <c r="F62" s="25" t="str">
        <f aca="false">IF(Calcul!$BY$108=0,"",INDEX('Liste outils'!$K$6:$K$130,Calcul!$BY$108)&amp;"")</f>
        <v>1</v>
      </c>
      <c r="G62" s="25" t="str">
        <f aca="false">IF(Calcul!$BY$108=0,"",INDEX('Liste outils'!$O$6:$O$130,Calcul!$BY$108)&amp;"")</f>
        <v>63-740</v>
      </c>
      <c r="H62" s="25" t="str">
        <f aca="false">IF(Calcul!$BY$108=0,"",INDEX('Liste outils'!$P$6:$P$130,Calcul!$BY$108)&amp;"")</f>
        <v>LMT Onsrud</v>
      </c>
      <c r="I62" s="25" t="str">
        <f aca="false">IF(Calcul!$BY$108=0,"",INDEX('Liste outils'!$AB$6:$AB$130,Calcul!$BY$108)&amp;"")</f>
        <v>A-1-G-2</v>
      </c>
      <c r="J62" s="25" t="str">
        <f aca="false">IF(Calcul!$BY$108=0,"",INDEX('Liste outils'!$AA$6:$AA$130,Calcul!$BY$108)&amp;"")</f>
        <v>Hard Plastic</v>
      </c>
      <c r="K62" s="25" t="str">
        <f aca="false">IF(Calcul!$BY$108=0,"",INDEX('Liste outils'!$AC$6:$AC$130,Calcul!$BY$108)&amp;"")</f>
        <v/>
      </c>
    </row>
    <row r="63" customFormat="false" ht="23.85" hidden="false" customHeight="false" outlineLevel="0" collapsed="false">
      <c r="A63" s="24" t="str">
        <f aca="false">IF(Calcul!$BY$109=0,"",INDEX('Liste outils'!$B$6:$B$130,Calcul!$BY$109)&amp;"")</f>
        <v>EM0044</v>
      </c>
      <c r="B63" s="25" t="str">
        <f aca="false">IF(Calcul!$BY$109=0,"",INDEX('Liste outils'!$C$6:$C$130,Calcul!$BY$109)&amp;"")</f>
        <v>End Mill</v>
      </c>
      <c r="C63" s="25" t="str">
        <f aca="false">IF(Calcul!$BY$109=0,"",IF(ISNUMBER(INDEX('Liste outils'!$E$6:$E$130,Calcul!$BY$109)),IF(NOT(ISNUMBER(INDEX('Liste outils'!$E$6:$E$130,Calcul!$BY$109))),"",IF(NOT(ISNUMBER(INDEX('Liste outils'!$E$6:$E$130,Calcul!$BY$109))),"",IF(INDEX('Liste outils'!$E$6:$E$130,Calcul!$BY$109)&lt;=0,"",IF(ABS(INDEX('Liste outils'!$E$6:$E$130,Calcul!$BY$109)*64-ROUND(INDEX('Liste outils'!$E$6:$E$130,Calcul!$BY$109)*64,0))&gt;0.0005,"≈ ","")&amp;IF(INT(ROUND(INDEX('Liste outils'!$E$6:$E$130,Calcul!$BY$109)*64,0)/64)&gt;0,INT(ROUND(INDEX('Liste outils'!$E$6:$E$130,Calcul!$BY$109)*64,0)/64)&amp;IF(MOD(ROUND(INDEX('Liste outils'!$E$6:$E$130,Calcul!$BY$109)*64,0),64)&gt;0," ",""),"")&amp;IF(MOD(ROUND(INDEX('Liste outils'!$E$6:$E$130,Calcul!$BY$109)*64,0),64)&gt;0,MOD(ROUND(INDEX('Liste outils'!$E$6:$E$130,Calcul!$BY$109)*64,0),64)/GCD(MOD(ROUND(INDEX('Liste outils'!$E$6:$E$130,Calcul!$BY$109)*64,0),64),64)&amp;"/"&amp;64/GCD(MOD(ROUND(INDEX('Liste outils'!$E$6:$E$130,Calcul!$BY$109)*64,0),64),64),IF(ROUND(INDEX('Liste outils'!$E$6:$E$130,Calcul!$BY$109)*64,0)=0,"0",""))&amp;""""))&amp;" · "&amp;FIXED(INDEX('Liste outils'!$E$6:$E$130,Calcul!$BY$109),4,TRUE())&amp;" po · "&amp;FIXED(INDEX('Liste outils'!$E$6:$E$130,Calcul!$BY$109)*25.4,3,TRUE())&amp;" mm"),""))</f>
        <v>1/2" · 0.5000 po · 12.700 mm</v>
      </c>
      <c r="D63" s="25" t="str">
        <f aca="false">IF(Calcul!$BY$109=0,"",IF(ISNUMBER(INDEX('Liste outils'!$H$6:$H$130,Calcul!$BY$109)),IF(NOT(ISNUMBER(INDEX('Liste outils'!$H$6:$H$130,Calcul!$BY$109))),"",IF(NOT(ISNUMBER(INDEX('Liste outils'!$H$6:$H$130,Calcul!$BY$109))),"",IF(INDEX('Liste outils'!$H$6:$H$130,Calcul!$BY$109)&lt;=0,"",IF(ABS(INDEX('Liste outils'!$H$6:$H$130,Calcul!$BY$109)*64-ROUND(INDEX('Liste outils'!$H$6:$H$130,Calcul!$BY$109)*64,0))&gt;0.0005,"≈ ","")&amp;IF(INT(ROUND(INDEX('Liste outils'!$H$6:$H$130,Calcul!$BY$109)*64,0)/64)&gt;0,INT(ROUND(INDEX('Liste outils'!$H$6:$H$130,Calcul!$BY$109)*64,0)/64)&amp;IF(MOD(ROUND(INDEX('Liste outils'!$H$6:$H$130,Calcul!$BY$109)*64,0),64)&gt;0," ",""),"")&amp;IF(MOD(ROUND(INDEX('Liste outils'!$H$6:$H$130,Calcul!$BY$109)*64,0),64)&gt;0,MOD(ROUND(INDEX('Liste outils'!$H$6:$H$130,Calcul!$BY$109)*64,0),64)/GCD(MOD(ROUND(INDEX('Liste outils'!$H$6:$H$130,Calcul!$BY$109)*64,0),64),64)&amp;"/"&amp;64/GCD(MOD(ROUND(INDEX('Liste outils'!$H$6:$H$130,Calcul!$BY$109)*64,0),64),64),IF(ROUND(INDEX('Liste outils'!$H$6:$H$130,Calcul!$BY$109)*64,0)=0,"0",""))&amp;""""))&amp;" · "&amp;FIXED(INDEX('Liste outils'!$H$6:$H$130,Calcul!$BY$109),4,TRUE())&amp;" po · "&amp;FIXED(INDEX('Liste outils'!$H$6:$H$130,Calcul!$BY$109)*25.4,3,TRUE())&amp;" mm"),""))</f>
        <v>1 3/4" · 1.7500 po · 44.450 mm</v>
      </c>
      <c r="E63" s="25" t="str">
        <f aca="false">IF(Calcul!$BY$109=0,"",INDEX('Liste outils'!$J$6:$J$130,Calcul!$BY$109)&amp;"")</f>
        <v>Upcut</v>
      </c>
      <c r="F63" s="25" t="str">
        <f aca="false">IF(Calcul!$BY$109=0,"",INDEX('Liste outils'!$K$6:$K$130,Calcul!$BY$109)&amp;"")</f>
        <v>2</v>
      </c>
      <c r="G63" s="25" t="str">
        <f aca="false">IF(Calcul!$BY$109=0,"",INDEX('Liste outils'!$O$6:$O$130,Calcul!$BY$109)&amp;"")</f>
        <v>52-704</v>
      </c>
      <c r="H63" s="25" t="str">
        <f aca="false">IF(Calcul!$BY$109=0,"",INDEX('Liste outils'!$P$6:$P$130,Calcul!$BY$109)&amp;"")</f>
        <v>LMT Onsrud</v>
      </c>
      <c r="I63" s="25" t="str">
        <f aca="false">IF(Calcul!$BY$109=0,"",INDEX('Liste outils'!$AB$6:$AB$130,Calcul!$BY$109)&amp;"")</f>
        <v>A-1-F-3</v>
      </c>
      <c r="J63" s="25" t="str">
        <f aca="false">IF(Calcul!$BY$109=0,"",INDEX('Liste outils'!$AA$6:$AA$130,Calcul!$BY$109)&amp;"")</f>
        <v>Soft Plastic, Solid Surface, Foam, Soft Wood, Hard Wood</v>
      </c>
      <c r="K63" s="25" t="str">
        <f aca="false">IF(Calcul!$BY$109=0,"",INDEX('Liste outils'!$AC$6:$AC$130,Calcul!$BY$109)&amp;"")</f>
        <v/>
      </c>
    </row>
    <row r="64" customFormat="false" ht="15" hidden="false" customHeight="false" outlineLevel="0" collapsed="false">
      <c r="A64" s="24" t="str">
        <f aca="false">IF(Calcul!$BY$110=0,"",INDEX('Liste outils'!$B$6:$B$130,Calcul!$BY$110)&amp;"")</f>
        <v>EM0024</v>
      </c>
      <c r="B64" s="25" t="str">
        <f aca="false">IF(Calcul!$BY$110=0,"",INDEX('Liste outils'!$C$6:$C$130,Calcul!$BY$110)&amp;"")</f>
        <v>End Mill</v>
      </c>
      <c r="C64" s="25" t="str">
        <f aca="false">IF(Calcul!$BY$110=0,"",IF(ISNUMBER(INDEX('Liste outils'!$E$6:$E$130,Calcul!$BY$110)),IF(NOT(ISNUMBER(INDEX('Liste outils'!$E$6:$E$130,Calcul!$BY$110))),"",IF(NOT(ISNUMBER(INDEX('Liste outils'!$E$6:$E$130,Calcul!$BY$110))),"",IF(INDEX('Liste outils'!$E$6:$E$130,Calcul!$BY$110)&lt;=0,"",IF(ABS(INDEX('Liste outils'!$E$6:$E$130,Calcul!$BY$110)*64-ROUND(INDEX('Liste outils'!$E$6:$E$130,Calcul!$BY$110)*64,0))&gt;0.0005,"≈ ","")&amp;IF(INT(ROUND(INDEX('Liste outils'!$E$6:$E$130,Calcul!$BY$110)*64,0)/64)&gt;0,INT(ROUND(INDEX('Liste outils'!$E$6:$E$130,Calcul!$BY$110)*64,0)/64)&amp;IF(MOD(ROUND(INDEX('Liste outils'!$E$6:$E$130,Calcul!$BY$110)*64,0),64)&gt;0," ",""),"")&amp;IF(MOD(ROUND(INDEX('Liste outils'!$E$6:$E$130,Calcul!$BY$110)*64,0),64)&gt;0,MOD(ROUND(INDEX('Liste outils'!$E$6:$E$130,Calcul!$BY$110)*64,0),64)/GCD(MOD(ROUND(INDEX('Liste outils'!$E$6:$E$130,Calcul!$BY$110)*64,0),64),64)&amp;"/"&amp;64/GCD(MOD(ROUND(INDEX('Liste outils'!$E$6:$E$130,Calcul!$BY$110)*64,0),64),64),IF(ROUND(INDEX('Liste outils'!$E$6:$E$130,Calcul!$BY$110)*64,0)=0,"0",""))&amp;""""))&amp;" · "&amp;FIXED(INDEX('Liste outils'!$E$6:$E$130,Calcul!$BY$110),4,TRUE())&amp;" po · "&amp;FIXED(INDEX('Liste outils'!$E$6:$E$130,Calcul!$BY$110)*25.4,3,TRUE())&amp;" mm"),""))</f>
        <v>1/2" · 0.5000 po · 12.700 mm</v>
      </c>
      <c r="D64" s="25" t="str">
        <f aca="false">IF(Calcul!$BY$110=0,"",IF(ISNUMBER(INDEX('Liste outils'!$H$6:$H$130,Calcul!$BY$110)),IF(NOT(ISNUMBER(INDEX('Liste outils'!$H$6:$H$130,Calcul!$BY$110))),"",IF(NOT(ISNUMBER(INDEX('Liste outils'!$H$6:$H$130,Calcul!$BY$110))),"",IF(INDEX('Liste outils'!$H$6:$H$130,Calcul!$BY$110)&lt;=0,"",IF(ABS(INDEX('Liste outils'!$H$6:$H$130,Calcul!$BY$110)*64-ROUND(INDEX('Liste outils'!$H$6:$H$130,Calcul!$BY$110)*64,0))&gt;0.0005,"≈ ","")&amp;IF(INT(ROUND(INDEX('Liste outils'!$H$6:$H$130,Calcul!$BY$110)*64,0)/64)&gt;0,INT(ROUND(INDEX('Liste outils'!$H$6:$H$130,Calcul!$BY$110)*64,0)/64)&amp;IF(MOD(ROUND(INDEX('Liste outils'!$H$6:$H$130,Calcul!$BY$110)*64,0),64)&gt;0," ",""),"")&amp;IF(MOD(ROUND(INDEX('Liste outils'!$H$6:$H$130,Calcul!$BY$110)*64,0),64)&gt;0,MOD(ROUND(INDEX('Liste outils'!$H$6:$H$130,Calcul!$BY$110)*64,0),64)/GCD(MOD(ROUND(INDEX('Liste outils'!$H$6:$H$130,Calcul!$BY$110)*64,0),64),64)&amp;"/"&amp;64/GCD(MOD(ROUND(INDEX('Liste outils'!$H$6:$H$130,Calcul!$BY$110)*64,0),64),64),IF(ROUND(INDEX('Liste outils'!$H$6:$H$130,Calcul!$BY$110)*64,0)=0,"0",""))&amp;""""))&amp;" · "&amp;FIXED(INDEX('Liste outils'!$H$6:$H$130,Calcul!$BY$110),4,TRUE())&amp;" po · "&amp;FIXED(INDEX('Liste outils'!$H$6:$H$130,Calcul!$BY$110)*25.4,3,TRUE())&amp;" mm"),""))</f>
        <v>2" · 2.0000 po · 50.800 mm</v>
      </c>
      <c r="E64" s="25" t="str">
        <f aca="false">IF(Calcul!$BY$110=0,"",INDEX('Liste outils'!$J$6:$J$130,Calcul!$BY$110)&amp;"")</f>
        <v>Upcut</v>
      </c>
      <c r="F64" s="25" t="str">
        <f aca="false">IF(Calcul!$BY$110=0,"",INDEX('Liste outils'!$K$6:$K$130,Calcul!$BY$110)&amp;"")</f>
        <v>3</v>
      </c>
      <c r="G64" s="25" t="str">
        <f aca="false">IF(Calcul!$BY$110=0,"",INDEX('Liste outils'!$O$6:$O$130,Calcul!$BY$110)&amp;"")</f>
        <v>86301109</v>
      </c>
      <c r="H64" s="25" t="str">
        <f aca="false">IF(Calcul!$BY$110=0,"",INDEX('Liste outils'!$P$6:$P$130,Calcul!$BY$110)&amp;"")</f>
        <v>OSG</v>
      </c>
      <c r="I64" s="25" t="str">
        <f aca="false">IF(Calcul!$BY$110=0,"",INDEX('Liste outils'!$AB$6:$AB$130,Calcul!$BY$110)&amp;"")</f>
        <v>A-1-H-3</v>
      </c>
      <c r="J64" s="25" t="str">
        <f aca="false">IF(Calcul!$BY$110=0,"",INDEX('Liste outils'!$AA$6:$AA$130,Calcul!$BY$110)&amp;"")</f>
        <v>Non-Ferrous Metal</v>
      </c>
      <c r="K64" s="25" t="str">
        <f aca="false">IF(Calcul!$BY$110=0,"",INDEX('Liste outils'!$AC$6:$AC$130,Calcul!$BY$110)&amp;"")</f>
        <v/>
      </c>
    </row>
    <row r="65" customFormat="false" ht="23.85" hidden="false" customHeight="false" outlineLevel="0" collapsed="false">
      <c r="A65" s="24" t="str">
        <f aca="false">IF(Calcul!$BY$111=0,"",INDEX('Liste outils'!$B$6:$B$130,Calcul!$BY$111)&amp;"")</f>
        <v>EM0027</v>
      </c>
      <c r="B65" s="25" t="str">
        <f aca="false">IF(Calcul!$BY$111=0,"",INDEX('Liste outils'!$C$6:$C$130,Calcul!$BY$111)&amp;"")</f>
        <v>End Mill</v>
      </c>
      <c r="C65" s="25" t="str">
        <f aca="false">IF(Calcul!$BY$111=0,"",IF(ISNUMBER(INDEX('Liste outils'!$E$6:$E$130,Calcul!$BY$111)),IF(NOT(ISNUMBER(INDEX('Liste outils'!$E$6:$E$130,Calcul!$BY$111))),"",IF(NOT(ISNUMBER(INDEX('Liste outils'!$E$6:$E$130,Calcul!$BY$111))),"",IF(INDEX('Liste outils'!$E$6:$E$130,Calcul!$BY$111)&lt;=0,"",IF(ABS(INDEX('Liste outils'!$E$6:$E$130,Calcul!$BY$111)*64-ROUND(INDEX('Liste outils'!$E$6:$E$130,Calcul!$BY$111)*64,0))&gt;0.0005,"≈ ","")&amp;IF(INT(ROUND(INDEX('Liste outils'!$E$6:$E$130,Calcul!$BY$111)*64,0)/64)&gt;0,INT(ROUND(INDEX('Liste outils'!$E$6:$E$130,Calcul!$BY$111)*64,0)/64)&amp;IF(MOD(ROUND(INDEX('Liste outils'!$E$6:$E$130,Calcul!$BY$111)*64,0),64)&gt;0," ",""),"")&amp;IF(MOD(ROUND(INDEX('Liste outils'!$E$6:$E$130,Calcul!$BY$111)*64,0),64)&gt;0,MOD(ROUND(INDEX('Liste outils'!$E$6:$E$130,Calcul!$BY$111)*64,0),64)/GCD(MOD(ROUND(INDEX('Liste outils'!$E$6:$E$130,Calcul!$BY$111)*64,0),64),64)&amp;"/"&amp;64/GCD(MOD(ROUND(INDEX('Liste outils'!$E$6:$E$130,Calcul!$BY$111)*64,0),64),64),IF(ROUND(INDEX('Liste outils'!$E$6:$E$130,Calcul!$BY$111)*64,0)=0,"0",""))&amp;""""))&amp;" · "&amp;FIXED(INDEX('Liste outils'!$E$6:$E$130,Calcul!$BY$111),4,TRUE())&amp;" po · "&amp;FIXED(INDEX('Liste outils'!$E$6:$E$130,Calcul!$BY$111)*25.4,3,TRUE())&amp;" mm"),""))</f>
        <v>1/2" · 0.5000 po · 12.700 mm</v>
      </c>
      <c r="D65" s="25" t="str">
        <f aca="false">IF(Calcul!$BY$111=0,"",IF(ISNUMBER(INDEX('Liste outils'!$H$6:$H$130,Calcul!$BY$111)),IF(NOT(ISNUMBER(INDEX('Liste outils'!$H$6:$H$130,Calcul!$BY$111))),"",IF(NOT(ISNUMBER(INDEX('Liste outils'!$H$6:$H$130,Calcul!$BY$111))),"",IF(INDEX('Liste outils'!$H$6:$H$130,Calcul!$BY$111)&lt;=0,"",IF(ABS(INDEX('Liste outils'!$H$6:$H$130,Calcul!$BY$111)*64-ROUND(INDEX('Liste outils'!$H$6:$H$130,Calcul!$BY$111)*64,0))&gt;0.0005,"≈ ","")&amp;IF(INT(ROUND(INDEX('Liste outils'!$H$6:$H$130,Calcul!$BY$111)*64,0)/64)&gt;0,INT(ROUND(INDEX('Liste outils'!$H$6:$H$130,Calcul!$BY$111)*64,0)/64)&amp;IF(MOD(ROUND(INDEX('Liste outils'!$H$6:$H$130,Calcul!$BY$111)*64,0),64)&gt;0," ",""),"")&amp;IF(MOD(ROUND(INDEX('Liste outils'!$H$6:$H$130,Calcul!$BY$111)*64,0),64)&gt;0,MOD(ROUND(INDEX('Liste outils'!$H$6:$H$130,Calcul!$BY$111)*64,0),64)/GCD(MOD(ROUND(INDEX('Liste outils'!$H$6:$H$130,Calcul!$BY$111)*64,0),64),64)&amp;"/"&amp;64/GCD(MOD(ROUND(INDEX('Liste outils'!$H$6:$H$130,Calcul!$BY$111)*64,0),64),64),IF(ROUND(INDEX('Liste outils'!$H$6:$H$130,Calcul!$BY$111)*64,0)=0,"0",""))&amp;""""))&amp;" · "&amp;FIXED(INDEX('Liste outils'!$H$6:$H$130,Calcul!$BY$111),4,TRUE())&amp;" po · "&amp;FIXED(INDEX('Liste outils'!$H$6:$H$130,Calcul!$BY$111)*25.4,3,TRUE())&amp;" mm"),""))</f>
        <v>2 1/8" · 2.1250 po · 53.975 mm</v>
      </c>
      <c r="E65" s="25" t="str">
        <f aca="false">IF(Calcul!$BY$111=0,"",INDEX('Liste outils'!$J$6:$J$130,Calcul!$BY$111)&amp;"")</f>
        <v>Upcut</v>
      </c>
      <c r="F65" s="25" t="str">
        <f aca="false">IF(Calcul!$BY$111=0,"",INDEX('Liste outils'!$K$6:$K$130,Calcul!$BY$111)&amp;"")</f>
        <v>2</v>
      </c>
      <c r="G65" s="25" t="str">
        <f aca="false">IF(Calcul!$BY$111=0,"",INDEX('Liste outils'!$O$6:$O$130,Calcul!$BY$111)&amp;"")</f>
        <v>52-706</v>
      </c>
      <c r="H65" s="25" t="str">
        <f aca="false">IF(Calcul!$BY$111=0,"",INDEX('Liste outils'!$P$6:$P$130,Calcul!$BY$111)&amp;"")</f>
        <v>LMT Onsrud</v>
      </c>
      <c r="I65" s="25" t="str">
        <f aca="false">IF(Calcul!$BY$111=0,"",INDEX('Liste outils'!$AB$6:$AB$130,Calcul!$BY$111)&amp;"")</f>
        <v>A-1-I-1</v>
      </c>
      <c r="J65" s="25" t="str">
        <f aca="false">IF(Calcul!$BY$111=0,"",INDEX('Liste outils'!$AA$6:$AA$130,Calcul!$BY$111)&amp;"")</f>
        <v>Soft Plastic, Solid Surface, Foam, Soft Wood, Hard Wood</v>
      </c>
      <c r="K65" s="25" t="str">
        <f aca="false">IF(Calcul!$BY$111=0,"",INDEX('Liste outils'!$AC$6:$AC$130,Calcul!$BY$111)&amp;"")</f>
        <v>Long LOC</v>
      </c>
    </row>
    <row r="66" customFormat="false" ht="35.05" hidden="false" customHeight="false" outlineLevel="0" collapsed="false">
      <c r="A66" s="24" t="str">
        <f aca="false">IF(Calcul!$BY$112=0,"",INDEX('Liste outils'!$B$6:$B$130,Calcul!$BY$112)&amp;"")</f>
        <v>C0011</v>
      </c>
      <c r="B66" s="25" t="str">
        <f aca="false">IF(Calcul!$BY$112=0,"",INDEX('Liste outils'!$C$6:$C$130,Calcul!$BY$112)&amp;"")</f>
        <v>Cutter</v>
      </c>
      <c r="C66" s="25" t="str">
        <f aca="false">IF(Calcul!$BY$112=0,"",IF(ISNUMBER(INDEX('Liste outils'!$E$6:$E$130,Calcul!$BY$112)),IF(NOT(ISNUMBER(INDEX('Liste outils'!$E$6:$E$130,Calcul!$BY$112))),"",IF(NOT(ISNUMBER(INDEX('Liste outils'!$E$6:$E$130,Calcul!$BY$112))),"",IF(INDEX('Liste outils'!$E$6:$E$130,Calcul!$BY$112)&lt;=0,"",IF(ABS(INDEX('Liste outils'!$E$6:$E$130,Calcul!$BY$112)*64-ROUND(INDEX('Liste outils'!$E$6:$E$130,Calcul!$BY$112)*64,0))&gt;0.0005,"≈ ","")&amp;IF(INT(ROUND(INDEX('Liste outils'!$E$6:$E$130,Calcul!$BY$112)*64,0)/64)&gt;0,INT(ROUND(INDEX('Liste outils'!$E$6:$E$130,Calcul!$BY$112)*64,0)/64)&amp;IF(MOD(ROUND(INDEX('Liste outils'!$E$6:$E$130,Calcul!$BY$112)*64,0),64)&gt;0," ",""),"")&amp;IF(MOD(ROUND(INDEX('Liste outils'!$E$6:$E$130,Calcul!$BY$112)*64,0),64)&gt;0,MOD(ROUND(INDEX('Liste outils'!$E$6:$E$130,Calcul!$BY$112)*64,0),64)/GCD(MOD(ROUND(INDEX('Liste outils'!$E$6:$E$130,Calcul!$BY$112)*64,0),64),64)&amp;"/"&amp;64/GCD(MOD(ROUND(INDEX('Liste outils'!$E$6:$E$130,Calcul!$BY$112)*64,0),64),64),IF(ROUND(INDEX('Liste outils'!$E$6:$E$130,Calcul!$BY$112)*64,0)=0,"0",""))&amp;""""))&amp;" · "&amp;FIXED(INDEX('Liste outils'!$E$6:$E$130,Calcul!$BY$112),4,TRUE())&amp;" po · "&amp;FIXED(INDEX('Liste outils'!$E$6:$E$130,Calcul!$BY$112)*25.4,3,TRUE())&amp;" mm"),""))</f>
        <v>≈ 27/64" · 0.4150 po · 10.541 mm</v>
      </c>
      <c r="D66" s="25" t="str">
        <f aca="false">IF(Calcul!$BY$112=0,"",IF(ISNUMBER(INDEX('Liste outils'!$H$6:$H$130,Calcul!$BY$112)),IF(NOT(ISNUMBER(INDEX('Liste outils'!$H$6:$H$130,Calcul!$BY$112))),"",IF(NOT(ISNUMBER(INDEX('Liste outils'!$H$6:$H$130,Calcul!$BY$112))),"",IF(INDEX('Liste outils'!$H$6:$H$130,Calcul!$BY$112)&lt;=0,"",IF(ABS(INDEX('Liste outils'!$H$6:$H$130,Calcul!$BY$112)*64-ROUND(INDEX('Liste outils'!$H$6:$H$130,Calcul!$BY$112)*64,0))&gt;0.0005,"≈ ","")&amp;IF(INT(ROUND(INDEX('Liste outils'!$H$6:$H$130,Calcul!$BY$112)*64,0)/64)&gt;0,INT(ROUND(INDEX('Liste outils'!$H$6:$H$130,Calcul!$BY$112)*64,0)/64)&amp;IF(MOD(ROUND(INDEX('Liste outils'!$H$6:$H$130,Calcul!$BY$112)*64,0),64)&gt;0," ",""),"")&amp;IF(MOD(ROUND(INDEX('Liste outils'!$H$6:$H$130,Calcul!$BY$112)*64,0),64)&gt;0,MOD(ROUND(INDEX('Liste outils'!$H$6:$H$130,Calcul!$BY$112)*64,0),64)/GCD(MOD(ROUND(INDEX('Liste outils'!$H$6:$H$130,Calcul!$BY$112)*64,0),64),64)&amp;"/"&amp;64/GCD(MOD(ROUND(INDEX('Liste outils'!$H$6:$H$130,Calcul!$BY$112)*64,0),64),64),IF(ROUND(INDEX('Liste outils'!$H$6:$H$130,Calcul!$BY$112)*64,0)=0,"0",""))&amp;""""))&amp;" · "&amp;FIXED(INDEX('Liste outils'!$H$6:$H$130,Calcul!$BY$112),4,TRUE())&amp;" po · "&amp;FIXED(INDEX('Liste outils'!$H$6:$H$130,Calcul!$BY$112)*25.4,3,TRUE())&amp;" mm"),""))</f>
        <v/>
      </c>
      <c r="E66" s="25" t="str">
        <f aca="false">IF(Calcul!$BY$112=0,"",INDEX('Liste outils'!$J$6:$J$130,Calcul!$BY$112)&amp;"")</f>
        <v/>
      </c>
      <c r="F66" s="25" t="str">
        <f aca="false">IF(Calcul!$BY$112=0,"",INDEX('Liste outils'!$K$6:$K$130,Calcul!$BY$112)&amp;"")</f>
        <v/>
      </c>
      <c r="G66" s="25" t="str">
        <f aca="false">IF(Calcul!$BY$112=0,"",INDEX('Liste outils'!$O$6:$O$130,Calcul!$BY$112)&amp;"")</f>
        <v>L05MSCLPR2</v>
      </c>
      <c r="H66" s="25" t="str">
        <f aca="false">IF(Calcul!$BY$112=0,"",INDEX('Liste outils'!$P$6:$P$130,Calcul!$BY$112)&amp;"")</f>
        <v>Kennametal</v>
      </c>
      <c r="I66" s="25" t="str">
        <f aca="false">IF(Calcul!$BY$112=0,"",INDEX('Liste outils'!$AB$6:$AB$130,Calcul!$BY$112)&amp;"")</f>
        <v>A-2-F-1</v>
      </c>
      <c r="J66" s="25" t="str">
        <f aca="false">IF(Calcul!$BY$112=0,"",INDEX('Liste outils'!$AA$6:$AA$130,Calcul!$BY$112)&amp;"")</f>
        <v>I.D. Turning, I.D. Chamfering &amp; Profiling</v>
      </c>
      <c r="K66" s="25" t="str">
        <f aca="false">IF(Calcul!$BY$112=0,"",INDEX('Liste outils'!$AC$6:$AC$130,Calcul!$BY$112)&amp;"")</f>
        <v>Through Coolant, Heavy Metal Boring Bar, Material #3331042, OAL 5.995"</v>
      </c>
    </row>
    <row r="67" customFormat="false" ht="15" hidden="false" customHeight="false" outlineLevel="0" collapsed="false">
      <c r="A67" s="24" t="str">
        <f aca="false">IF(Calcul!$BY$113=0,"",INDEX('Liste outils'!$B$6:$B$130,Calcul!$BY$113)&amp;"")</f>
        <v>EM0045</v>
      </c>
      <c r="B67" s="25" t="str">
        <f aca="false">IF(Calcul!$BY$113=0,"",INDEX('Liste outils'!$C$6:$C$130,Calcul!$BY$113)&amp;"")</f>
        <v>End Mill</v>
      </c>
      <c r="C67" s="25" t="str">
        <f aca="false">IF(Calcul!$BY$113=0,"",IF(ISNUMBER(INDEX('Liste outils'!$E$6:$E$130,Calcul!$BY$113)),IF(NOT(ISNUMBER(INDEX('Liste outils'!$E$6:$E$130,Calcul!$BY$113))),"",IF(NOT(ISNUMBER(INDEX('Liste outils'!$E$6:$E$130,Calcul!$BY$113))),"",IF(INDEX('Liste outils'!$E$6:$E$130,Calcul!$BY$113)&lt;=0,"",IF(ABS(INDEX('Liste outils'!$E$6:$E$130,Calcul!$BY$113)*64-ROUND(INDEX('Liste outils'!$E$6:$E$130,Calcul!$BY$113)*64,0))&gt;0.0005,"≈ ","")&amp;IF(INT(ROUND(INDEX('Liste outils'!$E$6:$E$130,Calcul!$BY$113)*64,0)/64)&gt;0,INT(ROUND(INDEX('Liste outils'!$E$6:$E$130,Calcul!$BY$113)*64,0)/64)&amp;IF(MOD(ROUND(INDEX('Liste outils'!$E$6:$E$130,Calcul!$BY$113)*64,0),64)&gt;0," ",""),"")&amp;IF(MOD(ROUND(INDEX('Liste outils'!$E$6:$E$130,Calcul!$BY$113)*64,0),64)&gt;0,MOD(ROUND(INDEX('Liste outils'!$E$6:$E$130,Calcul!$BY$113)*64,0),64)/GCD(MOD(ROUND(INDEX('Liste outils'!$E$6:$E$130,Calcul!$BY$113)*64,0),64),64)&amp;"/"&amp;64/GCD(MOD(ROUND(INDEX('Liste outils'!$E$6:$E$130,Calcul!$BY$113)*64,0),64),64),IF(ROUND(INDEX('Liste outils'!$E$6:$E$130,Calcul!$BY$113)*64,0)=0,"0",""))&amp;""""))&amp;" · "&amp;FIXED(INDEX('Liste outils'!$E$6:$E$130,Calcul!$BY$113),4,TRUE())&amp;" po · "&amp;FIXED(INDEX('Liste outils'!$E$6:$E$130,Calcul!$BY$113)*25.4,3,TRUE())&amp;" mm"),""))</f>
        <v>1/2" · 0.5000 po · 12.700 mm</v>
      </c>
      <c r="D67" s="25" t="str">
        <f aca="false">IF(Calcul!$BY$113=0,"",IF(ISNUMBER(INDEX('Liste outils'!$H$6:$H$130,Calcul!$BY$113)),IF(NOT(ISNUMBER(INDEX('Liste outils'!$H$6:$H$130,Calcul!$BY$113))),"",IF(NOT(ISNUMBER(INDEX('Liste outils'!$H$6:$H$130,Calcul!$BY$113))),"",IF(INDEX('Liste outils'!$H$6:$H$130,Calcul!$BY$113)&lt;=0,"",IF(ABS(INDEX('Liste outils'!$H$6:$H$130,Calcul!$BY$113)*64-ROUND(INDEX('Liste outils'!$H$6:$H$130,Calcul!$BY$113)*64,0))&gt;0.0005,"≈ ","")&amp;IF(INT(ROUND(INDEX('Liste outils'!$H$6:$H$130,Calcul!$BY$113)*64,0)/64)&gt;0,INT(ROUND(INDEX('Liste outils'!$H$6:$H$130,Calcul!$BY$113)*64,0)/64)&amp;IF(MOD(ROUND(INDEX('Liste outils'!$H$6:$H$130,Calcul!$BY$113)*64,0),64)&gt;0," ",""),"")&amp;IF(MOD(ROUND(INDEX('Liste outils'!$H$6:$H$130,Calcul!$BY$113)*64,0),64)&gt;0,MOD(ROUND(INDEX('Liste outils'!$H$6:$H$130,Calcul!$BY$113)*64,0),64)/GCD(MOD(ROUND(INDEX('Liste outils'!$H$6:$H$130,Calcul!$BY$113)*64,0),64),64)&amp;"/"&amp;64/GCD(MOD(ROUND(INDEX('Liste outils'!$H$6:$H$130,Calcul!$BY$113)*64,0),64),64),IF(ROUND(INDEX('Liste outils'!$H$6:$H$130,Calcul!$BY$113)*64,0)=0,"0",""))&amp;""""))&amp;" · "&amp;FIXED(INDEX('Liste outils'!$H$6:$H$130,Calcul!$BY$113),4,TRUE())&amp;" po · "&amp;FIXED(INDEX('Liste outils'!$H$6:$H$130,Calcul!$BY$113)*25.4,3,TRUE())&amp;" mm"),""))</f>
        <v/>
      </c>
      <c r="E67" s="25" t="str">
        <f aca="false">IF(Calcul!$BY$113=0,"",INDEX('Liste outils'!$J$6:$J$130,Calcul!$BY$113)&amp;"")</f>
        <v>Right</v>
      </c>
      <c r="F67" s="25" t="str">
        <f aca="false">IF(Calcul!$BY$113=0,"",INDEX('Liste outils'!$K$6:$K$130,Calcul!$BY$113)&amp;"")</f>
        <v>1</v>
      </c>
      <c r="G67" s="25" t="str">
        <f aca="false">IF(Calcul!$BY$113=0,"",INDEX('Liste outils'!$O$6:$O$130,Calcul!$BY$113)&amp;"")</f>
        <v>700-5002</v>
      </c>
      <c r="H67" s="25" t="str">
        <f aca="false">IF(Calcul!$BY$113=0,"",INDEX('Liste outils'!$P$6:$P$130,Calcul!$BY$113)&amp;"")</f>
        <v>OSG</v>
      </c>
      <c r="I67" s="25" t="str">
        <f aca="false">IF(Calcul!$BY$113=0,"",INDEX('Liste outils'!$AB$6:$AB$130,Calcul!$BY$113)&amp;"")</f>
        <v>A-1-J-1</v>
      </c>
      <c r="J67" s="25" t="str">
        <f aca="false">IF(Calcul!$BY$113=0,"",INDEX('Liste outils'!$AA$6:$AA$130,Calcul!$BY$113)&amp;"")</f>
        <v>Steel, Cast Iron, Non-Ferrous Metal</v>
      </c>
      <c r="K67" s="25" t="str">
        <f aca="false">IF(Calcul!$BY$113=0,"",INDEX('Liste outils'!$AC$6:$AC$130,Calcul!$BY$113)&amp;"")</f>
        <v>Countersink  90º</v>
      </c>
    </row>
    <row r="68" customFormat="false" ht="15" hidden="false" customHeight="false" outlineLevel="0" collapsed="false">
      <c r="A68" s="24" t="str">
        <f aca="false">IF(Calcul!$BY$114=0,"",INDEX('Liste outils'!$B$6:$B$130,Calcul!$BY$114)&amp;"")</f>
        <v>EM0046</v>
      </c>
      <c r="B68" s="25" t="str">
        <f aca="false">IF(Calcul!$BY$114=0,"",INDEX('Liste outils'!$C$6:$C$130,Calcul!$BY$114)&amp;"")</f>
        <v>End Mill</v>
      </c>
      <c r="C68" s="25" t="str">
        <f aca="false">IF(Calcul!$BY$114=0,"",IF(ISNUMBER(INDEX('Liste outils'!$E$6:$E$130,Calcul!$BY$114)),IF(NOT(ISNUMBER(INDEX('Liste outils'!$E$6:$E$130,Calcul!$BY$114))),"",IF(NOT(ISNUMBER(INDEX('Liste outils'!$E$6:$E$130,Calcul!$BY$114))),"",IF(INDEX('Liste outils'!$E$6:$E$130,Calcul!$BY$114)&lt;=0,"",IF(ABS(INDEX('Liste outils'!$E$6:$E$130,Calcul!$BY$114)*64-ROUND(INDEX('Liste outils'!$E$6:$E$130,Calcul!$BY$114)*64,0))&gt;0.0005,"≈ ","")&amp;IF(INT(ROUND(INDEX('Liste outils'!$E$6:$E$130,Calcul!$BY$114)*64,0)/64)&gt;0,INT(ROUND(INDEX('Liste outils'!$E$6:$E$130,Calcul!$BY$114)*64,0)/64)&amp;IF(MOD(ROUND(INDEX('Liste outils'!$E$6:$E$130,Calcul!$BY$114)*64,0),64)&gt;0," ",""),"")&amp;IF(MOD(ROUND(INDEX('Liste outils'!$E$6:$E$130,Calcul!$BY$114)*64,0),64)&gt;0,MOD(ROUND(INDEX('Liste outils'!$E$6:$E$130,Calcul!$BY$114)*64,0),64)/GCD(MOD(ROUND(INDEX('Liste outils'!$E$6:$E$130,Calcul!$BY$114)*64,0),64),64)&amp;"/"&amp;64/GCD(MOD(ROUND(INDEX('Liste outils'!$E$6:$E$130,Calcul!$BY$114)*64,0),64),64),IF(ROUND(INDEX('Liste outils'!$E$6:$E$130,Calcul!$BY$114)*64,0)=0,"0",""))&amp;""""))&amp;" · "&amp;FIXED(INDEX('Liste outils'!$E$6:$E$130,Calcul!$BY$114),4,TRUE())&amp;" po · "&amp;FIXED(INDEX('Liste outils'!$E$6:$E$130,Calcul!$BY$114)*25.4,3,TRUE())&amp;" mm"),""))</f>
        <v>1/2" · 0.5000 po · 12.700 mm</v>
      </c>
      <c r="D68" s="25" t="str">
        <f aca="false">IF(Calcul!$BY$114=0,"",IF(ISNUMBER(INDEX('Liste outils'!$H$6:$H$130,Calcul!$BY$114)),IF(NOT(ISNUMBER(INDEX('Liste outils'!$H$6:$H$130,Calcul!$BY$114))),"",IF(NOT(ISNUMBER(INDEX('Liste outils'!$H$6:$H$130,Calcul!$BY$114))),"",IF(INDEX('Liste outils'!$H$6:$H$130,Calcul!$BY$114)&lt;=0,"",IF(ABS(INDEX('Liste outils'!$H$6:$H$130,Calcul!$BY$114)*64-ROUND(INDEX('Liste outils'!$H$6:$H$130,Calcul!$BY$114)*64,0))&gt;0.0005,"≈ ","")&amp;IF(INT(ROUND(INDEX('Liste outils'!$H$6:$H$130,Calcul!$BY$114)*64,0)/64)&gt;0,INT(ROUND(INDEX('Liste outils'!$H$6:$H$130,Calcul!$BY$114)*64,0)/64)&amp;IF(MOD(ROUND(INDEX('Liste outils'!$H$6:$H$130,Calcul!$BY$114)*64,0),64)&gt;0," ",""),"")&amp;IF(MOD(ROUND(INDEX('Liste outils'!$H$6:$H$130,Calcul!$BY$114)*64,0),64)&gt;0,MOD(ROUND(INDEX('Liste outils'!$H$6:$H$130,Calcul!$BY$114)*64,0),64)/GCD(MOD(ROUND(INDEX('Liste outils'!$H$6:$H$130,Calcul!$BY$114)*64,0),64),64)&amp;"/"&amp;64/GCD(MOD(ROUND(INDEX('Liste outils'!$H$6:$H$130,Calcul!$BY$114)*64,0),64),64),IF(ROUND(INDEX('Liste outils'!$H$6:$H$130,Calcul!$BY$114)*64,0)=0,"0",""))&amp;""""))&amp;" · "&amp;FIXED(INDEX('Liste outils'!$H$6:$H$130,Calcul!$BY$114),4,TRUE())&amp;" po · "&amp;FIXED(INDEX('Liste outils'!$H$6:$H$130,Calcul!$BY$114)*25.4,3,TRUE())&amp;" mm"),""))</f>
        <v/>
      </c>
      <c r="E68" s="25" t="str">
        <f aca="false">IF(Calcul!$BY$114=0,"",INDEX('Liste outils'!$J$6:$J$130,Calcul!$BY$114)&amp;"")</f>
        <v>Right</v>
      </c>
      <c r="F68" s="25" t="str">
        <f aca="false">IF(Calcul!$BY$114=0,"",INDEX('Liste outils'!$K$6:$K$130,Calcul!$BY$114)&amp;"")</f>
        <v>1</v>
      </c>
      <c r="G68" s="25" t="str">
        <f aca="false">IF(Calcul!$BY$114=0,"",INDEX('Liste outils'!$O$6:$O$130,Calcul!$BY$114)&amp;"")</f>
        <v>700-5001</v>
      </c>
      <c r="H68" s="25" t="str">
        <f aca="false">IF(Calcul!$BY$114=0,"",INDEX('Liste outils'!$P$6:$P$130,Calcul!$BY$114)&amp;"")</f>
        <v>OSG</v>
      </c>
      <c r="I68" s="25" t="str">
        <f aca="false">IF(Calcul!$BY$114=0,"",INDEX('Liste outils'!$AB$6:$AB$130,Calcul!$BY$114)&amp;"")</f>
        <v>A-1-J-1</v>
      </c>
      <c r="J68" s="25" t="str">
        <f aca="false">IF(Calcul!$BY$114=0,"",INDEX('Liste outils'!$AA$6:$AA$130,Calcul!$BY$114)&amp;"")</f>
        <v>Steel, Cast Iron, Non-Ferrous Metal</v>
      </c>
      <c r="K68" s="25" t="str">
        <f aca="false">IF(Calcul!$BY$114=0,"",INDEX('Liste outils'!$AC$6:$AC$130,Calcul!$BY$114)&amp;"")</f>
        <v>Countersink  82º</v>
      </c>
    </row>
    <row r="69" customFormat="false" ht="15" hidden="false" customHeight="false" outlineLevel="0" collapsed="false">
      <c r="A69" s="24" t="str">
        <f aca="false">IF(Calcul!$BY$115=0,"",INDEX('Liste outils'!$B$6:$B$130,Calcul!$BY$115)&amp;"")</f>
        <v>C0015</v>
      </c>
      <c r="B69" s="25" t="str">
        <f aca="false">IF(Calcul!$BY$115=0,"",INDEX('Liste outils'!$C$6:$C$130,Calcul!$BY$115)&amp;"")</f>
        <v>Cutter</v>
      </c>
      <c r="C69" s="25" t="str">
        <f aca="false">IF(Calcul!$BY$115=0,"",IF(ISNUMBER(INDEX('Liste outils'!$E$6:$E$130,Calcul!$BY$115)),IF(NOT(ISNUMBER(INDEX('Liste outils'!$E$6:$E$130,Calcul!$BY$115))),"",IF(NOT(ISNUMBER(INDEX('Liste outils'!$E$6:$E$130,Calcul!$BY$115))),"",IF(INDEX('Liste outils'!$E$6:$E$130,Calcul!$BY$115)&lt;=0,"",IF(ABS(INDEX('Liste outils'!$E$6:$E$130,Calcul!$BY$115)*64-ROUND(INDEX('Liste outils'!$E$6:$E$130,Calcul!$BY$115)*64,0))&gt;0.0005,"≈ ","")&amp;IF(INT(ROUND(INDEX('Liste outils'!$E$6:$E$130,Calcul!$BY$115)*64,0)/64)&gt;0,INT(ROUND(INDEX('Liste outils'!$E$6:$E$130,Calcul!$BY$115)*64,0)/64)&amp;IF(MOD(ROUND(INDEX('Liste outils'!$E$6:$E$130,Calcul!$BY$115)*64,0),64)&gt;0," ",""),"")&amp;IF(MOD(ROUND(INDEX('Liste outils'!$E$6:$E$130,Calcul!$BY$115)*64,0),64)&gt;0,MOD(ROUND(INDEX('Liste outils'!$E$6:$E$130,Calcul!$BY$115)*64,0),64)/GCD(MOD(ROUND(INDEX('Liste outils'!$E$6:$E$130,Calcul!$BY$115)*64,0),64),64)&amp;"/"&amp;64/GCD(MOD(ROUND(INDEX('Liste outils'!$E$6:$E$130,Calcul!$BY$115)*64,0),64),64),IF(ROUND(INDEX('Liste outils'!$E$6:$E$130,Calcul!$BY$115)*64,0)=0,"0",""))&amp;""""))&amp;" · "&amp;FIXED(INDEX('Liste outils'!$E$6:$E$130,Calcul!$BY$115),4,TRUE())&amp;" po · "&amp;FIXED(INDEX('Liste outils'!$E$6:$E$130,Calcul!$BY$115)*25.4,3,TRUE())&amp;" mm"),""))</f>
        <v>1/2" · 0.5000 po · 12.700 mm</v>
      </c>
      <c r="D69" s="25" t="str">
        <f aca="false">IF(Calcul!$BY$115=0,"",IF(ISNUMBER(INDEX('Liste outils'!$H$6:$H$130,Calcul!$BY$115)),IF(NOT(ISNUMBER(INDEX('Liste outils'!$H$6:$H$130,Calcul!$BY$115))),"",IF(NOT(ISNUMBER(INDEX('Liste outils'!$H$6:$H$130,Calcul!$BY$115))),"",IF(INDEX('Liste outils'!$H$6:$H$130,Calcul!$BY$115)&lt;=0,"",IF(ABS(INDEX('Liste outils'!$H$6:$H$130,Calcul!$BY$115)*64-ROUND(INDEX('Liste outils'!$H$6:$H$130,Calcul!$BY$115)*64,0))&gt;0.0005,"≈ ","")&amp;IF(INT(ROUND(INDEX('Liste outils'!$H$6:$H$130,Calcul!$BY$115)*64,0)/64)&gt;0,INT(ROUND(INDEX('Liste outils'!$H$6:$H$130,Calcul!$BY$115)*64,0)/64)&amp;IF(MOD(ROUND(INDEX('Liste outils'!$H$6:$H$130,Calcul!$BY$115)*64,0),64)&gt;0," ",""),"")&amp;IF(MOD(ROUND(INDEX('Liste outils'!$H$6:$H$130,Calcul!$BY$115)*64,0),64)&gt;0,MOD(ROUND(INDEX('Liste outils'!$H$6:$H$130,Calcul!$BY$115)*64,0),64)/GCD(MOD(ROUND(INDEX('Liste outils'!$H$6:$H$130,Calcul!$BY$115)*64,0),64),64)&amp;"/"&amp;64/GCD(MOD(ROUND(INDEX('Liste outils'!$H$6:$H$130,Calcul!$BY$115)*64,0),64),64),IF(ROUND(INDEX('Liste outils'!$H$6:$H$130,Calcul!$BY$115)*64,0)=0,"0",""))&amp;""""))&amp;" · "&amp;FIXED(INDEX('Liste outils'!$H$6:$H$130,Calcul!$BY$115),4,TRUE())&amp;" po · "&amp;FIXED(INDEX('Liste outils'!$H$6:$H$130,Calcul!$BY$115)*25.4,3,TRUE())&amp;" mm"),""))</f>
        <v/>
      </c>
      <c r="E69" s="25" t="str">
        <f aca="false">IF(Calcul!$BY$115=0,"",INDEX('Liste outils'!$J$6:$J$130,Calcul!$BY$115)&amp;"")</f>
        <v>Right</v>
      </c>
      <c r="F69" s="25" t="str">
        <f aca="false">IF(Calcul!$BY$115=0,"",INDEX('Liste outils'!$K$6:$K$130,Calcul!$BY$115)&amp;"")</f>
        <v/>
      </c>
      <c r="G69" s="25" t="str">
        <f aca="false">IF(Calcul!$BY$115=0,"",INDEX('Liste outils'!$O$6:$O$130,Calcul!$BY$115)&amp;"")</f>
        <v>A08M-SCLCR 2-R</v>
      </c>
      <c r="H69" s="25" t="str">
        <f aca="false">IF(Calcul!$BY$115=0,"",INDEX('Liste outils'!$P$6:$P$130,Calcul!$BY$115)&amp;"")</f>
        <v>SANDVIK</v>
      </c>
      <c r="I69" s="25" t="str">
        <f aca="false">IF(Calcul!$BY$115=0,"",INDEX('Liste outils'!$AB$6:$AB$130,Calcul!$BY$115)&amp;"")</f>
        <v>A-2-F-3</v>
      </c>
      <c r="J69" s="25" t="str">
        <f aca="false">IF(Calcul!$BY$115=0,"",INDEX('Liste outils'!$AA$6:$AA$130,Calcul!$BY$115)&amp;"")</f>
        <v/>
      </c>
      <c r="K69" s="25" t="str">
        <f aca="false">IF(Calcul!$BY$115=0,"",INDEX('Liste outils'!$AC$6:$AC$130,Calcul!$BY$115)&amp;"")</f>
        <v/>
      </c>
    </row>
    <row r="70" customFormat="false" ht="15" hidden="false" customHeight="false" outlineLevel="0" collapsed="false">
      <c r="A70" s="24" t="str">
        <f aca="false">IF(Calcul!$BY$116=0,"",INDEX('Liste outils'!$B$6:$B$130,Calcul!$BY$116)&amp;"")</f>
        <v>C0013</v>
      </c>
      <c r="B70" s="25" t="str">
        <f aca="false">IF(Calcul!$BY$116=0,"",INDEX('Liste outils'!$C$6:$C$130,Calcul!$BY$116)&amp;"")</f>
        <v>Cutter</v>
      </c>
      <c r="C70" s="25" t="str">
        <f aca="false">IF(Calcul!$BY$116=0,"",IF(ISNUMBER(INDEX('Liste outils'!$E$6:$E$130,Calcul!$BY$116)),IF(NOT(ISNUMBER(INDEX('Liste outils'!$E$6:$E$130,Calcul!$BY$116))),"",IF(NOT(ISNUMBER(INDEX('Liste outils'!$E$6:$E$130,Calcul!$BY$116))),"",IF(INDEX('Liste outils'!$E$6:$E$130,Calcul!$BY$116)&lt;=0,"",IF(ABS(INDEX('Liste outils'!$E$6:$E$130,Calcul!$BY$116)*64-ROUND(INDEX('Liste outils'!$E$6:$E$130,Calcul!$BY$116)*64,0))&gt;0.0005,"≈ ","")&amp;IF(INT(ROUND(INDEX('Liste outils'!$E$6:$E$130,Calcul!$BY$116)*64,0)/64)&gt;0,INT(ROUND(INDEX('Liste outils'!$E$6:$E$130,Calcul!$BY$116)*64,0)/64)&amp;IF(MOD(ROUND(INDEX('Liste outils'!$E$6:$E$130,Calcul!$BY$116)*64,0),64)&gt;0," ",""),"")&amp;IF(MOD(ROUND(INDEX('Liste outils'!$E$6:$E$130,Calcul!$BY$116)*64,0),64)&gt;0,MOD(ROUND(INDEX('Liste outils'!$E$6:$E$130,Calcul!$BY$116)*64,0),64)/GCD(MOD(ROUND(INDEX('Liste outils'!$E$6:$E$130,Calcul!$BY$116)*64,0),64),64)&amp;"/"&amp;64/GCD(MOD(ROUND(INDEX('Liste outils'!$E$6:$E$130,Calcul!$BY$116)*64,0),64),64),IF(ROUND(INDEX('Liste outils'!$E$6:$E$130,Calcul!$BY$116)*64,0)=0,"0",""))&amp;""""))&amp;" · "&amp;FIXED(INDEX('Liste outils'!$E$6:$E$130,Calcul!$BY$116),4,TRUE())&amp;" po · "&amp;FIXED(INDEX('Liste outils'!$E$6:$E$130,Calcul!$BY$116)*25.4,3,TRUE())&amp;" mm"),""))</f>
        <v>≈ 35/64" · 0.5512 po · 14.000 mm</v>
      </c>
      <c r="D70" s="25" t="str">
        <f aca="false">IF(Calcul!$BY$116=0,"",IF(ISNUMBER(INDEX('Liste outils'!$H$6:$H$130,Calcul!$BY$116)),IF(NOT(ISNUMBER(INDEX('Liste outils'!$H$6:$H$130,Calcul!$BY$116))),"",IF(NOT(ISNUMBER(INDEX('Liste outils'!$H$6:$H$130,Calcul!$BY$116))),"",IF(INDEX('Liste outils'!$H$6:$H$130,Calcul!$BY$116)&lt;=0,"",IF(ABS(INDEX('Liste outils'!$H$6:$H$130,Calcul!$BY$116)*64-ROUND(INDEX('Liste outils'!$H$6:$H$130,Calcul!$BY$116)*64,0))&gt;0.0005,"≈ ","")&amp;IF(INT(ROUND(INDEX('Liste outils'!$H$6:$H$130,Calcul!$BY$116)*64,0)/64)&gt;0,INT(ROUND(INDEX('Liste outils'!$H$6:$H$130,Calcul!$BY$116)*64,0)/64)&amp;IF(MOD(ROUND(INDEX('Liste outils'!$H$6:$H$130,Calcul!$BY$116)*64,0),64)&gt;0," ",""),"")&amp;IF(MOD(ROUND(INDEX('Liste outils'!$H$6:$H$130,Calcul!$BY$116)*64,0),64)&gt;0,MOD(ROUND(INDEX('Liste outils'!$H$6:$H$130,Calcul!$BY$116)*64,0),64)/GCD(MOD(ROUND(INDEX('Liste outils'!$H$6:$H$130,Calcul!$BY$116)*64,0),64),64)&amp;"/"&amp;64/GCD(MOD(ROUND(INDEX('Liste outils'!$H$6:$H$130,Calcul!$BY$116)*64,0),64),64),IF(ROUND(INDEX('Liste outils'!$H$6:$H$130,Calcul!$BY$116)*64,0)=0,"0",""))&amp;""""))&amp;" · "&amp;FIXED(INDEX('Liste outils'!$H$6:$H$130,Calcul!$BY$116),4,TRUE())&amp;" po · "&amp;FIXED(INDEX('Liste outils'!$H$6:$H$130,Calcul!$BY$116)*25.4,3,TRUE())&amp;" mm"),""))</f>
        <v/>
      </c>
      <c r="E70" s="25" t="str">
        <f aca="false">IF(Calcul!$BY$116=0,"",INDEX('Liste outils'!$J$6:$J$130,Calcul!$BY$116)&amp;"")</f>
        <v/>
      </c>
      <c r="F70" s="25" t="str">
        <f aca="false">IF(Calcul!$BY$116=0,"",INDEX('Liste outils'!$K$6:$K$130,Calcul!$BY$116)&amp;"")</f>
        <v/>
      </c>
      <c r="G70" s="25" t="str">
        <f aca="false">IF(Calcul!$BY$116=0,"",INDEX('Liste outils'!$O$6:$O$130,Calcul!$BY$116)&amp;"")</f>
        <v>CXS-A0625-05</v>
      </c>
      <c r="H70" s="25" t="str">
        <f aca="false">IF(Calcul!$BY$116=0,"",INDEX('Liste outils'!$P$6:$P$130,Calcul!$BY$116)&amp;"")</f>
        <v>SANDVIK</v>
      </c>
      <c r="I70" s="25" t="str">
        <f aca="false">IF(Calcul!$BY$116=0,"",INDEX('Liste outils'!$AB$6:$AB$130,Calcul!$BY$116)&amp;"")</f>
        <v>A-2-E-1</v>
      </c>
      <c r="J70" s="25" t="str">
        <f aca="false">IF(Calcul!$BY$116=0,"",INDEX('Liste outils'!$AA$6:$AA$130,Calcul!$BY$116)&amp;"")</f>
        <v/>
      </c>
      <c r="K70" s="25" t="str">
        <f aca="false">IF(Calcul!$BY$116=0,"",INDEX('Liste outils'!$AC$6:$AC$130,Calcul!$BY$116)&amp;"")</f>
        <v/>
      </c>
    </row>
    <row r="71" customFormat="false" ht="15" hidden="false" customHeight="false" outlineLevel="0" collapsed="false">
      <c r="A71" s="24" t="str">
        <f aca="false">IF(Calcul!$BY$117=0,"",INDEX('Liste outils'!$B$6:$B$130,Calcul!$BY$117)&amp;"")</f>
        <v>C0017</v>
      </c>
      <c r="B71" s="25" t="str">
        <f aca="false">IF(Calcul!$BY$117=0,"",INDEX('Liste outils'!$C$6:$C$130,Calcul!$BY$117)&amp;"")</f>
        <v>Cutter</v>
      </c>
      <c r="C71" s="25" t="str">
        <f aca="false">IF(Calcul!$BY$117=0,"",IF(ISNUMBER(INDEX('Liste outils'!$E$6:$E$130,Calcul!$BY$117)),IF(NOT(ISNUMBER(INDEX('Liste outils'!$E$6:$E$130,Calcul!$BY$117))),"",IF(NOT(ISNUMBER(INDEX('Liste outils'!$E$6:$E$130,Calcul!$BY$117))),"",IF(INDEX('Liste outils'!$E$6:$E$130,Calcul!$BY$117)&lt;=0,"",IF(ABS(INDEX('Liste outils'!$E$6:$E$130,Calcul!$BY$117)*64-ROUND(INDEX('Liste outils'!$E$6:$E$130,Calcul!$BY$117)*64,0))&gt;0.0005,"≈ ","")&amp;IF(INT(ROUND(INDEX('Liste outils'!$E$6:$E$130,Calcul!$BY$117)*64,0)/64)&gt;0,INT(ROUND(INDEX('Liste outils'!$E$6:$E$130,Calcul!$BY$117)*64,0)/64)&amp;IF(MOD(ROUND(INDEX('Liste outils'!$E$6:$E$130,Calcul!$BY$117)*64,0),64)&gt;0," ",""),"")&amp;IF(MOD(ROUND(INDEX('Liste outils'!$E$6:$E$130,Calcul!$BY$117)*64,0),64)&gt;0,MOD(ROUND(INDEX('Liste outils'!$E$6:$E$130,Calcul!$BY$117)*64,0),64)/GCD(MOD(ROUND(INDEX('Liste outils'!$E$6:$E$130,Calcul!$BY$117)*64,0),64),64)&amp;"/"&amp;64/GCD(MOD(ROUND(INDEX('Liste outils'!$E$6:$E$130,Calcul!$BY$117)*64,0),64),64),IF(ROUND(INDEX('Liste outils'!$E$6:$E$130,Calcul!$BY$117)*64,0)=0,"0",""))&amp;""""))&amp;" · "&amp;FIXED(INDEX('Liste outils'!$E$6:$E$130,Calcul!$BY$117),4,TRUE())&amp;" po · "&amp;FIXED(INDEX('Liste outils'!$E$6:$E$130,Calcul!$BY$117)*25.4,3,TRUE())&amp;" mm"),""))</f>
        <v>≈ 43/64" · 0.6750 po · 17.145 mm</v>
      </c>
      <c r="D71" s="25" t="str">
        <f aca="false">IF(Calcul!$BY$117=0,"",IF(ISNUMBER(INDEX('Liste outils'!$H$6:$H$130,Calcul!$BY$117)),IF(NOT(ISNUMBER(INDEX('Liste outils'!$H$6:$H$130,Calcul!$BY$117))),"",IF(NOT(ISNUMBER(INDEX('Liste outils'!$H$6:$H$130,Calcul!$BY$117))),"",IF(INDEX('Liste outils'!$H$6:$H$130,Calcul!$BY$117)&lt;=0,"",IF(ABS(INDEX('Liste outils'!$H$6:$H$130,Calcul!$BY$117)*64-ROUND(INDEX('Liste outils'!$H$6:$H$130,Calcul!$BY$117)*64,0))&gt;0.0005,"≈ ","")&amp;IF(INT(ROUND(INDEX('Liste outils'!$H$6:$H$130,Calcul!$BY$117)*64,0)/64)&gt;0,INT(ROUND(INDEX('Liste outils'!$H$6:$H$130,Calcul!$BY$117)*64,0)/64)&amp;IF(MOD(ROUND(INDEX('Liste outils'!$H$6:$H$130,Calcul!$BY$117)*64,0),64)&gt;0," ",""),"")&amp;IF(MOD(ROUND(INDEX('Liste outils'!$H$6:$H$130,Calcul!$BY$117)*64,0),64)&gt;0,MOD(ROUND(INDEX('Liste outils'!$H$6:$H$130,Calcul!$BY$117)*64,0),64)/GCD(MOD(ROUND(INDEX('Liste outils'!$H$6:$H$130,Calcul!$BY$117)*64,0),64),64)&amp;"/"&amp;64/GCD(MOD(ROUND(INDEX('Liste outils'!$H$6:$H$130,Calcul!$BY$117)*64,0),64),64),IF(ROUND(INDEX('Liste outils'!$H$6:$H$130,Calcul!$BY$117)*64,0)=0,"0",""))&amp;""""))&amp;" · "&amp;FIXED(INDEX('Liste outils'!$H$6:$H$130,Calcul!$BY$117),4,TRUE())&amp;" po · "&amp;FIXED(INDEX('Liste outils'!$H$6:$H$130,Calcul!$BY$117)*25.4,3,TRUE())&amp;" mm"),""))</f>
        <v>1 7/8" · 1.8750 po · 47.625 mm</v>
      </c>
      <c r="E71" s="25" t="str">
        <f aca="false">IF(Calcul!$BY$117=0,"",INDEX('Liste outils'!$J$6:$J$130,Calcul!$BY$117)&amp;"")</f>
        <v>Right</v>
      </c>
      <c r="F71" s="25" t="str">
        <f aca="false">IF(Calcul!$BY$117=0,"",INDEX('Liste outils'!$K$6:$K$130,Calcul!$BY$117)&amp;"")</f>
        <v>2</v>
      </c>
      <c r="G71" s="25" t="str">
        <f aca="false">IF(Calcul!$BY$117=0,"",INDEX('Liste outils'!$O$6:$O$130,Calcul!$BY$117)&amp;"")</f>
        <v>DFPR0625R3WB075</v>
      </c>
      <c r="H71" s="25" t="str">
        <f aca="false">IF(Calcul!$BY$117=0,"",INDEX('Liste outils'!$P$6:$P$130,Calcul!$BY$117)&amp;"")</f>
        <v>KENNAMTEL</v>
      </c>
      <c r="I71" s="25" t="str">
        <f aca="false">IF(Calcul!$BY$117=0,"",INDEX('Liste outils'!$AB$6:$AB$130,Calcul!$BY$117)&amp;"")</f>
        <v>A-2-N-2</v>
      </c>
      <c r="J71" s="25" t="str">
        <f aca="false">IF(Calcul!$BY$117=0,"",INDEX('Liste outils'!$AA$6:$AA$130,Calcul!$BY$117)&amp;"")</f>
        <v/>
      </c>
      <c r="K71" s="25" t="str">
        <f aca="false">IF(Calcul!$BY$117=0,"",INDEX('Liste outils'!$AC$6:$AC$130,Calcul!$BY$117)&amp;"")</f>
        <v>DRILL COOLANT THROUGH</v>
      </c>
    </row>
    <row r="72" customFormat="false" ht="15" hidden="false" customHeight="false" outlineLevel="0" collapsed="false">
      <c r="A72" s="24" t="str">
        <f aca="false">IF(Calcul!$BY$118=0,"",INDEX('Liste outils'!$B$6:$B$130,Calcul!$BY$118)&amp;"")</f>
        <v>EM0035</v>
      </c>
      <c r="B72" s="25" t="str">
        <f aca="false">IF(Calcul!$BY$118=0,"",INDEX('Liste outils'!$C$6:$C$130,Calcul!$BY$118)&amp;"")</f>
        <v>End Mill</v>
      </c>
      <c r="C72" s="25" t="str">
        <f aca="false">IF(Calcul!$BY$118=0,"",IF(ISNUMBER(INDEX('Liste outils'!$E$6:$E$130,Calcul!$BY$118)),IF(NOT(ISNUMBER(INDEX('Liste outils'!$E$6:$E$130,Calcul!$BY$118))),"",IF(NOT(ISNUMBER(INDEX('Liste outils'!$E$6:$E$130,Calcul!$BY$118))),"",IF(INDEX('Liste outils'!$E$6:$E$130,Calcul!$BY$118)&lt;=0,"",IF(ABS(INDEX('Liste outils'!$E$6:$E$130,Calcul!$BY$118)*64-ROUND(INDEX('Liste outils'!$E$6:$E$130,Calcul!$BY$118)*64,0))&gt;0.0005,"≈ ","")&amp;IF(INT(ROUND(INDEX('Liste outils'!$E$6:$E$130,Calcul!$BY$118)*64,0)/64)&gt;0,INT(ROUND(INDEX('Liste outils'!$E$6:$E$130,Calcul!$BY$118)*64,0)/64)&amp;IF(MOD(ROUND(INDEX('Liste outils'!$E$6:$E$130,Calcul!$BY$118)*64,0),64)&gt;0," ",""),"")&amp;IF(MOD(ROUND(INDEX('Liste outils'!$E$6:$E$130,Calcul!$BY$118)*64,0),64)&gt;0,MOD(ROUND(INDEX('Liste outils'!$E$6:$E$130,Calcul!$BY$118)*64,0),64)/GCD(MOD(ROUND(INDEX('Liste outils'!$E$6:$E$130,Calcul!$BY$118)*64,0),64),64)&amp;"/"&amp;64/GCD(MOD(ROUND(INDEX('Liste outils'!$E$6:$E$130,Calcul!$BY$118)*64,0),64),64),IF(ROUND(INDEX('Liste outils'!$E$6:$E$130,Calcul!$BY$118)*64,0)=0,"0",""))&amp;""""))&amp;" · "&amp;FIXED(INDEX('Liste outils'!$E$6:$E$130,Calcul!$BY$118),4,TRUE())&amp;" po · "&amp;FIXED(INDEX('Liste outils'!$E$6:$E$130,Calcul!$BY$118)*25.4,3,TRUE())&amp;" mm"),""))</f>
        <v>3/4" · 0.7500 po · 19.050 mm</v>
      </c>
      <c r="D72" s="25" t="str">
        <f aca="false">IF(Calcul!$BY$118=0,"",IF(ISNUMBER(INDEX('Liste outils'!$H$6:$H$130,Calcul!$BY$118)),IF(NOT(ISNUMBER(INDEX('Liste outils'!$H$6:$H$130,Calcul!$BY$118))),"",IF(NOT(ISNUMBER(INDEX('Liste outils'!$H$6:$H$130,Calcul!$BY$118))),"",IF(INDEX('Liste outils'!$H$6:$H$130,Calcul!$BY$118)&lt;=0,"",IF(ABS(INDEX('Liste outils'!$H$6:$H$130,Calcul!$BY$118)*64-ROUND(INDEX('Liste outils'!$H$6:$H$130,Calcul!$BY$118)*64,0))&gt;0.0005,"≈ ","")&amp;IF(INT(ROUND(INDEX('Liste outils'!$H$6:$H$130,Calcul!$BY$118)*64,0)/64)&gt;0,INT(ROUND(INDEX('Liste outils'!$H$6:$H$130,Calcul!$BY$118)*64,0)/64)&amp;IF(MOD(ROUND(INDEX('Liste outils'!$H$6:$H$130,Calcul!$BY$118)*64,0),64)&gt;0," ",""),"")&amp;IF(MOD(ROUND(INDEX('Liste outils'!$H$6:$H$130,Calcul!$BY$118)*64,0),64)&gt;0,MOD(ROUND(INDEX('Liste outils'!$H$6:$H$130,Calcul!$BY$118)*64,0),64)/GCD(MOD(ROUND(INDEX('Liste outils'!$H$6:$H$130,Calcul!$BY$118)*64,0),64),64)&amp;"/"&amp;64/GCD(MOD(ROUND(INDEX('Liste outils'!$H$6:$H$130,Calcul!$BY$118)*64,0),64),64),IF(ROUND(INDEX('Liste outils'!$H$6:$H$130,Calcul!$BY$118)*64,0)=0,"0",""))&amp;""""))&amp;" · "&amp;FIXED(INDEX('Liste outils'!$H$6:$H$130,Calcul!$BY$118),4,TRUE())&amp;" po · "&amp;FIXED(INDEX('Liste outils'!$H$6:$H$130,Calcul!$BY$118)*25.4,3,TRUE())&amp;" mm"),""))</f>
        <v>≈ 15/64" · 0.2400 po · 6.096 mm</v>
      </c>
      <c r="E72" s="25" t="str">
        <f aca="false">IF(Calcul!$BY$118=0,"",INDEX('Liste outils'!$J$6:$J$130,Calcul!$BY$118)&amp;"")</f>
        <v/>
      </c>
      <c r="F72" s="25" t="str">
        <f aca="false">IF(Calcul!$BY$118=0,"",INDEX('Liste outils'!$K$6:$K$130,Calcul!$BY$118)&amp;"")</f>
        <v>10</v>
      </c>
      <c r="G72" s="25" t="str">
        <f aca="false">IF(Calcul!$BY$118=0,"",INDEX('Liste outils'!$O$6:$O$130,Calcul!$BY$118)&amp;"")</f>
        <v>899840</v>
      </c>
      <c r="H72" s="25" t="str">
        <f aca="false">IF(Calcul!$BY$118=0,"",INDEX('Liste outils'!$P$6:$P$130,Calcul!$BY$118)&amp;"")</f>
        <v>Harvey Tool</v>
      </c>
      <c r="I72" s="25" t="str">
        <f aca="false">IF(Calcul!$BY$118=0,"",INDEX('Liste outils'!$AB$6:$AB$130,Calcul!$BY$118)&amp;"")</f>
        <v>A-1-K-2</v>
      </c>
      <c r="J72" s="25" t="str">
        <f aca="false">IF(Calcul!$BY$118=0,"",INDEX('Liste outils'!$AA$6:$AA$130,Calcul!$BY$118)&amp;"")</f>
        <v>Plastic</v>
      </c>
      <c r="K72" s="25" t="str">
        <f aca="false">IF(Calcul!$BY$118=0,"",INDEX('Liste outils'!$AC$6:$AC$130,Calcul!$BY$118)&amp;"")</f>
        <v>KeySeat</v>
      </c>
    </row>
    <row r="73" customFormat="false" ht="15" hidden="false" customHeight="false" outlineLevel="0" collapsed="false">
      <c r="A73" s="24" t="str">
        <f aca="false">IF(Calcul!$BY$119=0,"",INDEX('Liste outils'!$B$6:$B$130,Calcul!$BY$119)&amp;"")</f>
        <v>C0016</v>
      </c>
      <c r="B73" s="25" t="str">
        <f aca="false">IF(Calcul!$BY$119=0,"",INDEX('Liste outils'!$C$6:$C$130,Calcul!$BY$119)&amp;"")</f>
        <v>Cutter</v>
      </c>
      <c r="C73" s="25" t="str">
        <f aca="false">IF(Calcul!$BY$119=0,"",IF(ISNUMBER(INDEX('Liste outils'!$E$6:$E$130,Calcul!$BY$119)),IF(NOT(ISNUMBER(INDEX('Liste outils'!$E$6:$E$130,Calcul!$BY$119))),"",IF(NOT(ISNUMBER(INDEX('Liste outils'!$E$6:$E$130,Calcul!$BY$119))),"",IF(INDEX('Liste outils'!$E$6:$E$130,Calcul!$BY$119)&lt;=0,"",IF(ABS(INDEX('Liste outils'!$E$6:$E$130,Calcul!$BY$119)*64-ROUND(INDEX('Liste outils'!$E$6:$E$130,Calcul!$BY$119)*64,0))&gt;0.0005,"≈ ","")&amp;IF(INT(ROUND(INDEX('Liste outils'!$E$6:$E$130,Calcul!$BY$119)*64,0)/64)&gt;0,INT(ROUND(INDEX('Liste outils'!$E$6:$E$130,Calcul!$BY$119)*64,0)/64)&amp;IF(MOD(ROUND(INDEX('Liste outils'!$E$6:$E$130,Calcul!$BY$119)*64,0),64)&gt;0," ",""),"")&amp;IF(MOD(ROUND(INDEX('Liste outils'!$E$6:$E$130,Calcul!$BY$119)*64,0),64)&gt;0,MOD(ROUND(INDEX('Liste outils'!$E$6:$E$130,Calcul!$BY$119)*64,0),64)/GCD(MOD(ROUND(INDEX('Liste outils'!$E$6:$E$130,Calcul!$BY$119)*64,0),64),64)&amp;"/"&amp;64/GCD(MOD(ROUND(INDEX('Liste outils'!$E$6:$E$130,Calcul!$BY$119)*64,0),64),64),IF(ROUND(INDEX('Liste outils'!$E$6:$E$130,Calcul!$BY$119)*64,0)=0,"0",""))&amp;""""))&amp;" · "&amp;FIXED(INDEX('Liste outils'!$E$6:$E$130,Calcul!$BY$119),4,TRUE())&amp;" po · "&amp;FIXED(INDEX('Liste outils'!$E$6:$E$130,Calcul!$BY$119)*25.4,3,TRUE())&amp;" mm"),""))</f>
        <v>≈ 55/64" · 0.8670 po · 22.022 mm</v>
      </c>
      <c r="D73" s="25" t="str">
        <f aca="false">IF(Calcul!$BY$119=0,"",IF(ISNUMBER(INDEX('Liste outils'!$H$6:$H$130,Calcul!$BY$119)),IF(NOT(ISNUMBER(INDEX('Liste outils'!$H$6:$H$130,Calcul!$BY$119))),"",IF(NOT(ISNUMBER(INDEX('Liste outils'!$H$6:$H$130,Calcul!$BY$119))),"",IF(INDEX('Liste outils'!$H$6:$H$130,Calcul!$BY$119)&lt;=0,"",IF(ABS(INDEX('Liste outils'!$H$6:$H$130,Calcul!$BY$119)*64-ROUND(INDEX('Liste outils'!$H$6:$H$130,Calcul!$BY$119)*64,0))&gt;0.0005,"≈ ","")&amp;IF(INT(ROUND(INDEX('Liste outils'!$H$6:$H$130,Calcul!$BY$119)*64,0)/64)&gt;0,INT(ROUND(INDEX('Liste outils'!$H$6:$H$130,Calcul!$BY$119)*64,0)/64)&amp;IF(MOD(ROUND(INDEX('Liste outils'!$H$6:$H$130,Calcul!$BY$119)*64,0),64)&gt;0," ",""),"")&amp;IF(MOD(ROUND(INDEX('Liste outils'!$H$6:$H$130,Calcul!$BY$119)*64,0),64)&gt;0,MOD(ROUND(INDEX('Liste outils'!$H$6:$H$130,Calcul!$BY$119)*64,0),64)/GCD(MOD(ROUND(INDEX('Liste outils'!$H$6:$H$130,Calcul!$BY$119)*64,0),64),64)&amp;"/"&amp;64/GCD(MOD(ROUND(INDEX('Liste outils'!$H$6:$H$130,Calcul!$BY$119)*64,0),64),64),IF(ROUND(INDEX('Liste outils'!$H$6:$H$130,Calcul!$BY$119)*64,0)=0,"0",""))&amp;""""))&amp;" · "&amp;FIXED(INDEX('Liste outils'!$H$6:$H$130,Calcul!$BY$119),4,TRUE())&amp;" po · "&amp;FIXED(INDEX('Liste outils'!$H$6:$H$130,Calcul!$BY$119)*25.4,3,TRUE())&amp;" mm"),""))</f>
        <v>7" · 7.0000 po · 177.800 mm</v>
      </c>
      <c r="E73" s="25" t="str">
        <f aca="false">IF(Calcul!$BY$119=0,"",INDEX('Liste outils'!$J$6:$J$130,Calcul!$BY$119)&amp;"")</f>
        <v>Right</v>
      </c>
      <c r="F73" s="25" t="str">
        <f aca="false">IF(Calcul!$BY$119=0,"",INDEX('Liste outils'!$K$6:$K$130,Calcul!$BY$119)&amp;"")</f>
        <v>2</v>
      </c>
      <c r="G73" s="25" t="str">
        <f aca="false">IF(Calcul!$BY$119=0,"",INDEX('Liste outils'!$O$6:$O$130,Calcul!$BY$119)&amp;"")</f>
        <v>KTFS0867R08SCF100</v>
      </c>
      <c r="H73" s="25" t="str">
        <f aca="false">IF(Calcul!$BY$119=0,"",INDEX('Liste outils'!$P$6:$P$130,Calcul!$BY$119)&amp;"")</f>
        <v>KENNAMTEL</v>
      </c>
      <c r="I73" s="25" t="str">
        <f aca="false">IF(Calcul!$BY$119=0,"",INDEX('Liste outils'!$AB$6:$AB$130,Calcul!$BY$119)&amp;"")</f>
        <v>A-2-J-1</v>
      </c>
      <c r="J73" s="25" t="str">
        <f aca="false">IF(Calcul!$BY$119=0,"",INDEX('Liste outils'!$AA$6:$AA$130,Calcul!$BY$119)&amp;"")</f>
        <v/>
      </c>
      <c r="K73" s="25" t="str">
        <f aca="false">IF(Calcul!$BY$119=0,"",INDEX('Liste outils'!$AC$6:$AC$130,Calcul!$BY$119)&amp;"")</f>
        <v>TIP DRILL COOLANT THROUGH</v>
      </c>
    </row>
    <row r="74" customFormat="false" ht="15" hidden="false" customHeight="false" outlineLevel="0" collapsed="false">
      <c r="A74" s="24" t="str">
        <f aca="false">IF(Calcul!$BY$120=0,"",INDEX('Liste outils'!$B$6:$B$130,Calcul!$BY$120)&amp;"")</f>
        <v>I0020</v>
      </c>
      <c r="B74" s="25" t="str">
        <f aca="false">IF(Calcul!$BY$120=0,"",INDEX('Liste outils'!$C$6:$C$130,Calcul!$BY$120)&amp;"")</f>
        <v>Insert</v>
      </c>
      <c r="C74" s="25" t="str">
        <f aca="false">IF(Calcul!$BY$120=0,"",IF(ISNUMBER(INDEX('Liste outils'!$E$6:$E$130,Calcul!$BY$120)),IF(NOT(ISNUMBER(INDEX('Liste outils'!$E$6:$E$130,Calcul!$BY$120))),"",IF(NOT(ISNUMBER(INDEX('Liste outils'!$E$6:$E$130,Calcul!$BY$120))),"",IF(INDEX('Liste outils'!$E$6:$E$130,Calcul!$BY$120)&lt;=0,"",IF(ABS(INDEX('Liste outils'!$E$6:$E$130,Calcul!$BY$120)*64-ROUND(INDEX('Liste outils'!$E$6:$E$130,Calcul!$BY$120)*64,0))&gt;0.0005,"≈ ","")&amp;IF(INT(ROUND(INDEX('Liste outils'!$E$6:$E$130,Calcul!$BY$120)*64,0)/64)&gt;0,INT(ROUND(INDEX('Liste outils'!$E$6:$E$130,Calcul!$BY$120)*64,0)/64)&amp;IF(MOD(ROUND(INDEX('Liste outils'!$E$6:$E$130,Calcul!$BY$120)*64,0),64)&gt;0," ",""),"")&amp;IF(MOD(ROUND(INDEX('Liste outils'!$E$6:$E$130,Calcul!$BY$120)*64,0),64)&gt;0,MOD(ROUND(INDEX('Liste outils'!$E$6:$E$130,Calcul!$BY$120)*64,0),64)/GCD(MOD(ROUND(INDEX('Liste outils'!$E$6:$E$130,Calcul!$BY$120)*64,0),64),64)&amp;"/"&amp;64/GCD(MOD(ROUND(INDEX('Liste outils'!$E$6:$E$130,Calcul!$BY$120)*64,0),64),64),IF(ROUND(INDEX('Liste outils'!$E$6:$E$130,Calcul!$BY$120)*64,0)=0,"0",""))&amp;""""))&amp;" · "&amp;FIXED(INDEX('Liste outils'!$E$6:$E$130,Calcul!$BY$120),4,TRUE())&amp;" po · "&amp;FIXED(INDEX('Liste outils'!$E$6:$E$130,Calcul!$BY$120)*25.4,3,TRUE())&amp;" mm"),""))</f>
        <v>7/8" · 0.8750 po · 22.225 mm</v>
      </c>
      <c r="D74" s="25" t="str">
        <f aca="false">IF(Calcul!$BY$120=0,"",IF(ISNUMBER(INDEX('Liste outils'!$H$6:$H$130,Calcul!$BY$120)),IF(NOT(ISNUMBER(INDEX('Liste outils'!$H$6:$H$130,Calcul!$BY$120))),"",IF(NOT(ISNUMBER(INDEX('Liste outils'!$H$6:$H$130,Calcul!$BY$120))),"",IF(INDEX('Liste outils'!$H$6:$H$130,Calcul!$BY$120)&lt;=0,"",IF(ABS(INDEX('Liste outils'!$H$6:$H$130,Calcul!$BY$120)*64-ROUND(INDEX('Liste outils'!$H$6:$H$130,Calcul!$BY$120)*64,0))&gt;0.0005,"≈ ","")&amp;IF(INT(ROUND(INDEX('Liste outils'!$H$6:$H$130,Calcul!$BY$120)*64,0)/64)&gt;0,INT(ROUND(INDEX('Liste outils'!$H$6:$H$130,Calcul!$BY$120)*64,0)/64)&amp;IF(MOD(ROUND(INDEX('Liste outils'!$H$6:$H$130,Calcul!$BY$120)*64,0),64)&gt;0," ",""),"")&amp;IF(MOD(ROUND(INDEX('Liste outils'!$H$6:$H$130,Calcul!$BY$120)*64,0),64)&gt;0,MOD(ROUND(INDEX('Liste outils'!$H$6:$H$130,Calcul!$BY$120)*64,0),64)/GCD(MOD(ROUND(INDEX('Liste outils'!$H$6:$H$130,Calcul!$BY$120)*64,0),64),64)&amp;"/"&amp;64/GCD(MOD(ROUND(INDEX('Liste outils'!$H$6:$H$130,Calcul!$BY$120)*64,0),64),64),IF(ROUND(INDEX('Liste outils'!$H$6:$H$130,Calcul!$BY$120)*64,0)=0,"0",""))&amp;""""))&amp;" · "&amp;FIXED(INDEX('Liste outils'!$H$6:$H$130,Calcul!$BY$120),4,TRUE())&amp;" po · "&amp;FIXED(INDEX('Liste outils'!$H$6:$H$130,Calcul!$BY$120)*25.4,3,TRUE())&amp;" mm"),""))</f>
        <v/>
      </c>
      <c r="E74" s="25" t="str">
        <f aca="false">IF(Calcul!$BY$120=0,"",INDEX('Liste outils'!$J$6:$J$130,Calcul!$BY$120)&amp;"")</f>
        <v>Left</v>
      </c>
      <c r="F74" s="25" t="str">
        <f aca="false">IF(Calcul!$BY$120=0,"",INDEX('Liste outils'!$K$6:$K$130,Calcul!$BY$120)&amp;"")</f>
        <v>2</v>
      </c>
      <c r="G74" s="25" t="str">
        <f aca="false">IF(Calcul!$BY$120=0,"",INDEX('Liste outils'!$O$6:$O$130,Calcul!$BY$120)&amp;"")</f>
        <v>KTFST22225GTPM</v>
      </c>
      <c r="H74" s="25" t="str">
        <f aca="false">IF(Calcul!$BY$120=0,"",INDEX('Liste outils'!$P$6:$P$130,Calcul!$BY$120)&amp;"")</f>
        <v>KENNAMETAL</v>
      </c>
      <c r="I74" s="25" t="str">
        <f aca="false">IF(Calcul!$BY$120=0,"",INDEX('Liste outils'!$AB$6:$AB$130,Calcul!$BY$120)&amp;"")</f>
        <v>A-2-J-2</v>
      </c>
      <c r="J74" s="25" t="str">
        <f aca="false">IF(Calcul!$BY$120=0,"",INDEX('Liste outils'!$AA$6:$AA$130,Calcul!$BY$120)&amp;"")</f>
        <v/>
      </c>
      <c r="K74" s="25" t="str">
        <f aca="false">IF(Calcul!$BY$120=0,"",INDEX('Liste outils'!$AC$6:$AC$130,Calcul!$BY$120)&amp;"")</f>
        <v>Drill tip 0.875 Through Coolant</v>
      </c>
    </row>
    <row r="75" customFormat="false" ht="15" hidden="false" customHeight="false" outlineLevel="0" collapsed="false">
      <c r="A75" s="24" t="str">
        <f aca="false">IF(Calcul!$BY$121=0,"",INDEX('Liste outils'!$B$6:$B$130,Calcul!$BY$121)&amp;"")</f>
        <v>CC0001</v>
      </c>
      <c r="B75" s="25" t="str">
        <f aca="false">IF(Calcul!$BY$121=0,"",INDEX('Liste outils'!$C$6:$C$130,Calcul!$BY$121)&amp;"")</f>
        <v>Collet Chuck</v>
      </c>
      <c r="C75" s="25" t="str">
        <f aca="false">IF(Calcul!$BY$121=0,"",IF(ISNUMBER(INDEX('Liste outils'!$E$6:$E$130,Calcul!$BY$121)),IF(NOT(ISNUMBER(INDEX('Liste outils'!$E$6:$E$130,Calcul!$BY$121))),"",IF(NOT(ISNUMBER(INDEX('Liste outils'!$E$6:$E$130,Calcul!$BY$121))),"",IF(INDEX('Liste outils'!$E$6:$E$130,Calcul!$BY$121)&lt;=0,"",IF(ABS(INDEX('Liste outils'!$E$6:$E$130,Calcul!$BY$121)*64-ROUND(INDEX('Liste outils'!$E$6:$E$130,Calcul!$BY$121)*64,0))&gt;0.0005,"≈ ","")&amp;IF(INT(ROUND(INDEX('Liste outils'!$E$6:$E$130,Calcul!$BY$121)*64,0)/64)&gt;0,INT(ROUND(INDEX('Liste outils'!$E$6:$E$130,Calcul!$BY$121)*64,0)/64)&amp;IF(MOD(ROUND(INDEX('Liste outils'!$E$6:$E$130,Calcul!$BY$121)*64,0),64)&gt;0," ",""),"")&amp;IF(MOD(ROUND(INDEX('Liste outils'!$E$6:$E$130,Calcul!$BY$121)*64,0),64)&gt;0,MOD(ROUND(INDEX('Liste outils'!$E$6:$E$130,Calcul!$BY$121)*64,0),64)/GCD(MOD(ROUND(INDEX('Liste outils'!$E$6:$E$130,Calcul!$BY$121)*64,0),64),64)&amp;"/"&amp;64/GCD(MOD(ROUND(INDEX('Liste outils'!$E$6:$E$130,Calcul!$BY$121)*64,0),64),64),IF(ROUND(INDEX('Liste outils'!$E$6:$E$130,Calcul!$BY$121)*64,0)=0,"0",""))&amp;""""))&amp;" · "&amp;FIXED(INDEX('Liste outils'!$E$6:$E$130,Calcul!$BY$121),4,TRUE())&amp;" po · "&amp;FIXED(INDEX('Liste outils'!$E$6:$E$130,Calcul!$BY$121)*25.4,3,TRUE())&amp;" mm"),""))</f>
        <v>≈ 1 17/64" · 1.2598 po · 31.999 mm</v>
      </c>
      <c r="D75" s="25" t="str">
        <f aca="false">IF(Calcul!$BY$121=0,"",IF(ISNUMBER(INDEX('Liste outils'!$H$6:$H$130,Calcul!$BY$121)),IF(NOT(ISNUMBER(INDEX('Liste outils'!$H$6:$H$130,Calcul!$BY$121))),"",IF(NOT(ISNUMBER(INDEX('Liste outils'!$H$6:$H$130,Calcul!$BY$121))),"",IF(INDEX('Liste outils'!$H$6:$H$130,Calcul!$BY$121)&lt;=0,"",IF(ABS(INDEX('Liste outils'!$H$6:$H$130,Calcul!$BY$121)*64-ROUND(INDEX('Liste outils'!$H$6:$H$130,Calcul!$BY$121)*64,0))&gt;0.0005,"≈ ","")&amp;IF(INT(ROUND(INDEX('Liste outils'!$H$6:$H$130,Calcul!$BY$121)*64,0)/64)&gt;0,INT(ROUND(INDEX('Liste outils'!$H$6:$H$130,Calcul!$BY$121)*64,0)/64)&amp;IF(MOD(ROUND(INDEX('Liste outils'!$H$6:$H$130,Calcul!$BY$121)*64,0),64)&gt;0," ",""),"")&amp;IF(MOD(ROUND(INDEX('Liste outils'!$H$6:$H$130,Calcul!$BY$121)*64,0),64)&gt;0,MOD(ROUND(INDEX('Liste outils'!$H$6:$H$130,Calcul!$BY$121)*64,0),64)/GCD(MOD(ROUND(INDEX('Liste outils'!$H$6:$H$130,Calcul!$BY$121)*64,0),64),64)&amp;"/"&amp;64/GCD(MOD(ROUND(INDEX('Liste outils'!$H$6:$H$130,Calcul!$BY$121)*64,0),64),64),IF(ROUND(INDEX('Liste outils'!$H$6:$H$130,Calcul!$BY$121)*64,0)=0,"0",""))&amp;""""))&amp;" · "&amp;FIXED(INDEX('Liste outils'!$H$6:$H$130,Calcul!$BY$121),4,TRUE())&amp;" po · "&amp;FIXED(INDEX('Liste outils'!$H$6:$H$130,Calcul!$BY$121)*25.4,3,TRUE())&amp;" mm"),""))</f>
        <v/>
      </c>
      <c r="E75" s="25" t="str">
        <f aca="false">IF(Calcul!$BY$121=0,"",INDEX('Liste outils'!$J$6:$J$130,Calcul!$BY$121)&amp;"")</f>
        <v/>
      </c>
      <c r="F75" s="25" t="str">
        <f aca="false">IF(Calcul!$BY$121=0,"",INDEX('Liste outils'!$K$6:$K$130,Calcul!$BY$121)&amp;"")</f>
        <v/>
      </c>
      <c r="G75" s="25" t="str">
        <f aca="false">IF(Calcul!$BY$121=0,"",INDEX('Liste outils'!$O$6:$O$130,Calcul!$BY$121)&amp;"")</f>
        <v>A393.14-26 32 203</v>
      </c>
      <c r="H75" s="25" t="str">
        <f aca="false">IF(Calcul!$BY$121=0,"",INDEX('Liste outils'!$P$6:$P$130,Calcul!$BY$121)&amp;"")</f>
        <v>SANDVIK</v>
      </c>
      <c r="I75" s="25" t="str">
        <f aca="false">IF(Calcul!$BY$121=0,"",INDEX('Liste outils'!$AB$6:$AB$130,Calcul!$BY$121)&amp;"")</f>
        <v>A-2-H-1</v>
      </c>
      <c r="J75" s="25" t="str">
        <f aca="false">IF(Calcul!$BY$121=0,"",INDEX('Liste outils'!$AA$6:$AA$130,Calcul!$BY$121)&amp;"")</f>
        <v/>
      </c>
      <c r="K75" s="25" t="str">
        <f aca="false">IF(Calcul!$BY$121=0,"",INDEX('Liste outils'!$AC$6:$AC$130,Calcul!$BY$121)&amp;"")</f>
        <v/>
      </c>
    </row>
    <row r="76" customFormat="false" ht="35.05" hidden="false" customHeight="false" outlineLevel="0" collapsed="false">
      <c r="A76" s="24" t="str">
        <f aca="false">IF(Calcul!$BY$122=0,"",INDEX('Liste outils'!$B$6:$B$130,Calcul!$BY$122)&amp;"")</f>
        <v>EM0039</v>
      </c>
      <c r="B76" s="25" t="str">
        <f aca="false">IF(Calcul!$BY$122=0,"",INDEX('Liste outils'!$C$6:$C$130,Calcul!$BY$122)&amp;"")</f>
        <v>End Mill</v>
      </c>
      <c r="C76" s="25" t="str">
        <f aca="false">IF(Calcul!$BY$122=0,"",IF(ISNUMBER(INDEX('Liste outils'!$E$6:$E$130,Calcul!$BY$122)),IF(NOT(ISNUMBER(INDEX('Liste outils'!$E$6:$E$130,Calcul!$BY$122))),"",IF(NOT(ISNUMBER(INDEX('Liste outils'!$E$6:$E$130,Calcul!$BY$122))),"",IF(INDEX('Liste outils'!$E$6:$E$130,Calcul!$BY$122)&lt;=0,"",IF(ABS(INDEX('Liste outils'!$E$6:$E$130,Calcul!$BY$122)*64-ROUND(INDEX('Liste outils'!$E$6:$E$130,Calcul!$BY$122)*64,0))&gt;0.0005,"≈ ","")&amp;IF(INT(ROUND(INDEX('Liste outils'!$E$6:$E$130,Calcul!$BY$122)*64,0)/64)&gt;0,INT(ROUND(INDEX('Liste outils'!$E$6:$E$130,Calcul!$BY$122)*64,0)/64)&amp;IF(MOD(ROUND(INDEX('Liste outils'!$E$6:$E$130,Calcul!$BY$122)*64,0),64)&gt;0," ",""),"")&amp;IF(MOD(ROUND(INDEX('Liste outils'!$E$6:$E$130,Calcul!$BY$122)*64,0),64)&gt;0,MOD(ROUND(INDEX('Liste outils'!$E$6:$E$130,Calcul!$BY$122)*64,0),64)/GCD(MOD(ROUND(INDEX('Liste outils'!$E$6:$E$130,Calcul!$BY$122)*64,0),64),64)&amp;"/"&amp;64/GCD(MOD(ROUND(INDEX('Liste outils'!$E$6:$E$130,Calcul!$BY$122)*64,0),64),64),IF(ROUND(INDEX('Liste outils'!$E$6:$E$130,Calcul!$BY$122)*64,0)=0,"0",""))&amp;""""))&amp;" · "&amp;FIXED(INDEX('Liste outils'!$E$6:$E$130,Calcul!$BY$122),4,TRUE())&amp;" po · "&amp;FIXED(INDEX('Liste outils'!$E$6:$E$130,Calcul!$BY$122)*25.4,3,TRUE())&amp;" mm"),""))</f>
        <v>1 1/2" · 1.5000 po · 38.100 mm</v>
      </c>
      <c r="D76" s="25" t="str">
        <f aca="false">IF(Calcul!$BY$122=0,"",IF(ISNUMBER(INDEX('Liste outils'!$H$6:$H$130,Calcul!$BY$122)),IF(NOT(ISNUMBER(INDEX('Liste outils'!$H$6:$H$130,Calcul!$BY$122))),"",IF(NOT(ISNUMBER(INDEX('Liste outils'!$H$6:$H$130,Calcul!$BY$122))),"",IF(INDEX('Liste outils'!$H$6:$H$130,Calcul!$BY$122)&lt;=0,"",IF(ABS(INDEX('Liste outils'!$H$6:$H$130,Calcul!$BY$122)*64-ROUND(INDEX('Liste outils'!$H$6:$H$130,Calcul!$BY$122)*64,0))&gt;0.0005,"≈ ","")&amp;IF(INT(ROUND(INDEX('Liste outils'!$H$6:$H$130,Calcul!$BY$122)*64,0)/64)&gt;0,INT(ROUND(INDEX('Liste outils'!$H$6:$H$130,Calcul!$BY$122)*64,0)/64)&amp;IF(MOD(ROUND(INDEX('Liste outils'!$H$6:$H$130,Calcul!$BY$122)*64,0),64)&gt;0," ",""),"")&amp;IF(MOD(ROUND(INDEX('Liste outils'!$H$6:$H$130,Calcul!$BY$122)*64,0),64)&gt;0,MOD(ROUND(INDEX('Liste outils'!$H$6:$H$130,Calcul!$BY$122)*64,0),64)/GCD(MOD(ROUND(INDEX('Liste outils'!$H$6:$H$130,Calcul!$BY$122)*64,0),64),64)&amp;"/"&amp;64/GCD(MOD(ROUND(INDEX('Liste outils'!$H$6:$H$130,Calcul!$BY$122)*64,0),64),64),IF(ROUND(INDEX('Liste outils'!$H$6:$H$130,Calcul!$BY$122)*64,0)=0,"0",""))&amp;""""))&amp;" · "&amp;FIXED(INDEX('Liste outils'!$H$6:$H$130,Calcul!$BY$122),4,TRUE())&amp;" po · "&amp;FIXED(INDEX('Liste outils'!$H$6:$H$130,Calcul!$BY$122)*25.4,3,TRUE())&amp;" mm"),""))</f>
        <v>1/8" · 0.1250 po · 3.175 mm</v>
      </c>
      <c r="E76" s="25" t="str">
        <f aca="false">IF(Calcul!$BY$122=0,"",INDEX('Liste outils'!$J$6:$J$130,Calcul!$BY$122)&amp;"")</f>
        <v/>
      </c>
      <c r="F76" s="25" t="str">
        <f aca="false">IF(Calcul!$BY$122=0,"",INDEX('Liste outils'!$K$6:$K$130,Calcul!$BY$122)&amp;"")</f>
        <v>16</v>
      </c>
      <c r="G76" s="25" t="str">
        <f aca="false">IF(Calcul!$BY$122=0,"",INDEX('Liste outils'!$O$6:$O$130,Calcul!$BY$122)&amp;"")</f>
        <v>887050</v>
      </c>
      <c r="H76" s="25" t="str">
        <f aca="false">IF(Calcul!$BY$122=0,"",INDEX('Liste outils'!$P$6:$P$130,Calcul!$BY$122)&amp;"")</f>
        <v>Harvey Tool</v>
      </c>
      <c r="I76" s="25" t="str">
        <f aca="false">IF(Calcul!$BY$122=0,"",INDEX('Liste outils'!$AB$6:$AB$130,Calcul!$BY$122)&amp;"")</f>
        <v>A-1-L-1</v>
      </c>
      <c r="J76" s="25" t="str">
        <f aca="false">IF(Calcul!$BY$122=0,"",INDEX('Liste outils'!$AA$6:$AA$130,Calcul!$BY$122)&amp;"")</f>
        <v>Aluminum, Steel, Cast Iron, Stainless Steel, Exotic Metal, Titanium, Composites, Wood</v>
      </c>
      <c r="K76" s="25" t="str">
        <f aca="false">IF(Calcul!$BY$122=0,"",INDEX('Liste outils'!$AC$6:$AC$130,Calcul!$BY$122)&amp;"")</f>
        <v>KeySeat</v>
      </c>
    </row>
    <row r="77" customFormat="false" ht="15" hidden="false" customHeight="false" outlineLevel="0" collapsed="false">
      <c r="A77" s="24" t="str">
        <f aca="false">IF(Calcul!$BY$123=0,"",INDEX('Liste outils'!$B$6:$B$130,Calcul!$BY$123)&amp;"")</f>
        <v>G0002</v>
      </c>
      <c r="B77" s="25" t="str">
        <f aca="false">IF(Calcul!$BY$123=0,"",INDEX('Liste outils'!$C$6:$C$130,Calcul!$BY$123)&amp;"")</f>
        <v>Bushing</v>
      </c>
      <c r="C77" s="25" t="str">
        <f aca="false">IF(Calcul!$BY$123=0,"",IF(ISNUMBER(INDEX('Liste outils'!$E$6:$E$130,Calcul!$BY$123)),IF(NOT(ISNUMBER(INDEX('Liste outils'!$E$6:$E$130,Calcul!$BY$123))),"",IF(NOT(ISNUMBER(INDEX('Liste outils'!$E$6:$E$130,Calcul!$BY$123))),"",IF(INDEX('Liste outils'!$E$6:$E$130,Calcul!$BY$123)&lt;=0,"",IF(ABS(INDEX('Liste outils'!$E$6:$E$130,Calcul!$BY$123)*64-ROUND(INDEX('Liste outils'!$E$6:$E$130,Calcul!$BY$123)*64,0))&gt;0.0005,"≈ ","")&amp;IF(INT(ROUND(INDEX('Liste outils'!$E$6:$E$130,Calcul!$BY$123)*64,0)/64)&gt;0,INT(ROUND(INDEX('Liste outils'!$E$6:$E$130,Calcul!$BY$123)*64,0)/64)&amp;IF(MOD(ROUND(INDEX('Liste outils'!$E$6:$E$130,Calcul!$BY$123)*64,0),64)&gt;0," ",""),"")&amp;IF(MOD(ROUND(INDEX('Liste outils'!$E$6:$E$130,Calcul!$BY$123)*64,0),64)&gt;0,MOD(ROUND(INDEX('Liste outils'!$E$6:$E$130,Calcul!$BY$123)*64,0),64)/GCD(MOD(ROUND(INDEX('Liste outils'!$E$6:$E$130,Calcul!$BY$123)*64,0),64),64)&amp;"/"&amp;64/GCD(MOD(ROUND(INDEX('Liste outils'!$E$6:$E$130,Calcul!$BY$123)*64,0),64),64),IF(ROUND(INDEX('Liste outils'!$E$6:$E$130,Calcul!$BY$123)*64,0)=0,"0",""))&amp;""""))&amp;" · "&amp;FIXED(INDEX('Liste outils'!$E$6:$E$130,Calcul!$BY$123),4,TRUE())&amp;" po · "&amp;FIXED(INDEX('Liste outils'!$E$6:$E$130,Calcul!$BY$123)*25.4,3,TRUE())&amp;" mm"),""))</f>
        <v>1 1/2" · 1.5000 po · 38.100 mm</v>
      </c>
      <c r="D77" s="25" t="str">
        <f aca="false">IF(Calcul!$BY$123=0,"",IF(ISNUMBER(INDEX('Liste outils'!$H$6:$H$130,Calcul!$BY$123)),IF(NOT(ISNUMBER(INDEX('Liste outils'!$H$6:$H$130,Calcul!$BY$123))),"",IF(NOT(ISNUMBER(INDEX('Liste outils'!$H$6:$H$130,Calcul!$BY$123))),"",IF(INDEX('Liste outils'!$H$6:$H$130,Calcul!$BY$123)&lt;=0,"",IF(ABS(INDEX('Liste outils'!$H$6:$H$130,Calcul!$BY$123)*64-ROUND(INDEX('Liste outils'!$H$6:$H$130,Calcul!$BY$123)*64,0))&gt;0.0005,"≈ ","")&amp;IF(INT(ROUND(INDEX('Liste outils'!$H$6:$H$130,Calcul!$BY$123)*64,0)/64)&gt;0,INT(ROUND(INDEX('Liste outils'!$H$6:$H$130,Calcul!$BY$123)*64,0)/64)&amp;IF(MOD(ROUND(INDEX('Liste outils'!$H$6:$H$130,Calcul!$BY$123)*64,0),64)&gt;0," ",""),"")&amp;IF(MOD(ROUND(INDEX('Liste outils'!$H$6:$H$130,Calcul!$BY$123)*64,0),64)&gt;0,MOD(ROUND(INDEX('Liste outils'!$H$6:$H$130,Calcul!$BY$123)*64,0),64)/GCD(MOD(ROUND(INDEX('Liste outils'!$H$6:$H$130,Calcul!$BY$123)*64,0),64),64)&amp;"/"&amp;64/GCD(MOD(ROUND(INDEX('Liste outils'!$H$6:$H$130,Calcul!$BY$123)*64,0),64),64),IF(ROUND(INDEX('Liste outils'!$H$6:$H$130,Calcul!$BY$123)*64,0)=0,"0",""))&amp;""""))&amp;" · "&amp;FIXED(INDEX('Liste outils'!$H$6:$H$130,Calcul!$BY$123),4,TRUE())&amp;" po · "&amp;FIXED(INDEX('Liste outils'!$H$6:$H$130,Calcul!$BY$123)*25.4,3,TRUE())&amp;" mm"),""))</f>
        <v/>
      </c>
      <c r="E77" s="25" t="str">
        <f aca="false">IF(Calcul!$BY$123=0,"",INDEX('Liste outils'!$J$6:$J$130,Calcul!$BY$123)&amp;"")</f>
        <v/>
      </c>
      <c r="F77" s="25" t="str">
        <f aca="false">IF(Calcul!$BY$123=0,"",INDEX('Liste outils'!$K$6:$K$130,Calcul!$BY$123)&amp;"")</f>
        <v/>
      </c>
      <c r="G77" s="25" t="str">
        <f aca="false">IF(Calcul!$BY$123=0,"",INDEX('Liste outils'!$O$6:$O$130,Calcul!$BY$123)&amp;"")</f>
        <v>RH2180183</v>
      </c>
      <c r="H77" s="25" t="str">
        <f aca="false">IF(Calcul!$BY$123=0,"",INDEX('Liste outils'!$P$6:$P$130,Calcul!$BY$123)&amp;"")</f>
        <v>Rapidhold</v>
      </c>
      <c r="I77" s="25" t="str">
        <f aca="false">IF(Calcul!$BY$123=0,"",INDEX('Liste outils'!$AB$6:$AB$130,Calcul!$BY$123)&amp;"")</f>
        <v>A-2-J-3</v>
      </c>
      <c r="J77" s="25" t="str">
        <f aca="false">IF(Calcul!$BY$123=0,"",INDEX('Liste outils'!$AA$6:$AA$130,Calcul!$BY$123)&amp;"")</f>
        <v/>
      </c>
      <c r="K77" s="25" t="str">
        <f aca="false">IF(Calcul!$BY$123=0,"",INDEX('Liste outils'!$AC$6:$AC$130,Calcul!$BY$123)&amp;"")</f>
        <v/>
      </c>
    </row>
    <row r="78" customFormat="false" ht="23.85" hidden="false" customHeight="false" outlineLevel="0" collapsed="false">
      <c r="A78" s="24" t="str">
        <f aca="false">IF(Calcul!$BY$124=0,"",INDEX('Liste outils'!$B$6:$B$130,Calcul!$BY$124)&amp;"")</f>
        <v>MSJ0001</v>
      </c>
      <c r="B78" s="25" t="str">
        <f aca="false">IF(Calcul!$BY$124=0,"",INDEX('Liste outils'!$C$6:$C$130,Calcul!$BY$124)&amp;"")</f>
        <v>Machined Soft Jaws</v>
      </c>
      <c r="C78" s="25" t="str">
        <f aca="false">IF(Calcul!$BY$124=0,"",IF(ISNUMBER(INDEX('Liste outils'!$E$6:$E$130,Calcul!$BY$124)),IF(NOT(ISNUMBER(INDEX('Liste outils'!$E$6:$E$130,Calcul!$BY$124))),"",IF(NOT(ISNUMBER(INDEX('Liste outils'!$E$6:$E$130,Calcul!$BY$124))),"",IF(INDEX('Liste outils'!$E$6:$E$130,Calcul!$BY$124)&lt;=0,"",IF(ABS(INDEX('Liste outils'!$E$6:$E$130,Calcul!$BY$124)*64-ROUND(INDEX('Liste outils'!$E$6:$E$130,Calcul!$BY$124)*64,0))&gt;0.0005,"≈ ","")&amp;IF(INT(ROUND(INDEX('Liste outils'!$E$6:$E$130,Calcul!$BY$124)*64,0)/64)&gt;0,INT(ROUND(INDEX('Liste outils'!$E$6:$E$130,Calcul!$BY$124)*64,0)/64)&amp;IF(MOD(ROUND(INDEX('Liste outils'!$E$6:$E$130,Calcul!$BY$124)*64,0),64)&gt;0," ",""),"")&amp;IF(MOD(ROUND(INDEX('Liste outils'!$E$6:$E$130,Calcul!$BY$124)*64,0),64)&gt;0,MOD(ROUND(INDEX('Liste outils'!$E$6:$E$130,Calcul!$BY$124)*64,0),64)/GCD(MOD(ROUND(INDEX('Liste outils'!$E$6:$E$130,Calcul!$BY$124)*64,0),64),64)&amp;"/"&amp;64/GCD(MOD(ROUND(INDEX('Liste outils'!$E$6:$E$130,Calcul!$BY$124)*64,0),64),64),IF(ROUND(INDEX('Liste outils'!$E$6:$E$130,Calcul!$BY$124)*64,0)=0,"0",""))&amp;""""))&amp;" · "&amp;FIXED(INDEX('Liste outils'!$E$6:$E$130,Calcul!$BY$124),4,TRUE())&amp;" po · "&amp;FIXED(INDEX('Liste outils'!$E$6:$E$130,Calcul!$BY$124)*25.4,3,TRUE())&amp;" mm"),""))</f>
        <v>≈ 1 15/16" · 1.9400 po · 49.276 mm</v>
      </c>
      <c r="D78" s="25" t="str">
        <f aca="false">IF(Calcul!$BY$124=0,"",IF(ISNUMBER(INDEX('Liste outils'!$H$6:$H$130,Calcul!$BY$124)),IF(NOT(ISNUMBER(INDEX('Liste outils'!$H$6:$H$130,Calcul!$BY$124))),"",IF(NOT(ISNUMBER(INDEX('Liste outils'!$H$6:$H$130,Calcul!$BY$124))),"",IF(INDEX('Liste outils'!$H$6:$H$130,Calcul!$BY$124)&lt;=0,"",IF(ABS(INDEX('Liste outils'!$H$6:$H$130,Calcul!$BY$124)*64-ROUND(INDEX('Liste outils'!$H$6:$H$130,Calcul!$BY$124)*64,0))&gt;0.0005,"≈ ","")&amp;IF(INT(ROUND(INDEX('Liste outils'!$H$6:$H$130,Calcul!$BY$124)*64,0)/64)&gt;0,INT(ROUND(INDEX('Liste outils'!$H$6:$H$130,Calcul!$BY$124)*64,0)/64)&amp;IF(MOD(ROUND(INDEX('Liste outils'!$H$6:$H$130,Calcul!$BY$124)*64,0),64)&gt;0," ",""),"")&amp;IF(MOD(ROUND(INDEX('Liste outils'!$H$6:$H$130,Calcul!$BY$124)*64,0),64)&gt;0,MOD(ROUND(INDEX('Liste outils'!$H$6:$H$130,Calcul!$BY$124)*64,0),64)/GCD(MOD(ROUND(INDEX('Liste outils'!$H$6:$H$130,Calcul!$BY$124)*64,0),64),64)&amp;"/"&amp;64/GCD(MOD(ROUND(INDEX('Liste outils'!$H$6:$H$130,Calcul!$BY$124)*64,0),64),64),IF(ROUND(INDEX('Liste outils'!$H$6:$H$130,Calcul!$BY$124)*64,0)=0,"0",""))&amp;""""))&amp;" · "&amp;FIXED(INDEX('Liste outils'!$H$6:$H$130,Calcul!$BY$124),4,TRUE())&amp;" po · "&amp;FIXED(INDEX('Liste outils'!$H$6:$H$130,Calcul!$BY$124)*25.4,3,TRUE())&amp;" mm"),""))</f>
        <v/>
      </c>
      <c r="E78" s="25" t="str">
        <f aca="false">IF(Calcul!$BY$124=0,"",INDEX('Liste outils'!$J$6:$J$130,Calcul!$BY$124)&amp;"")</f>
        <v/>
      </c>
      <c r="F78" s="25" t="str">
        <f aca="false">IF(Calcul!$BY$124=0,"",INDEX('Liste outils'!$K$6:$K$130,Calcul!$BY$124)&amp;"")</f>
        <v/>
      </c>
      <c r="G78" s="25" t="str">
        <f aca="false">IF(Calcul!$BY$124=0,"",INDEX('Liste outils'!$O$6:$O$130,Calcul!$BY$124)&amp;"")</f>
        <v/>
      </c>
      <c r="H78" s="25" t="str">
        <f aca="false">IF(Calcul!$BY$124=0,"",INDEX('Liste outils'!$P$6:$P$130,Calcul!$BY$124)&amp;"")</f>
        <v/>
      </c>
      <c r="I78" s="25" t="str">
        <f aca="false">IF(Calcul!$BY$124=0,"",INDEX('Liste outils'!$AB$6:$AB$130,Calcul!$BY$124)&amp;"")</f>
        <v>A-3</v>
      </c>
      <c r="J78" s="25" t="str">
        <f aca="false">IF(Calcul!$BY$124=0,"",INDEX('Liste outils'!$AA$6:$AA$130,Calcul!$BY$124)&amp;"")</f>
        <v/>
      </c>
      <c r="K78" s="25" t="str">
        <f aca="false">IF(Calcul!$BY$124=0,"",INDEX('Liste outils'!$AC$6:$AC$130,Calcul!$BY$124)&amp;"")</f>
        <v>Bridgestone BSHN0897</v>
      </c>
    </row>
    <row r="79" customFormat="false" ht="23.85" hidden="false" customHeight="false" outlineLevel="0" collapsed="false">
      <c r="A79" s="24" t="str">
        <f aca="false">IF(Calcul!$BY$125=0,"",INDEX('Liste outils'!$B$6:$B$130,Calcul!$BY$125)&amp;"")</f>
        <v>I0013</v>
      </c>
      <c r="B79" s="25" t="str">
        <f aca="false">IF(Calcul!$BY$125=0,"",INDEX('Liste outils'!$C$6:$C$130,Calcul!$BY$125)&amp;"")</f>
        <v>Insert</v>
      </c>
      <c r="C79" s="25" t="str">
        <f aca="false">IF(Calcul!$BY$125=0,"",IF(ISNUMBER(INDEX('Liste outils'!$E$6:$E$130,Calcul!$BY$125)),IF(NOT(ISNUMBER(INDEX('Liste outils'!$E$6:$E$130,Calcul!$BY$125))),"",IF(NOT(ISNUMBER(INDEX('Liste outils'!$E$6:$E$130,Calcul!$BY$125))),"",IF(INDEX('Liste outils'!$E$6:$E$130,Calcul!$BY$125)&lt;=0,"",IF(ABS(INDEX('Liste outils'!$E$6:$E$130,Calcul!$BY$125)*64-ROUND(INDEX('Liste outils'!$E$6:$E$130,Calcul!$BY$125)*64,0))&gt;0.0005,"≈ ","")&amp;IF(INT(ROUND(INDEX('Liste outils'!$E$6:$E$130,Calcul!$BY$125)*64,0)/64)&gt;0,INT(ROUND(INDEX('Liste outils'!$E$6:$E$130,Calcul!$BY$125)*64,0)/64)&amp;IF(MOD(ROUND(INDEX('Liste outils'!$E$6:$E$130,Calcul!$BY$125)*64,0),64)&gt;0," ",""),"")&amp;IF(MOD(ROUND(INDEX('Liste outils'!$E$6:$E$130,Calcul!$BY$125)*64,0),64)&gt;0,MOD(ROUND(INDEX('Liste outils'!$E$6:$E$130,Calcul!$BY$125)*64,0),64)/GCD(MOD(ROUND(INDEX('Liste outils'!$E$6:$E$130,Calcul!$BY$125)*64,0),64),64)&amp;"/"&amp;64/GCD(MOD(ROUND(INDEX('Liste outils'!$E$6:$E$130,Calcul!$BY$125)*64,0),64),64),IF(ROUND(INDEX('Liste outils'!$E$6:$E$130,Calcul!$BY$125)*64,0)=0,"0",""))&amp;""""))&amp;" · "&amp;FIXED(INDEX('Liste outils'!$E$6:$E$130,Calcul!$BY$125),4,TRUE())&amp;" po · "&amp;FIXED(INDEX('Liste outils'!$E$6:$E$130,Calcul!$BY$125)*25.4,3,TRUE())&amp;" mm"),""))</f>
        <v/>
      </c>
      <c r="D79" s="25" t="str">
        <f aca="false">IF(Calcul!$BY$125=0,"",IF(ISNUMBER(INDEX('Liste outils'!$H$6:$H$130,Calcul!$BY$125)),IF(NOT(ISNUMBER(INDEX('Liste outils'!$H$6:$H$130,Calcul!$BY$125))),"",IF(NOT(ISNUMBER(INDEX('Liste outils'!$H$6:$H$130,Calcul!$BY$125))),"",IF(INDEX('Liste outils'!$H$6:$H$130,Calcul!$BY$125)&lt;=0,"",IF(ABS(INDEX('Liste outils'!$H$6:$H$130,Calcul!$BY$125)*64-ROUND(INDEX('Liste outils'!$H$6:$H$130,Calcul!$BY$125)*64,0))&gt;0.0005,"≈ ","")&amp;IF(INT(ROUND(INDEX('Liste outils'!$H$6:$H$130,Calcul!$BY$125)*64,0)/64)&gt;0,INT(ROUND(INDEX('Liste outils'!$H$6:$H$130,Calcul!$BY$125)*64,0)/64)&amp;IF(MOD(ROUND(INDEX('Liste outils'!$H$6:$H$130,Calcul!$BY$125)*64,0),64)&gt;0," ",""),"")&amp;IF(MOD(ROUND(INDEX('Liste outils'!$H$6:$H$130,Calcul!$BY$125)*64,0),64)&gt;0,MOD(ROUND(INDEX('Liste outils'!$H$6:$H$130,Calcul!$BY$125)*64,0),64)/GCD(MOD(ROUND(INDEX('Liste outils'!$H$6:$H$130,Calcul!$BY$125)*64,0),64),64)&amp;"/"&amp;64/GCD(MOD(ROUND(INDEX('Liste outils'!$H$6:$H$130,Calcul!$BY$125)*64,0),64),64),IF(ROUND(INDEX('Liste outils'!$H$6:$H$130,Calcul!$BY$125)*64,0)=0,"0",""))&amp;""""))&amp;" · "&amp;FIXED(INDEX('Liste outils'!$H$6:$H$130,Calcul!$BY$125),4,TRUE())&amp;" po · "&amp;FIXED(INDEX('Liste outils'!$H$6:$H$130,Calcul!$BY$125)*25.4,3,TRUE())&amp;" mm"),""))</f>
        <v>≈ 15/64" · 0.2291 po · 5.819 mm</v>
      </c>
      <c r="E79" s="25" t="str">
        <f aca="false">IF(Calcul!$BY$125=0,"",INDEX('Liste outils'!$J$6:$J$130,Calcul!$BY$125)&amp;"")</f>
        <v>Neutral</v>
      </c>
      <c r="F79" s="25" t="str">
        <f aca="false">IF(Calcul!$BY$125=0,"",INDEX('Liste outils'!$K$6:$K$130,Calcul!$BY$125)&amp;"")</f>
        <v/>
      </c>
      <c r="G79" s="25" t="str">
        <f aca="false">IF(Calcul!$BY$125=0,"",INDEX('Liste outils'!$O$6:$O$130,Calcul!$BY$125)&amp;"")</f>
        <v>TCMT 06 T1 08-KF H13A</v>
      </c>
      <c r="H79" s="25" t="str">
        <f aca="false">IF(Calcul!$BY$125=0,"",INDEX('Liste outils'!$P$6:$P$130,Calcul!$BY$125)&amp;"")</f>
        <v>SANDVIK</v>
      </c>
      <c r="I79" s="25" t="str">
        <f aca="false">IF(Calcul!$BY$125=0,"",INDEX('Liste outils'!$AB$6:$AB$130,Calcul!$BY$125)&amp;"")</f>
        <v>A-2-B-2</v>
      </c>
      <c r="J79" s="25" t="str">
        <f aca="false">IF(Calcul!$BY$125=0,"",INDEX('Liste outils'!$AA$6:$AA$130,Calcul!$BY$125)&amp;"")</f>
        <v>Steel, Stainless Steel, Non-Ferrous Metal</v>
      </c>
      <c r="K79" s="25" t="str">
        <f aca="false">IF(Calcul!$BY$125=0,"",INDEX('Liste outils'!$AC$6:$AC$130,Calcul!$BY$125)&amp;"")</f>
        <v/>
      </c>
    </row>
    <row r="80" customFormat="false" ht="15" hidden="false" customHeight="false" outlineLevel="0" collapsed="false">
      <c r="A80" s="24" t="str">
        <f aca="false">IF(Calcul!$BY$126=0,"",INDEX('Liste outils'!$B$6:$B$130,Calcul!$BY$126)&amp;"")</f>
        <v>I0016</v>
      </c>
      <c r="B80" s="25" t="str">
        <f aca="false">IF(Calcul!$BY$126=0,"",INDEX('Liste outils'!$C$6:$C$130,Calcul!$BY$126)&amp;"")</f>
        <v>Insert</v>
      </c>
      <c r="C80" s="25" t="str">
        <f aca="false">IF(Calcul!$BY$126=0,"",IF(ISNUMBER(INDEX('Liste outils'!$E$6:$E$130,Calcul!$BY$126)),IF(NOT(ISNUMBER(INDEX('Liste outils'!$E$6:$E$130,Calcul!$BY$126))),"",IF(NOT(ISNUMBER(INDEX('Liste outils'!$E$6:$E$130,Calcul!$BY$126))),"",IF(INDEX('Liste outils'!$E$6:$E$130,Calcul!$BY$126)&lt;=0,"",IF(ABS(INDEX('Liste outils'!$E$6:$E$130,Calcul!$BY$126)*64-ROUND(INDEX('Liste outils'!$E$6:$E$130,Calcul!$BY$126)*64,0))&gt;0.0005,"≈ ","")&amp;IF(INT(ROUND(INDEX('Liste outils'!$E$6:$E$130,Calcul!$BY$126)*64,0)/64)&gt;0,INT(ROUND(INDEX('Liste outils'!$E$6:$E$130,Calcul!$BY$126)*64,0)/64)&amp;IF(MOD(ROUND(INDEX('Liste outils'!$E$6:$E$130,Calcul!$BY$126)*64,0),64)&gt;0," ",""),"")&amp;IF(MOD(ROUND(INDEX('Liste outils'!$E$6:$E$130,Calcul!$BY$126)*64,0),64)&gt;0,MOD(ROUND(INDEX('Liste outils'!$E$6:$E$130,Calcul!$BY$126)*64,0),64)/GCD(MOD(ROUND(INDEX('Liste outils'!$E$6:$E$130,Calcul!$BY$126)*64,0),64),64)&amp;"/"&amp;64/GCD(MOD(ROUND(INDEX('Liste outils'!$E$6:$E$130,Calcul!$BY$126)*64,0),64),64),IF(ROUND(INDEX('Liste outils'!$E$6:$E$130,Calcul!$BY$126)*64,0)=0,"0",""))&amp;""""))&amp;" · "&amp;FIXED(INDEX('Liste outils'!$E$6:$E$130,Calcul!$BY$126),4,TRUE())&amp;" po · "&amp;FIXED(INDEX('Liste outils'!$E$6:$E$130,Calcul!$BY$126)*25.4,3,TRUE())&amp;" mm"),""))</f>
        <v/>
      </c>
      <c r="D80" s="25" t="str">
        <f aca="false">IF(Calcul!$BY$126=0,"",IF(ISNUMBER(INDEX('Liste outils'!$H$6:$H$130,Calcul!$BY$126)),IF(NOT(ISNUMBER(INDEX('Liste outils'!$H$6:$H$130,Calcul!$BY$126))),"",IF(NOT(ISNUMBER(INDEX('Liste outils'!$H$6:$H$130,Calcul!$BY$126))),"",IF(INDEX('Liste outils'!$H$6:$H$130,Calcul!$BY$126)&lt;=0,"",IF(ABS(INDEX('Liste outils'!$H$6:$H$130,Calcul!$BY$126)*64-ROUND(INDEX('Liste outils'!$H$6:$H$130,Calcul!$BY$126)*64,0))&gt;0.0005,"≈ ","")&amp;IF(INT(ROUND(INDEX('Liste outils'!$H$6:$H$130,Calcul!$BY$126)*64,0)/64)&gt;0,INT(ROUND(INDEX('Liste outils'!$H$6:$H$130,Calcul!$BY$126)*64,0)/64)&amp;IF(MOD(ROUND(INDEX('Liste outils'!$H$6:$H$130,Calcul!$BY$126)*64,0),64)&gt;0," ",""),"")&amp;IF(MOD(ROUND(INDEX('Liste outils'!$H$6:$H$130,Calcul!$BY$126)*64,0),64)&gt;0,MOD(ROUND(INDEX('Liste outils'!$H$6:$H$130,Calcul!$BY$126)*64,0),64)/GCD(MOD(ROUND(INDEX('Liste outils'!$H$6:$H$130,Calcul!$BY$126)*64,0),64),64)&amp;"/"&amp;64/GCD(MOD(ROUND(INDEX('Liste outils'!$H$6:$H$130,Calcul!$BY$126)*64,0),64),64),IF(ROUND(INDEX('Liste outils'!$H$6:$H$130,Calcul!$BY$126)*64,0)=0,"0",""))&amp;""""))&amp;" · "&amp;FIXED(INDEX('Liste outils'!$H$6:$H$130,Calcul!$BY$126),4,TRUE())&amp;" po · "&amp;FIXED(INDEX('Liste outils'!$H$6:$H$130,Calcul!$BY$126)*25.4,3,TRUE())&amp;" mm"),""))</f>
        <v>≈ 15/64" · 0.2381 po · 6.048 mm</v>
      </c>
      <c r="E80" s="25" t="str">
        <f aca="false">IF(Calcul!$BY$126=0,"",INDEX('Liste outils'!$J$6:$J$130,Calcul!$BY$126)&amp;"")</f>
        <v>Neutral</v>
      </c>
      <c r="F80" s="25" t="str">
        <f aca="false">IF(Calcul!$BY$126=0,"",INDEX('Liste outils'!$K$6:$K$130,Calcul!$BY$126)&amp;"")</f>
        <v/>
      </c>
      <c r="G80" s="25" t="str">
        <f aca="false">IF(Calcul!$BY$126=0,"",INDEX('Liste outils'!$O$6:$O$130,Calcul!$BY$126)&amp;"")</f>
        <v>CCMT 2(1.5)1-UM 4425</v>
      </c>
      <c r="H80" s="25" t="str">
        <f aca="false">IF(Calcul!$BY$126=0,"",INDEX('Liste outils'!$P$6:$P$130,Calcul!$BY$126)&amp;"")</f>
        <v>SANDVIK</v>
      </c>
      <c r="I80" s="25" t="str">
        <f aca="false">IF(Calcul!$BY$126=0,"",INDEX('Liste outils'!$AB$6:$AB$130,Calcul!$BY$126)&amp;"")</f>
        <v>A-2-A-2</v>
      </c>
      <c r="J80" s="25" t="str">
        <f aca="false">IF(Calcul!$BY$126=0,"",INDEX('Liste outils'!$AA$6:$AA$130,Calcul!$BY$126)&amp;"")</f>
        <v>Steel, Stainless Steel</v>
      </c>
      <c r="K80" s="25" t="str">
        <f aca="false">IF(Calcul!$BY$126=0,"",INDEX('Liste outils'!$AC$6:$AC$130,Calcul!$BY$126)&amp;"")</f>
        <v/>
      </c>
    </row>
    <row r="81" customFormat="false" ht="15" hidden="false" customHeight="false" outlineLevel="0" collapsed="false">
      <c r="A81" s="24" t="str">
        <f aca="false">IF(Calcul!$BY$127=0,"",INDEX('Liste outils'!$B$6:$B$130,Calcul!$BY$127)&amp;"")</f>
        <v>I0008</v>
      </c>
      <c r="B81" s="25" t="str">
        <f aca="false">IF(Calcul!$BY$127=0,"",INDEX('Liste outils'!$C$6:$C$130,Calcul!$BY$127)&amp;"")</f>
        <v>Insert</v>
      </c>
      <c r="C81" s="25" t="str">
        <f aca="false">IF(Calcul!$BY$127=0,"",IF(ISNUMBER(INDEX('Liste outils'!$E$6:$E$130,Calcul!$BY$127)),IF(NOT(ISNUMBER(INDEX('Liste outils'!$E$6:$E$130,Calcul!$BY$127))),"",IF(NOT(ISNUMBER(INDEX('Liste outils'!$E$6:$E$130,Calcul!$BY$127))),"",IF(INDEX('Liste outils'!$E$6:$E$130,Calcul!$BY$127)&lt;=0,"",IF(ABS(INDEX('Liste outils'!$E$6:$E$130,Calcul!$BY$127)*64-ROUND(INDEX('Liste outils'!$E$6:$E$130,Calcul!$BY$127)*64,0))&gt;0.0005,"≈ ","")&amp;IF(INT(ROUND(INDEX('Liste outils'!$E$6:$E$130,Calcul!$BY$127)*64,0)/64)&gt;0,INT(ROUND(INDEX('Liste outils'!$E$6:$E$130,Calcul!$BY$127)*64,0)/64)&amp;IF(MOD(ROUND(INDEX('Liste outils'!$E$6:$E$130,Calcul!$BY$127)*64,0),64)&gt;0," ",""),"")&amp;IF(MOD(ROUND(INDEX('Liste outils'!$E$6:$E$130,Calcul!$BY$127)*64,0),64)&gt;0,MOD(ROUND(INDEX('Liste outils'!$E$6:$E$130,Calcul!$BY$127)*64,0),64)/GCD(MOD(ROUND(INDEX('Liste outils'!$E$6:$E$130,Calcul!$BY$127)*64,0),64),64)&amp;"/"&amp;64/GCD(MOD(ROUND(INDEX('Liste outils'!$E$6:$E$130,Calcul!$BY$127)*64,0),64),64),IF(ROUND(INDEX('Liste outils'!$E$6:$E$130,Calcul!$BY$127)*64,0)=0,"0",""))&amp;""""))&amp;" · "&amp;FIXED(INDEX('Liste outils'!$E$6:$E$130,Calcul!$BY$127),4,TRUE())&amp;" po · "&amp;FIXED(INDEX('Liste outils'!$E$6:$E$130,Calcul!$BY$127)*25.4,3,TRUE())&amp;" mm"),""))</f>
        <v/>
      </c>
      <c r="D81" s="25" t="str">
        <f aca="false">IF(Calcul!$BY$127=0,"",IF(ISNUMBER(INDEX('Liste outils'!$H$6:$H$130,Calcul!$BY$127)),IF(NOT(ISNUMBER(INDEX('Liste outils'!$H$6:$H$130,Calcul!$BY$127))),"",IF(NOT(ISNUMBER(INDEX('Liste outils'!$H$6:$H$130,Calcul!$BY$127))),"",IF(INDEX('Liste outils'!$H$6:$H$130,Calcul!$BY$127)&lt;=0,"",IF(ABS(INDEX('Liste outils'!$H$6:$H$130,Calcul!$BY$127)*64-ROUND(INDEX('Liste outils'!$H$6:$H$130,Calcul!$BY$127)*64,0))&gt;0.0005,"≈ ","")&amp;IF(INT(ROUND(INDEX('Liste outils'!$H$6:$H$130,Calcul!$BY$127)*64,0)/64)&gt;0,INT(ROUND(INDEX('Liste outils'!$H$6:$H$130,Calcul!$BY$127)*64,0)/64)&amp;IF(MOD(ROUND(INDEX('Liste outils'!$H$6:$H$130,Calcul!$BY$127)*64,0),64)&gt;0," ",""),"")&amp;IF(MOD(ROUND(INDEX('Liste outils'!$H$6:$H$130,Calcul!$BY$127)*64,0),64)&gt;0,MOD(ROUND(INDEX('Liste outils'!$H$6:$H$130,Calcul!$BY$127)*64,0),64)/GCD(MOD(ROUND(INDEX('Liste outils'!$H$6:$H$130,Calcul!$BY$127)*64,0),64),64)&amp;"/"&amp;64/GCD(MOD(ROUND(INDEX('Liste outils'!$H$6:$H$130,Calcul!$BY$127)*64,0),64),64),IF(ROUND(INDEX('Liste outils'!$H$6:$H$130,Calcul!$BY$127)*64,0)=0,"0",""))&amp;""""))&amp;" · "&amp;FIXED(INDEX('Liste outils'!$H$6:$H$130,Calcul!$BY$127),4,TRUE())&amp;" po · "&amp;FIXED(INDEX('Liste outils'!$H$6:$H$130,Calcul!$BY$127)*25.4,3,TRUE())&amp;" mm"),""))</f>
        <v>≈ 19/64" · 0.2894 po · 7.351 mm</v>
      </c>
      <c r="E81" s="25" t="str">
        <f aca="false">IF(Calcul!$BY$127=0,"",INDEX('Liste outils'!$J$6:$J$130,Calcul!$BY$127)&amp;"")</f>
        <v>Neutral</v>
      </c>
      <c r="F81" s="25" t="str">
        <f aca="false">IF(Calcul!$BY$127=0,"",INDEX('Liste outils'!$K$6:$K$130,Calcul!$BY$127)&amp;"")</f>
        <v/>
      </c>
      <c r="G81" s="25" t="str">
        <f aca="false">IF(Calcul!$BY$127=0,"",INDEX('Liste outils'!$O$6:$O$130,Calcul!$BY$127)&amp;"")</f>
        <v>DCGX 2(1.5)1-AL H10</v>
      </c>
      <c r="H81" s="25" t="str">
        <f aca="false">IF(Calcul!$BY$127=0,"",INDEX('Liste outils'!$P$6:$P$130,Calcul!$BY$127)&amp;"")</f>
        <v>SANDVIK</v>
      </c>
      <c r="I81" s="25" t="str">
        <f aca="false">IF(Calcul!$BY$127=0,"",INDEX('Liste outils'!$AB$6:$AB$130,Calcul!$BY$127)&amp;"")</f>
        <v>A-2-B-1</v>
      </c>
      <c r="J81" s="25" t="str">
        <f aca="false">IF(Calcul!$BY$127=0,"",INDEX('Liste outils'!$AA$6:$AA$130,Calcul!$BY$127)&amp;"")</f>
        <v>Non-Ferrous Metal</v>
      </c>
      <c r="K81" s="25" t="str">
        <f aca="false">IF(Calcul!$BY$127=0,"",INDEX('Liste outils'!$AC$6:$AC$130,Calcul!$BY$127)&amp;"")</f>
        <v/>
      </c>
    </row>
    <row r="82" customFormat="false" ht="23.85" hidden="false" customHeight="false" outlineLevel="0" collapsed="false">
      <c r="A82" s="24" t="str">
        <f aca="false">IF(Calcul!$BY$128=0,"",INDEX('Liste outils'!$B$6:$B$130,Calcul!$BY$128)&amp;"")</f>
        <v>I0017</v>
      </c>
      <c r="B82" s="25" t="str">
        <f aca="false">IF(Calcul!$BY$128=0,"",INDEX('Liste outils'!$C$6:$C$130,Calcul!$BY$128)&amp;"")</f>
        <v>Insert</v>
      </c>
      <c r="C82" s="25" t="str">
        <f aca="false">IF(Calcul!$BY$128=0,"",IF(ISNUMBER(INDEX('Liste outils'!$E$6:$E$130,Calcul!$BY$128)),IF(NOT(ISNUMBER(INDEX('Liste outils'!$E$6:$E$130,Calcul!$BY$128))),"",IF(NOT(ISNUMBER(INDEX('Liste outils'!$E$6:$E$130,Calcul!$BY$128))),"",IF(INDEX('Liste outils'!$E$6:$E$130,Calcul!$BY$128)&lt;=0,"",IF(ABS(INDEX('Liste outils'!$E$6:$E$130,Calcul!$BY$128)*64-ROUND(INDEX('Liste outils'!$E$6:$E$130,Calcul!$BY$128)*64,0))&gt;0.0005,"≈ ","")&amp;IF(INT(ROUND(INDEX('Liste outils'!$E$6:$E$130,Calcul!$BY$128)*64,0)/64)&gt;0,INT(ROUND(INDEX('Liste outils'!$E$6:$E$130,Calcul!$BY$128)*64,0)/64)&amp;IF(MOD(ROUND(INDEX('Liste outils'!$E$6:$E$130,Calcul!$BY$128)*64,0),64)&gt;0," ",""),"")&amp;IF(MOD(ROUND(INDEX('Liste outils'!$E$6:$E$130,Calcul!$BY$128)*64,0),64)&gt;0,MOD(ROUND(INDEX('Liste outils'!$E$6:$E$130,Calcul!$BY$128)*64,0),64)/GCD(MOD(ROUND(INDEX('Liste outils'!$E$6:$E$130,Calcul!$BY$128)*64,0),64),64)&amp;"/"&amp;64/GCD(MOD(ROUND(INDEX('Liste outils'!$E$6:$E$130,Calcul!$BY$128)*64,0),64),64),IF(ROUND(INDEX('Liste outils'!$E$6:$E$130,Calcul!$BY$128)*64,0)=0,"0",""))&amp;""""))&amp;" · "&amp;FIXED(INDEX('Liste outils'!$E$6:$E$130,Calcul!$BY$128),4,TRUE())&amp;" po · "&amp;FIXED(INDEX('Liste outils'!$E$6:$E$130,Calcul!$BY$128)*25.4,3,TRUE())&amp;" mm"),""))</f>
        <v/>
      </c>
      <c r="D82" s="25" t="str">
        <f aca="false">IF(Calcul!$BY$128=0,"",IF(ISNUMBER(INDEX('Liste outils'!$H$6:$H$130,Calcul!$BY$128)),IF(NOT(ISNUMBER(INDEX('Liste outils'!$H$6:$H$130,Calcul!$BY$128))),"",IF(NOT(ISNUMBER(INDEX('Liste outils'!$H$6:$H$130,Calcul!$BY$128))),"",IF(INDEX('Liste outils'!$H$6:$H$130,Calcul!$BY$128)&lt;=0,"",IF(ABS(INDEX('Liste outils'!$H$6:$H$130,Calcul!$BY$128)*64-ROUND(INDEX('Liste outils'!$H$6:$H$130,Calcul!$BY$128)*64,0))&gt;0.0005,"≈ ","")&amp;IF(INT(ROUND(INDEX('Liste outils'!$H$6:$H$130,Calcul!$BY$128)*64,0)/64)&gt;0,INT(ROUND(INDEX('Liste outils'!$H$6:$H$130,Calcul!$BY$128)*64,0)/64)&amp;IF(MOD(ROUND(INDEX('Liste outils'!$H$6:$H$130,Calcul!$BY$128)*64,0),64)&gt;0," ",""),"")&amp;IF(MOD(ROUND(INDEX('Liste outils'!$H$6:$H$130,Calcul!$BY$128)*64,0),64)&gt;0,MOD(ROUND(INDEX('Liste outils'!$H$6:$H$130,Calcul!$BY$128)*64,0),64)/GCD(MOD(ROUND(INDEX('Liste outils'!$H$6:$H$130,Calcul!$BY$128)*64,0),64),64)&amp;"/"&amp;64/GCD(MOD(ROUND(INDEX('Liste outils'!$H$6:$H$130,Calcul!$BY$128)*64,0),64),64),IF(ROUND(INDEX('Liste outils'!$H$6:$H$130,Calcul!$BY$128)*64,0)=0,"0",""))&amp;""""))&amp;" · "&amp;FIXED(INDEX('Liste outils'!$H$6:$H$130,Calcul!$BY$128),4,TRUE())&amp;" po · "&amp;FIXED(INDEX('Liste outils'!$H$6:$H$130,Calcul!$BY$128)*25.4,3,TRUE())&amp;" mm"),""))</f>
        <v>≈ 3/8" · 0.3740 po · 9.500 mm</v>
      </c>
      <c r="E82" s="25" t="str">
        <f aca="false">IF(Calcul!$BY$128=0,"",INDEX('Liste outils'!$J$6:$J$130,Calcul!$BY$128)&amp;"")</f>
        <v>Neutral</v>
      </c>
      <c r="F82" s="25" t="str">
        <f aca="false">IF(Calcul!$BY$128=0,"",INDEX('Liste outils'!$K$6:$K$130,Calcul!$BY$128)&amp;"")</f>
        <v/>
      </c>
      <c r="G82" s="25" t="str">
        <f aca="false">IF(Calcul!$BY$128=0,"",INDEX('Liste outils'!$O$6:$O$130,Calcul!$BY$128)&amp;"")</f>
        <v>BGHX15L5PCFRGG1W</v>
      </c>
      <c r="H82" s="25" t="str">
        <f aca="false">IF(Calcul!$BY$128=0,"",INDEX('Liste outils'!$P$6:$P$130,Calcul!$BY$128)&amp;"")</f>
        <v>KENNAMETAL</v>
      </c>
      <c r="I82" s="25" t="str">
        <f aca="false">IF(Calcul!$BY$128=0,"",INDEX('Liste outils'!$AB$6:$AB$130,Calcul!$BY$128)&amp;"")</f>
        <v>A-2-E-4</v>
      </c>
      <c r="J82" s="25" t="str">
        <f aca="false">IF(Calcul!$BY$128=0,"",INDEX('Liste outils'!$AA$6:$AA$130,Calcul!$BY$128)&amp;"")</f>
        <v>Non-Ferrous Metal, Cast Iron</v>
      </c>
      <c r="K82" s="25" t="str">
        <f aca="false">IF(Calcul!$BY$128=0,"",INDEX('Liste outils'!$AC$6:$AC$130,Calcul!$BY$128)&amp;"")</f>
        <v>Used in the Face Mill 2.5" Cutter</v>
      </c>
    </row>
    <row r="83" customFormat="false" ht="15" hidden="false" customHeight="false" outlineLevel="0" collapsed="false">
      <c r="A83" s="24" t="str">
        <f aca="false">IF(Calcul!$BY$129=0,"",INDEX('Liste outils'!$B$6:$B$130,Calcul!$BY$129)&amp;"")</f>
        <v>I0010</v>
      </c>
      <c r="B83" s="25" t="str">
        <f aca="false">IF(Calcul!$BY$129=0,"",INDEX('Liste outils'!$C$6:$C$130,Calcul!$BY$129)&amp;"")</f>
        <v>Insert</v>
      </c>
      <c r="C83" s="25" t="str">
        <f aca="false">IF(Calcul!$BY$129=0,"",IF(ISNUMBER(INDEX('Liste outils'!$E$6:$E$130,Calcul!$BY$129)),IF(NOT(ISNUMBER(INDEX('Liste outils'!$E$6:$E$130,Calcul!$BY$129))),"",IF(NOT(ISNUMBER(INDEX('Liste outils'!$E$6:$E$130,Calcul!$BY$129))),"",IF(INDEX('Liste outils'!$E$6:$E$130,Calcul!$BY$129)&lt;=0,"",IF(ABS(INDEX('Liste outils'!$E$6:$E$130,Calcul!$BY$129)*64-ROUND(INDEX('Liste outils'!$E$6:$E$130,Calcul!$BY$129)*64,0))&gt;0.0005,"≈ ","")&amp;IF(INT(ROUND(INDEX('Liste outils'!$E$6:$E$130,Calcul!$BY$129)*64,0)/64)&gt;0,INT(ROUND(INDEX('Liste outils'!$E$6:$E$130,Calcul!$BY$129)*64,0)/64)&amp;IF(MOD(ROUND(INDEX('Liste outils'!$E$6:$E$130,Calcul!$BY$129)*64,0),64)&gt;0," ",""),"")&amp;IF(MOD(ROUND(INDEX('Liste outils'!$E$6:$E$130,Calcul!$BY$129)*64,0),64)&gt;0,MOD(ROUND(INDEX('Liste outils'!$E$6:$E$130,Calcul!$BY$129)*64,0),64)/GCD(MOD(ROUND(INDEX('Liste outils'!$E$6:$E$130,Calcul!$BY$129)*64,0),64),64)&amp;"/"&amp;64/GCD(MOD(ROUND(INDEX('Liste outils'!$E$6:$E$130,Calcul!$BY$129)*64,0),64),64),IF(ROUND(INDEX('Liste outils'!$E$6:$E$130,Calcul!$BY$129)*64,0)=0,"0",""))&amp;""""))&amp;" · "&amp;FIXED(INDEX('Liste outils'!$E$6:$E$130,Calcul!$BY$129),4,TRUE())&amp;" po · "&amp;FIXED(INDEX('Liste outils'!$E$6:$E$130,Calcul!$BY$129)*25.4,3,TRUE())&amp;" mm"),""))</f>
        <v/>
      </c>
      <c r="D83" s="25" t="str">
        <f aca="false">IF(Calcul!$BY$129=0,"",IF(ISNUMBER(INDEX('Liste outils'!$H$6:$H$130,Calcul!$BY$129)),IF(NOT(ISNUMBER(INDEX('Liste outils'!$H$6:$H$130,Calcul!$BY$129))),"",IF(NOT(ISNUMBER(INDEX('Liste outils'!$H$6:$H$130,Calcul!$BY$129))),"",IF(INDEX('Liste outils'!$H$6:$H$130,Calcul!$BY$129)&lt;=0,"",IF(ABS(INDEX('Liste outils'!$H$6:$H$130,Calcul!$BY$129)*64-ROUND(INDEX('Liste outils'!$H$6:$H$130,Calcul!$BY$129)*64,0))&gt;0.0005,"≈ ","")&amp;IF(INT(ROUND(INDEX('Liste outils'!$H$6:$H$130,Calcul!$BY$129)*64,0)/64)&gt;0,INT(ROUND(INDEX('Liste outils'!$H$6:$H$130,Calcul!$BY$129)*64,0)/64)&amp;IF(MOD(ROUND(INDEX('Liste outils'!$H$6:$H$130,Calcul!$BY$129)*64,0),64)&gt;0," ",""),"")&amp;IF(MOD(ROUND(INDEX('Liste outils'!$H$6:$H$130,Calcul!$BY$129)*64,0),64)&gt;0,MOD(ROUND(INDEX('Liste outils'!$H$6:$H$130,Calcul!$BY$129)*64,0),64)/GCD(MOD(ROUND(INDEX('Liste outils'!$H$6:$H$130,Calcul!$BY$129)*64,0),64),64)&amp;"/"&amp;64/GCD(MOD(ROUND(INDEX('Liste outils'!$H$6:$H$130,Calcul!$BY$129)*64,0),64),64),IF(ROUND(INDEX('Liste outils'!$H$6:$H$130,Calcul!$BY$129)*64,0)=0,"0",""))&amp;""""))&amp;" · "&amp;FIXED(INDEX('Liste outils'!$H$6:$H$130,Calcul!$BY$129),4,TRUE())&amp;" po · "&amp;FIXED(INDEX('Liste outils'!$H$6:$H$130,Calcul!$BY$129)*25.4,3,TRUE())&amp;" mm"),""))</f>
        <v>≈ 25/32" · 0.7870 po · 19.990 mm</v>
      </c>
      <c r="E83" s="25" t="str">
        <f aca="false">IF(Calcul!$BY$129=0,"",INDEX('Liste outils'!$J$6:$J$130,Calcul!$BY$129)&amp;"")</f>
        <v>Right</v>
      </c>
      <c r="F83" s="25" t="str">
        <f aca="false">IF(Calcul!$BY$129=0,"",INDEX('Liste outils'!$K$6:$K$130,Calcul!$BY$129)&amp;"")</f>
        <v/>
      </c>
      <c r="G83" s="25" t="str">
        <f aca="false">IF(Calcul!$BY$129=0,"",INDEX('Liste outils'!$O$6:$O$130,Calcul!$BY$129)&amp;"")</f>
        <v>R105.4719.3.4 TI25</v>
      </c>
      <c r="H83" s="25" t="str">
        <f aca="false">IF(Calcul!$BY$129=0,"",INDEX('Liste outils'!$P$6:$P$130,Calcul!$BY$129)&amp;"")</f>
        <v>PH HORN</v>
      </c>
      <c r="I83" s="25" t="str">
        <f aca="false">IF(Calcul!$BY$129=0,"",INDEX('Liste outils'!$AB$6:$AB$130,Calcul!$BY$129)&amp;"")</f>
        <v>A-2-D-4</v>
      </c>
      <c r="J83" s="25" t="str">
        <f aca="false">IF(Calcul!$BY$129=0,"",INDEX('Liste outils'!$AA$6:$AA$130,Calcul!$BY$129)&amp;"")</f>
        <v>Multi-materials</v>
      </c>
      <c r="K83" s="25" t="str">
        <f aca="false">IF(Calcul!$BY$129=0,"",INDEX('Liste outils'!$AC$6:$AC$130,Calcul!$BY$129)&amp;"")</f>
        <v/>
      </c>
    </row>
    <row r="84" customFormat="false" ht="23.85" hidden="false" customHeight="false" outlineLevel="0" collapsed="false">
      <c r="A84" s="24" t="str">
        <f aca="false">IF(Calcul!$BY$130=0,"",INDEX('Liste outils'!$B$6:$B$130,Calcul!$BY$130)&amp;"")</f>
        <v>I0012</v>
      </c>
      <c r="B84" s="25" t="str">
        <f aca="false">IF(Calcul!$BY$130=0,"",INDEX('Liste outils'!$C$6:$C$130,Calcul!$BY$130)&amp;"")</f>
        <v>Insert</v>
      </c>
      <c r="C84" s="25" t="str">
        <f aca="false">IF(Calcul!$BY$130=0,"",IF(ISNUMBER(INDEX('Liste outils'!$E$6:$E$130,Calcul!$BY$130)),IF(NOT(ISNUMBER(INDEX('Liste outils'!$E$6:$E$130,Calcul!$BY$130))),"",IF(NOT(ISNUMBER(INDEX('Liste outils'!$E$6:$E$130,Calcul!$BY$130))),"",IF(INDEX('Liste outils'!$E$6:$E$130,Calcul!$BY$130)&lt;=0,"",IF(ABS(INDEX('Liste outils'!$E$6:$E$130,Calcul!$BY$130)*64-ROUND(INDEX('Liste outils'!$E$6:$E$130,Calcul!$BY$130)*64,0))&gt;0.0005,"≈ ","")&amp;IF(INT(ROUND(INDEX('Liste outils'!$E$6:$E$130,Calcul!$BY$130)*64,0)/64)&gt;0,INT(ROUND(INDEX('Liste outils'!$E$6:$E$130,Calcul!$BY$130)*64,0)/64)&amp;IF(MOD(ROUND(INDEX('Liste outils'!$E$6:$E$130,Calcul!$BY$130)*64,0),64)&gt;0," ",""),"")&amp;IF(MOD(ROUND(INDEX('Liste outils'!$E$6:$E$130,Calcul!$BY$130)*64,0),64)&gt;0,MOD(ROUND(INDEX('Liste outils'!$E$6:$E$130,Calcul!$BY$130)*64,0),64)/GCD(MOD(ROUND(INDEX('Liste outils'!$E$6:$E$130,Calcul!$BY$130)*64,0),64),64)&amp;"/"&amp;64/GCD(MOD(ROUND(INDEX('Liste outils'!$E$6:$E$130,Calcul!$BY$130)*64,0),64),64),IF(ROUND(INDEX('Liste outils'!$E$6:$E$130,Calcul!$BY$130)*64,0)=0,"0",""))&amp;""""))&amp;" · "&amp;FIXED(INDEX('Liste outils'!$E$6:$E$130,Calcul!$BY$130),4,TRUE())&amp;" po · "&amp;FIXED(INDEX('Liste outils'!$E$6:$E$130,Calcul!$BY$130)*25.4,3,TRUE())&amp;" mm"),""))</f>
        <v/>
      </c>
      <c r="D84" s="25" t="str">
        <f aca="false">IF(Calcul!$BY$130=0,"",IF(ISNUMBER(INDEX('Liste outils'!$H$6:$H$130,Calcul!$BY$130)),IF(NOT(ISNUMBER(INDEX('Liste outils'!$H$6:$H$130,Calcul!$BY$130))),"",IF(NOT(ISNUMBER(INDEX('Liste outils'!$H$6:$H$130,Calcul!$BY$130))),"",IF(INDEX('Liste outils'!$H$6:$H$130,Calcul!$BY$130)&lt;=0,"",IF(ABS(INDEX('Liste outils'!$H$6:$H$130,Calcul!$BY$130)*64-ROUND(INDEX('Liste outils'!$H$6:$H$130,Calcul!$BY$130)*64,0))&gt;0.0005,"≈ ","")&amp;IF(INT(ROUND(INDEX('Liste outils'!$H$6:$H$130,Calcul!$BY$130)*64,0)/64)&gt;0,INT(ROUND(INDEX('Liste outils'!$H$6:$H$130,Calcul!$BY$130)*64,0)/64)&amp;IF(MOD(ROUND(INDEX('Liste outils'!$H$6:$H$130,Calcul!$BY$130)*64,0),64)&gt;0," ",""),"")&amp;IF(MOD(ROUND(INDEX('Liste outils'!$H$6:$H$130,Calcul!$BY$130)*64,0),64)&gt;0,MOD(ROUND(INDEX('Liste outils'!$H$6:$H$130,Calcul!$BY$130)*64,0),64)/GCD(MOD(ROUND(INDEX('Liste outils'!$H$6:$H$130,Calcul!$BY$130)*64,0),64),64)&amp;"/"&amp;64/GCD(MOD(ROUND(INDEX('Liste outils'!$H$6:$H$130,Calcul!$BY$130)*64,0),64),64),IF(ROUND(INDEX('Liste outils'!$H$6:$H$130,Calcul!$BY$130)*64,0)=0,"0",""))&amp;""""))&amp;" · "&amp;FIXED(INDEX('Liste outils'!$H$6:$H$130,Calcul!$BY$130),4,TRUE())&amp;" po · "&amp;FIXED(INDEX('Liste outils'!$H$6:$H$130,Calcul!$BY$130)*25.4,3,TRUE())&amp;" mm"),""))</f>
        <v>≈ 51/64" · 0.7992 po · 20.300 mm</v>
      </c>
      <c r="E84" s="25" t="str">
        <f aca="false">IF(Calcul!$BY$130=0,"",INDEX('Liste outils'!$J$6:$J$130,Calcul!$BY$130)&amp;"")</f>
        <v>Right</v>
      </c>
      <c r="F84" s="25" t="str">
        <f aca="false">IF(Calcul!$BY$130=0,"",INDEX('Liste outils'!$K$6:$K$130,Calcul!$BY$130)&amp;"")</f>
        <v/>
      </c>
      <c r="G84" s="25" t="str">
        <f aca="false">IF(Calcul!$BY$130=0,"",INDEX('Liste outils'!$O$6:$O$130,Calcul!$BY$130)&amp;"")</f>
        <v>CXS-05T098A20-5220R 1025</v>
      </c>
      <c r="H84" s="25" t="str">
        <f aca="false">IF(Calcul!$BY$130=0,"",INDEX('Liste outils'!$P$6:$P$130,Calcul!$BY$130)&amp;"")</f>
        <v>SANDVIK</v>
      </c>
      <c r="I84" s="25" t="str">
        <f aca="false">IF(Calcul!$BY$130=0,"",INDEX('Liste outils'!$AB$6:$AB$130,Calcul!$BY$130)&amp;"")</f>
        <v>A-2-C-2</v>
      </c>
      <c r="J84" s="25" t="str">
        <f aca="false">IF(Calcul!$BY$130=0,"",INDEX('Liste outils'!$AA$6:$AA$130,Calcul!$BY$130)&amp;"")</f>
        <v/>
      </c>
      <c r="K84" s="25" t="str">
        <f aca="false">IF(Calcul!$BY$130=0,"",INDEX('Liste outils'!$AC$6:$AC$130,Calcul!$BY$130)&amp;"")</f>
        <v/>
      </c>
    </row>
    <row r="85" customFormat="false" ht="15" hidden="false" customHeight="false" outlineLevel="0" collapsed="false">
      <c r="A85" s="24" t="str">
        <f aca="false">IF(Calcul!$BY$131=0,"",INDEX('Liste outils'!$B$6:$B$130,Calcul!$BY$131)&amp;"")</f>
        <v>I0001</v>
      </c>
      <c r="B85" s="25" t="str">
        <f aca="false">IF(Calcul!$BY$131=0,"",INDEX('Liste outils'!$C$6:$C$130,Calcul!$BY$131)&amp;"")</f>
        <v>Insert</v>
      </c>
      <c r="C85" s="25" t="str">
        <f aca="false">IF(Calcul!$BY$131=0,"",IF(ISNUMBER(INDEX('Liste outils'!$E$6:$E$130,Calcul!$BY$131)),IF(NOT(ISNUMBER(INDEX('Liste outils'!$E$6:$E$130,Calcul!$BY$131))),"",IF(NOT(ISNUMBER(INDEX('Liste outils'!$E$6:$E$130,Calcul!$BY$131))),"",IF(INDEX('Liste outils'!$E$6:$E$130,Calcul!$BY$131)&lt;=0,"",IF(ABS(INDEX('Liste outils'!$E$6:$E$130,Calcul!$BY$131)*64-ROUND(INDEX('Liste outils'!$E$6:$E$130,Calcul!$BY$131)*64,0))&gt;0.0005,"≈ ","")&amp;IF(INT(ROUND(INDEX('Liste outils'!$E$6:$E$130,Calcul!$BY$131)*64,0)/64)&gt;0,INT(ROUND(INDEX('Liste outils'!$E$6:$E$130,Calcul!$BY$131)*64,0)/64)&amp;IF(MOD(ROUND(INDEX('Liste outils'!$E$6:$E$130,Calcul!$BY$131)*64,0),64)&gt;0," ",""),"")&amp;IF(MOD(ROUND(INDEX('Liste outils'!$E$6:$E$130,Calcul!$BY$131)*64,0),64)&gt;0,MOD(ROUND(INDEX('Liste outils'!$E$6:$E$130,Calcul!$BY$131)*64,0),64)/GCD(MOD(ROUND(INDEX('Liste outils'!$E$6:$E$130,Calcul!$BY$131)*64,0),64),64)&amp;"/"&amp;64/GCD(MOD(ROUND(INDEX('Liste outils'!$E$6:$E$130,Calcul!$BY$131)*64,0),64),64),IF(ROUND(INDEX('Liste outils'!$E$6:$E$130,Calcul!$BY$131)*64,0)=0,"0",""))&amp;""""))&amp;" · "&amp;FIXED(INDEX('Liste outils'!$E$6:$E$130,Calcul!$BY$131),4,TRUE())&amp;" po · "&amp;FIXED(INDEX('Liste outils'!$E$6:$E$130,Calcul!$BY$131)*25.4,3,TRUE())&amp;" mm"),""))</f>
        <v/>
      </c>
      <c r="D85" s="25" t="str">
        <f aca="false">IF(Calcul!$BY$131=0,"",IF(ISNUMBER(INDEX('Liste outils'!$H$6:$H$130,Calcul!$BY$131)),IF(NOT(ISNUMBER(INDEX('Liste outils'!$H$6:$H$130,Calcul!$BY$131))),"",IF(NOT(ISNUMBER(INDEX('Liste outils'!$H$6:$H$130,Calcul!$BY$131))),"",IF(INDEX('Liste outils'!$H$6:$H$130,Calcul!$BY$131)&lt;=0,"",IF(ABS(INDEX('Liste outils'!$H$6:$H$130,Calcul!$BY$131)*64-ROUND(INDEX('Liste outils'!$H$6:$H$130,Calcul!$BY$131)*64,0))&gt;0.0005,"≈ ","")&amp;IF(INT(ROUND(INDEX('Liste outils'!$H$6:$H$130,Calcul!$BY$131)*64,0)/64)&gt;0,INT(ROUND(INDEX('Liste outils'!$H$6:$H$130,Calcul!$BY$131)*64,0)/64)&amp;IF(MOD(ROUND(INDEX('Liste outils'!$H$6:$H$130,Calcul!$BY$131)*64,0),64)&gt;0," ",""),"")&amp;IF(MOD(ROUND(INDEX('Liste outils'!$H$6:$H$130,Calcul!$BY$131)*64,0),64)&gt;0,MOD(ROUND(INDEX('Liste outils'!$H$6:$H$130,Calcul!$BY$131)*64,0),64)/GCD(MOD(ROUND(INDEX('Liste outils'!$H$6:$H$130,Calcul!$BY$131)*64,0),64),64)&amp;"/"&amp;64/GCD(MOD(ROUND(INDEX('Liste outils'!$H$6:$H$130,Calcul!$BY$131)*64,0),64),64),IF(ROUND(INDEX('Liste outils'!$H$6:$H$130,Calcul!$BY$131)*64,0)=0,"0",""))&amp;""""))&amp;" · "&amp;FIXED(INDEX('Liste outils'!$H$6:$H$130,Calcul!$BY$131),4,TRUE())&amp;" po · "&amp;FIXED(INDEX('Liste outils'!$H$6:$H$130,Calcul!$BY$131)*25.4,3,TRUE())&amp;" mm"),""))</f>
        <v>7/8" · 0.8750 po · 22.225 mm</v>
      </c>
      <c r="E85" s="25" t="str">
        <f aca="false">IF(Calcul!$BY$131=0,"",INDEX('Liste outils'!$J$6:$J$130,Calcul!$BY$131)&amp;"")</f>
        <v/>
      </c>
      <c r="F85" s="25" t="str">
        <f aca="false">IF(Calcul!$BY$131=0,"",INDEX('Liste outils'!$K$6:$K$130,Calcul!$BY$131)&amp;"")</f>
        <v/>
      </c>
      <c r="G85" s="25" t="str">
        <f aca="false">IF(Calcul!$BY$131=0,"",INDEX('Liste outils'!$O$6:$O$130,Calcul!$BY$131)&amp;"")</f>
        <v>229.0300.10 K10</v>
      </c>
      <c r="H85" s="25" t="str">
        <f aca="false">IF(Calcul!$BY$131=0,"",INDEX('Liste outils'!$P$6:$P$130,Calcul!$BY$131)&amp;"")</f>
        <v>PH HORN</v>
      </c>
      <c r="I85" s="25" t="str">
        <f aca="false">IF(Calcul!$BY$131=0,"",INDEX('Liste outils'!$AB$6:$AB$130,Calcul!$BY$131)&amp;"")</f>
        <v>A-2-D-3</v>
      </c>
      <c r="J85" s="25" t="str">
        <f aca="false">IF(Calcul!$BY$131=0,"",INDEX('Liste outils'!$AA$6:$AA$130,Calcul!$BY$131)&amp;"")</f>
        <v>Multi-materials</v>
      </c>
      <c r="K85" s="25" t="str">
        <f aca="false">IF(Calcul!$BY$131=0,"",INDEX('Liste outils'!$AC$6:$AC$130,Calcul!$BY$131)&amp;"")</f>
        <v>Tip width is 0.1181</v>
      </c>
    </row>
    <row r="86" customFormat="false" ht="15" hidden="false" customHeight="false" outlineLevel="0" collapsed="false">
      <c r="A86" s="24" t="str">
        <f aca="false">IF(Calcul!$BY$132=0,"",INDEX('Liste outils'!$B$6:$B$130,Calcul!$BY$132)&amp;"")</f>
        <v>I0002</v>
      </c>
      <c r="B86" s="25" t="str">
        <f aca="false">IF(Calcul!$BY$132=0,"",INDEX('Liste outils'!$C$6:$C$130,Calcul!$BY$132)&amp;"")</f>
        <v>Insert</v>
      </c>
      <c r="C86" s="25" t="str">
        <f aca="false">IF(Calcul!$BY$132=0,"",IF(ISNUMBER(INDEX('Liste outils'!$E$6:$E$130,Calcul!$BY$132)),IF(NOT(ISNUMBER(INDEX('Liste outils'!$E$6:$E$130,Calcul!$BY$132))),"",IF(NOT(ISNUMBER(INDEX('Liste outils'!$E$6:$E$130,Calcul!$BY$132))),"",IF(INDEX('Liste outils'!$E$6:$E$130,Calcul!$BY$132)&lt;=0,"",IF(ABS(INDEX('Liste outils'!$E$6:$E$130,Calcul!$BY$132)*64-ROUND(INDEX('Liste outils'!$E$6:$E$130,Calcul!$BY$132)*64,0))&gt;0.0005,"≈ ","")&amp;IF(INT(ROUND(INDEX('Liste outils'!$E$6:$E$130,Calcul!$BY$132)*64,0)/64)&gt;0,INT(ROUND(INDEX('Liste outils'!$E$6:$E$130,Calcul!$BY$132)*64,0)/64)&amp;IF(MOD(ROUND(INDEX('Liste outils'!$E$6:$E$130,Calcul!$BY$132)*64,0),64)&gt;0," ",""),"")&amp;IF(MOD(ROUND(INDEX('Liste outils'!$E$6:$E$130,Calcul!$BY$132)*64,0),64)&gt;0,MOD(ROUND(INDEX('Liste outils'!$E$6:$E$130,Calcul!$BY$132)*64,0),64)/GCD(MOD(ROUND(INDEX('Liste outils'!$E$6:$E$130,Calcul!$BY$132)*64,0),64),64)&amp;"/"&amp;64/GCD(MOD(ROUND(INDEX('Liste outils'!$E$6:$E$130,Calcul!$BY$132)*64,0),64),64),IF(ROUND(INDEX('Liste outils'!$E$6:$E$130,Calcul!$BY$132)*64,0)=0,"0",""))&amp;""""))&amp;" · "&amp;FIXED(INDEX('Liste outils'!$E$6:$E$130,Calcul!$BY$132),4,TRUE())&amp;" po · "&amp;FIXED(INDEX('Liste outils'!$E$6:$E$130,Calcul!$BY$132)*25.4,3,TRUE())&amp;" mm"),""))</f>
        <v/>
      </c>
      <c r="D86" s="25" t="str">
        <f aca="false">IF(Calcul!$BY$132=0,"",IF(ISNUMBER(INDEX('Liste outils'!$H$6:$H$130,Calcul!$BY$132)),IF(NOT(ISNUMBER(INDEX('Liste outils'!$H$6:$H$130,Calcul!$BY$132))),"",IF(NOT(ISNUMBER(INDEX('Liste outils'!$H$6:$H$130,Calcul!$BY$132))),"",IF(INDEX('Liste outils'!$H$6:$H$130,Calcul!$BY$132)&lt;=0,"",IF(ABS(INDEX('Liste outils'!$H$6:$H$130,Calcul!$BY$132)*64-ROUND(INDEX('Liste outils'!$H$6:$H$130,Calcul!$BY$132)*64,0))&gt;0.0005,"≈ ","")&amp;IF(INT(ROUND(INDEX('Liste outils'!$H$6:$H$130,Calcul!$BY$132)*64,0)/64)&gt;0,INT(ROUND(INDEX('Liste outils'!$H$6:$H$130,Calcul!$BY$132)*64,0)/64)&amp;IF(MOD(ROUND(INDEX('Liste outils'!$H$6:$H$130,Calcul!$BY$132)*64,0),64)&gt;0," ",""),"")&amp;IF(MOD(ROUND(INDEX('Liste outils'!$H$6:$H$130,Calcul!$BY$132)*64,0),64)&gt;0,MOD(ROUND(INDEX('Liste outils'!$H$6:$H$130,Calcul!$BY$132)*64,0),64)/GCD(MOD(ROUND(INDEX('Liste outils'!$H$6:$H$130,Calcul!$BY$132)*64,0),64),64)&amp;"/"&amp;64/GCD(MOD(ROUND(INDEX('Liste outils'!$H$6:$H$130,Calcul!$BY$132)*64,0),64),64),IF(ROUND(INDEX('Liste outils'!$H$6:$H$130,Calcul!$BY$132)*64,0)=0,"0",""))&amp;""""))&amp;" · "&amp;FIXED(INDEX('Liste outils'!$H$6:$H$130,Calcul!$BY$132),4,TRUE())&amp;" po · "&amp;FIXED(INDEX('Liste outils'!$H$6:$H$130,Calcul!$BY$132)*25.4,3,TRUE())&amp;" mm"),""))</f>
        <v/>
      </c>
      <c r="E86" s="25" t="str">
        <f aca="false">IF(Calcul!$BY$132=0,"",INDEX('Liste outils'!$J$6:$J$130,Calcul!$BY$132)&amp;"")</f>
        <v>Double Ended</v>
      </c>
      <c r="F86" s="25" t="str">
        <f aca="false">IF(Calcul!$BY$132=0,"",INDEX('Liste outils'!$K$6:$K$130,Calcul!$BY$132)&amp;"")</f>
        <v/>
      </c>
      <c r="G86" s="25" t="str">
        <f aca="false">IF(Calcul!$BY$132=0,"",INDEX('Liste outils'!$O$6:$O$130,Calcul!$BY$132)&amp;"")</f>
        <v>GIP2.39-0.15</v>
      </c>
      <c r="H86" s="25" t="str">
        <f aca="false">IF(Calcul!$BY$132=0,"",INDEX('Liste outils'!$P$6:$P$130,Calcul!$BY$132)&amp;"")</f>
        <v>ISCAR</v>
      </c>
      <c r="I86" s="25" t="str">
        <f aca="false">IF(Calcul!$BY$132=0,"",INDEX('Liste outils'!$AB$6:$AB$130,Calcul!$BY$132)&amp;"")</f>
        <v>A-2-C-3</v>
      </c>
      <c r="J86" s="25" t="str">
        <f aca="false">IF(Calcul!$BY$132=0,"",INDEX('Liste outils'!$AA$6:$AA$130,Calcul!$BY$132)&amp;"")</f>
        <v/>
      </c>
      <c r="K86" s="25" t="str">
        <f aca="false">IF(Calcul!$BY$132=0,"",INDEX('Liste outils'!$AC$6:$AC$130,Calcul!$BY$132)&amp;"")</f>
        <v/>
      </c>
    </row>
    <row r="87" customFormat="false" ht="15" hidden="false" customHeight="false" outlineLevel="0" collapsed="false">
      <c r="A87" s="24" t="str">
        <f aca="false">IF(Calcul!$BY$133=0,"",INDEX('Liste outils'!$B$6:$B$130,Calcul!$BY$133)&amp;"")</f>
        <v>I0003</v>
      </c>
      <c r="B87" s="25" t="str">
        <f aca="false">IF(Calcul!$BY$133=0,"",INDEX('Liste outils'!$C$6:$C$130,Calcul!$BY$133)&amp;"")</f>
        <v>Insert</v>
      </c>
      <c r="C87" s="25" t="str">
        <f aca="false">IF(Calcul!$BY$133=0,"",IF(ISNUMBER(INDEX('Liste outils'!$E$6:$E$130,Calcul!$BY$133)),IF(NOT(ISNUMBER(INDEX('Liste outils'!$E$6:$E$130,Calcul!$BY$133))),"",IF(NOT(ISNUMBER(INDEX('Liste outils'!$E$6:$E$130,Calcul!$BY$133))),"",IF(INDEX('Liste outils'!$E$6:$E$130,Calcul!$BY$133)&lt;=0,"",IF(ABS(INDEX('Liste outils'!$E$6:$E$130,Calcul!$BY$133)*64-ROUND(INDEX('Liste outils'!$E$6:$E$130,Calcul!$BY$133)*64,0))&gt;0.0005,"≈ ","")&amp;IF(INT(ROUND(INDEX('Liste outils'!$E$6:$E$130,Calcul!$BY$133)*64,0)/64)&gt;0,INT(ROUND(INDEX('Liste outils'!$E$6:$E$130,Calcul!$BY$133)*64,0)/64)&amp;IF(MOD(ROUND(INDEX('Liste outils'!$E$6:$E$130,Calcul!$BY$133)*64,0),64)&gt;0," ",""),"")&amp;IF(MOD(ROUND(INDEX('Liste outils'!$E$6:$E$130,Calcul!$BY$133)*64,0),64)&gt;0,MOD(ROUND(INDEX('Liste outils'!$E$6:$E$130,Calcul!$BY$133)*64,0),64)/GCD(MOD(ROUND(INDEX('Liste outils'!$E$6:$E$130,Calcul!$BY$133)*64,0),64),64)&amp;"/"&amp;64/GCD(MOD(ROUND(INDEX('Liste outils'!$E$6:$E$130,Calcul!$BY$133)*64,0),64),64),IF(ROUND(INDEX('Liste outils'!$E$6:$E$130,Calcul!$BY$133)*64,0)=0,"0",""))&amp;""""))&amp;" · "&amp;FIXED(INDEX('Liste outils'!$E$6:$E$130,Calcul!$BY$133),4,TRUE())&amp;" po · "&amp;FIXED(INDEX('Liste outils'!$E$6:$E$130,Calcul!$BY$133)*25.4,3,TRUE())&amp;" mm"),""))</f>
        <v/>
      </c>
      <c r="D87" s="25" t="str">
        <f aca="false">IF(Calcul!$BY$133=0,"",IF(ISNUMBER(INDEX('Liste outils'!$H$6:$H$130,Calcul!$BY$133)),IF(NOT(ISNUMBER(INDEX('Liste outils'!$H$6:$H$130,Calcul!$BY$133))),"",IF(NOT(ISNUMBER(INDEX('Liste outils'!$H$6:$H$130,Calcul!$BY$133))),"",IF(INDEX('Liste outils'!$H$6:$H$130,Calcul!$BY$133)&lt;=0,"",IF(ABS(INDEX('Liste outils'!$H$6:$H$130,Calcul!$BY$133)*64-ROUND(INDEX('Liste outils'!$H$6:$H$130,Calcul!$BY$133)*64,0))&gt;0.0005,"≈ ","")&amp;IF(INT(ROUND(INDEX('Liste outils'!$H$6:$H$130,Calcul!$BY$133)*64,0)/64)&gt;0,INT(ROUND(INDEX('Liste outils'!$H$6:$H$130,Calcul!$BY$133)*64,0)/64)&amp;IF(MOD(ROUND(INDEX('Liste outils'!$H$6:$H$130,Calcul!$BY$133)*64,0),64)&gt;0," ",""),"")&amp;IF(MOD(ROUND(INDEX('Liste outils'!$H$6:$H$130,Calcul!$BY$133)*64,0),64)&gt;0,MOD(ROUND(INDEX('Liste outils'!$H$6:$H$130,Calcul!$BY$133)*64,0),64)/GCD(MOD(ROUND(INDEX('Liste outils'!$H$6:$H$130,Calcul!$BY$133)*64,0),64),64)&amp;"/"&amp;64/GCD(MOD(ROUND(INDEX('Liste outils'!$H$6:$H$130,Calcul!$BY$133)*64,0),64),64),IF(ROUND(INDEX('Liste outils'!$H$6:$H$130,Calcul!$BY$133)*64,0)=0,"0",""))&amp;""""))&amp;" · "&amp;FIXED(INDEX('Liste outils'!$H$6:$H$130,Calcul!$BY$133),4,TRUE())&amp;" po · "&amp;FIXED(INDEX('Liste outils'!$H$6:$H$130,Calcul!$BY$133)*25.4,3,TRUE())&amp;" mm"),""))</f>
        <v/>
      </c>
      <c r="E87" s="25" t="str">
        <f aca="false">IF(Calcul!$BY$133=0,"",INDEX('Liste outils'!$J$6:$J$130,Calcul!$BY$133)&amp;"")</f>
        <v/>
      </c>
      <c r="F87" s="25" t="str">
        <f aca="false">IF(Calcul!$BY$133=0,"",INDEX('Liste outils'!$K$6:$K$130,Calcul!$BY$133)&amp;"")</f>
        <v/>
      </c>
      <c r="G87" s="25" t="str">
        <f aca="false">IF(Calcul!$BY$133=0,"",INDEX('Liste outils'!$O$6:$O$130,Calcul!$BY$133)&amp;"")</f>
        <v>NF-DCMT32.51LD</v>
      </c>
      <c r="H87" s="25" t="str">
        <f aca="false">IF(Calcul!$BY$133=0,"",INDEX('Liste outils'!$P$6:$P$130,Calcul!$BY$133)&amp;"")</f>
        <v>SUMITOMO</v>
      </c>
      <c r="I87" s="25" t="str">
        <f aca="false">IF(Calcul!$BY$133=0,"",INDEX('Liste outils'!$AB$6:$AB$130,Calcul!$BY$133)&amp;"")</f>
        <v/>
      </c>
      <c r="J87" s="25" t="str">
        <f aca="false">IF(Calcul!$BY$133=0,"",INDEX('Liste outils'!$AA$6:$AA$130,Calcul!$BY$133)&amp;"")</f>
        <v/>
      </c>
      <c r="K87" s="25" t="str">
        <f aca="false">IF(Calcul!$BY$133=0,"",INDEX('Liste outils'!$AC$6:$AC$130,Calcul!$BY$133)&amp;"")</f>
        <v/>
      </c>
    </row>
    <row r="88" customFormat="false" ht="15" hidden="false" customHeight="false" outlineLevel="0" collapsed="false">
      <c r="A88" s="24" t="str">
        <f aca="false">IF(Calcul!$BY$134=0,"",INDEX('Liste outils'!$B$6:$B$130,Calcul!$BY$134)&amp;"")</f>
        <v>I0004</v>
      </c>
      <c r="B88" s="25" t="str">
        <f aca="false">IF(Calcul!$BY$134=0,"",INDEX('Liste outils'!$C$6:$C$130,Calcul!$BY$134)&amp;"")</f>
        <v>Insert</v>
      </c>
      <c r="C88" s="25" t="str">
        <f aca="false">IF(Calcul!$BY$134=0,"",IF(ISNUMBER(INDEX('Liste outils'!$E$6:$E$130,Calcul!$BY$134)),IF(NOT(ISNUMBER(INDEX('Liste outils'!$E$6:$E$130,Calcul!$BY$134))),"",IF(NOT(ISNUMBER(INDEX('Liste outils'!$E$6:$E$130,Calcul!$BY$134))),"",IF(INDEX('Liste outils'!$E$6:$E$130,Calcul!$BY$134)&lt;=0,"",IF(ABS(INDEX('Liste outils'!$E$6:$E$130,Calcul!$BY$134)*64-ROUND(INDEX('Liste outils'!$E$6:$E$130,Calcul!$BY$134)*64,0))&gt;0.0005,"≈ ","")&amp;IF(INT(ROUND(INDEX('Liste outils'!$E$6:$E$130,Calcul!$BY$134)*64,0)/64)&gt;0,INT(ROUND(INDEX('Liste outils'!$E$6:$E$130,Calcul!$BY$134)*64,0)/64)&amp;IF(MOD(ROUND(INDEX('Liste outils'!$E$6:$E$130,Calcul!$BY$134)*64,0),64)&gt;0," ",""),"")&amp;IF(MOD(ROUND(INDEX('Liste outils'!$E$6:$E$130,Calcul!$BY$134)*64,0),64)&gt;0,MOD(ROUND(INDEX('Liste outils'!$E$6:$E$130,Calcul!$BY$134)*64,0),64)/GCD(MOD(ROUND(INDEX('Liste outils'!$E$6:$E$130,Calcul!$BY$134)*64,0),64),64)&amp;"/"&amp;64/GCD(MOD(ROUND(INDEX('Liste outils'!$E$6:$E$130,Calcul!$BY$134)*64,0),64),64),IF(ROUND(INDEX('Liste outils'!$E$6:$E$130,Calcul!$BY$134)*64,0)=0,"0",""))&amp;""""))&amp;" · "&amp;FIXED(INDEX('Liste outils'!$E$6:$E$130,Calcul!$BY$134),4,TRUE())&amp;" po · "&amp;FIXED(INDEX('Liste outils'!$E$6:$E$130,Calcul!$BY$134)*25.4,3,TRUE())&amp;" mm"),""))</f>
        <v/>
      </c>
      <c r="D88" s="25" t="str">
        <f aca="false">IF(Calcul!$BY$134=0,"",IF(ISNUMBER(INDEX('Liste outils'!$H$6:$H$130,Calcul!$BY$134)),IF(NOT(ISNUMBER(INDEX('Liste outils'!$H$6:$H$130,Calcul!$BY$134))),"",IF(NOT(ISNUMBER(INDEX('Liste outils'!$H$6:$H$130,Calcul!$BY$134))),"",IF(INDEX('Liste outils'!$H$6:$H$130,Calcul!$BY$134)&lt;=0,"",IF(ABS(INDEX('Liste outils'!$H$6:$H$130,Calcul!$BY$134)*64-ROUND(INDEX('Liste outils'!$H$6:$H$130,Calcul!$BY$134)*64,0))&gt;0.0005,"≈ ","")&amp;IF(INT(ROUND(INDEX('Liste outils'!$H$6:$H$130,Calcul!$BY$134)*64,0)/64)&gt;0,INT(ROUND(INDEX('Liste outils'!$H$6:$H$130,Calcul!$BY$134)*64,0)/64)&amp;IF(MOD(ROUND(INDEX('Liste outils'!$H$6:$H$130,Calcul!$BY$134)*64,0),64)&gt;0," ",""),"")&amp;IF(MOD(ROUND(INDEX('Liste outils'!$H$6:$H$130,Calcul!$BY$134)*64,0),64)&gt;0,MOD(ROUND(INDEX('Liste outils'!$H$6:$H$130,Calcul!$BY$134)*64,0),64)/GCD(MOD(ROUND(INDEX('Liste outils'!$H$6:$H$130,Calcul!$BY$134)*64,0),64),64)&amp;"/"&amp;64/GCD(MOD(ROUND(INDEX('Liste outils'!$H$6:$H$130,Calcul!$BY$134)*64,0),64),64),IF(ROUND(INDEX('Liste outils'!$H$6:$H$130,Calcul!$BY$134)*64,0)=0,"0",""))&amp;""""))&amp;" · "&amp;FIXED(INDEX('Liste outils'!$H$6:$H$130,Calcul!$BY$134),4,TRUE())&amp;" po · "&amp;FIXED(INDEX('Liste outils'!$H$6:$H$130,Calcul!$BY$134)*25.4,3,TRUE())&amp;" mm"),""))</f>
        <v/>
      </c>
      <c r="E88" s="25" t="str">
        <f aca="false">IF(Calcul!$BY$134=0,"",INDEX('Liste outils'!$J$6:$J$130,Calcul!$BY$134)&amp;"")</f>
        <v>Left</v>
      </c>
      <c r="F88" s="25" t="str">
        <f aca="false">IF(Calcul!$BY$134=0,"",INDEX('Liste outils'!$K$6:$K$130,Calcul!$BY$134)&amp;"")</f>
        <v/>
      </c>
      <c r="G88" s="25" t="str">
        <f aca="false">IF(Calcul!$BY$134=0,"",INDEX('Liste outils'!$O$6:$O$130,Calcul!$BY$134)&amp;"")</f>
        <v>TEGX321L HTi10</v>
      </c>
      <c r="H88" s="25" t="str">
        <f aca="false">IF(Calcul!$BY$134=0,"",INDEX('Liste outils'!$P$6:$P$130,Calcul!$BY$134)&amp;"")</f>
        <v>MITSUBISHI</v>
      </c>
      <c r="I88" s="25" t="str">
        <f aca="false">IF(Calcul!$BY$134=0,"",INDEX('Liste outils'!$AB$6:$AB$130,Calcul!$BY$134)&amp;"")</f>
        <v>A-2-M-2</v>
      </c>
      <c r="J88" s="25" t="str">
        <f aca="false">IF(Calcul!$BY$134=0,"",INDEX('Liste outils'!$AA$6:$AA$130,Calcul!$BY$134)&amp;"")</f>
        <v>Non-Ferrous Metal, Cast Iron</v>
      </c>
      <c r="K88" s="25" t="str">
        <f aca="false">IF(Calcul!$BY$134=0,"",INDEX('Liste outils'!$AC$6:$AC$130,Calcul!$BY$134)&amp;"")</f>
        <v/>
      </c>
    </row>
    <row r="89" customFormat="false" ht="46.25" hidden="false" customHeight="false" outlineLevel="0" collapsed="false">
      <c r="A89" s="24" t="str">
        <f aca="false">IF(Calcul!$BY$135=0,"",INDEX('Liste outils'!$B$6:$B$130,Calcul!$BY$135)&amp;"")</f>
        <v>I0005</v>
      </c>
      <c r="B89" s="25" t="str">
        <f aca="false">IF(Calcul!$BY$135=0,"",INDEX('Liste outils'!$C$6:$C$130,Calcul!$BY$135)&amp;"")</f>
        <v>Insert</v>
      </c>
      <c r="C89" s="25" t="str">
        <f aca="false">IF(Calcul!$BY$135=0,"",IF(ISNUMBER(INDEX('Liste outils'!$E$6:$E$130,Calcul!$BY$135)),IF(NOT(ISNUMBER(INDEX('Liste outils'!$E$6:$E$130,Calcul!$BY$135))),"",IF(NOT(ISNUMBER(INDEX('Liste outils'!$E$6:$E$130,Calcul!$BY$135))),"",IF(INDEX('Liste outils'!$E$6:$E$130,Calcul!$BY$135)&lt;=0,"",IF(ABS(INDEX('Liste outils'!$E$6:$E$130,Calcul!$BY$135)*64-ROUND(INDEX('Liste outils'!$E$6:$E$130,Calcul!$BY$135)*64,0))&gt;0.0005,"≈ ","")&amp;IF(INT(ROUND(INDEX('Liste outils'!$E$6:$E$130,Calcul!$BY$135)*64,0)/64)&gt;0,INT(ROUND(INDEX('Liste outils'!$E$6:$E$130,Calcul!$BY$135)*64,0)/64)&amp;IF(MOD(ROUND(INDEX('Liste outils'!$E$6:$E$130,Calcul!$BY$135)*64,0),64)&gt;0," ",""),"")&amp;IF(MOD(ROUND(INDEX('Liste outils'!$E$6:$E$130,Calcul!$BY$135)*64,0),64)&gt;0,MOD(ROUND(INDEX('Liste outils'!$E$6:$E$130,Calcul!$BY$135)*64,0),64)/GCD(MOD(ROUND(INDEX('Liste outils'!$E$6:$E$130,Calcul!$BY$135)*64,0),64),64)&amp;"/"&amp;64/GCD(MOD(ROUND(INDEX('Liste outils'!$E$6:$E$130,Calcul!$BY$135)*64,0),64),64),IF(ROUND(INDEX('Liste outils'!$E$6:$E$130,Calcul!$BY$135)*64,0)=0,"0",""))&amp;""""))&amp;" · "&amp;FIXED(INDEX('Liste outils'!$E$6:$E$130,Calcul!$BY$135),4,TRUE())&amp;" po · "&amp;FIXED(INDEX('Liste outils'!$E$6:$E$130,Calcul!$BY$135)*25.4,3,TRUE())&amp;" mm"),""))</f>
        <v/>
      </c>
      <c r="D89" s="25" t="str">
        <f aca="false">IF(Calcul!$BY$135=0,"",IF(ISNUMBER(INDEX('Liste outils'!$H$6:$H$130,Calcul!$BY$135)),IF(NOT(ISNUMBER(INDEX('Liste outils'!$H$6:$H$130,Calcul!$BY$135))),"",IF(NOT(ISNUMBER(INDEX('Liste outils'!$H$6:$H$130,Calcul!$BY$135))),"",IF(INDEX('Liste outils'!$H$6:$H$130,Calcul!$BY$135)&lt;=0,"",IF(ABS(INDEX('Liste outils'!$H$6:$H$130,Calcul!$BY$135)*64-ROUND(INDEX('Liste outils'!$H$6:$H$130,Calcul!$BY$135)*64,0))&gt;0.0005,"≈ ","")&amp;IF(INT(ROUND(INDEX('Liste outils'!$H$6:$H$130,Calcul!$BY$135)*64,0)/64)&gt;0,INT(ROUND(INDEX('Liste outils'!$H$6:$H$130,Calcul!$BY$135)*64,0)/64)&amp;IF(MOD(ROUND(INDEX('Liste outils'!$H$6:$H$130,Calcul!$BY$135)*64,0),64)&gt;0," ",""),"")&amp;IF(MOD(ROUND(INDEX('Liste outils'!$H$6:$H$130,Calcul!$BY$135)*64,0),64)&gt;0,MOD(ROUND(INDEX('Liste outils'!$H$6:$H$130,Calcul!$BY$135)*64,0),64)/GCD(MOD(ROUND(INDEX('Liste outils'!$H$6:$H$130,Calcul!$BY$135)*64,0),64),64)&amp;"/"&amp;64/GCD(MOD(ROUND(INDEX('Liste outils'!$H$6:$H$130,Calcul!$BY$135)*64,0),64),64),IF(ROUND(INDEX('Liste outils'!$H$6:$H$130,Calcul!$BY$135)*64,0)=0,"0",""))&amp;""""))&amp;" · "&amp;FIXED(INDEX('Liste outils'!$H$6:$H$130,Calcul!$BY$135),4,TRUE())&amp;" po · "&amp;FIXED(INDEX('Liste outils'!$H$6:$H$130,Calcul!$BY$135)*25.4,3,TRUE())&amp;" mm"),""))</f>
        <v/>
      </c>
      <c r="E89" s="25" t="str">
        <f aca="false">IF(Calcul!$BY$135=0,"",INDEX('Liste outils'!$J$6:$J$130,Calcul!$BY$135)&amp;"")</f>
        <v>Neutral</v>
      </c>
      <c r="F89" s="25" t="str">
        <f aca="false">IF(Calcul!$BY$135=0,"",INDEX('Liste outils'!$K$6:$K$130,Calcul!$BY$135)&amp;"")</f>
        <v/>
      </c>
      <c r="G89" s="25" t="str">
        <f aca="false">IF(Calcul!$BY$135=0,"",INDEX('Liste outils'!$O$6:$O$130,Calcul!$BY$135)&amp;"")</f>
        <v>DCGT32.51NAG-H1</v>
      </c>
      <c r="H89" s="25" t="str">
        <f aca="false">IF(Calcul!$BY$135=0,"",INDEX('Liste outils'!$P$6:$P$130,Calcul!$BY$135)&amp;"")</f>
        <v>SUMITOMO</v>
      </c>
      <c r="I89" s="25" t="str">
        <f aca="false">IF(Calcul!$BY$135=0,"",INDEX('Liste outils'!$AB$6:$AB$130,Calcul!$BY$135)&amp;"")</f>
        <v>A-2-A-1</v>
      </c>
      <c r="J89" s="25" t="str">
        <f aca="false">IF(Calcul!$BY$135=0,"",INDEX('Liste outils'!$AA$6:$AA$130,Calcul!$BY$135)&amp;"")</f>
        <v>Non-Ferrous Metal</v>
      </c>
      <c r="K89" s="25" t="str">
        <f aca="false">IF(Calcul!$BY$135=0,"",INDEX('Liste outils'!$AC$6:$AC$130,Calcul!$BY$135)&amp;"")</f>
        <v>Carbide turning insert, 55° diamond (D), DCGT, ISO DCGT11T304, positive rake, non-ferrous aluminum grade</v>
      </c>
    </row>
    <row r="90" customFormat="false" ht="23.85" hidden="false" customHeight="false" outlineLevel="0" collapsed="false">
      <c r="A90" s="24" t="str">
        <f aca="false">IF(Calcul!$BY$136=0,"",INDEX('Liste outils'!$B$6:$B$130,Calcul!$BY$136)&amp;"")</f>
        <v>I0006</v>
      </c>
      <c r="B90" s="25" t="str">
        <f aca="false">IF(Calcul!$BY$136=0,"",INDEX('Liste outils'!$C$6:$C$130,Calcul!$BY$136)&amp;"")</f>
        <v>Insert</v>
      </c>
      <c r="C90" s="25" t="str">
        <f aca="false">IF(Calcul!$BY$136=0,"",IF(ISNUMBER(INDEX('Liste outils'!$E$6:$E$130,Calcul!$BY$136)),IF(NOT(ISNUMBER(INDEX('Liste outils'!$E$6:$E$130,Calcul!$BY$136))),"",IF(NOT(ISNUMBER(INDEX('Liste outils'!$E$6:$E$130,Calcul!$BY$136))),"",IF(INDEX('Liste outils'!$E$6:$E$130,Calcul!$BY$136)&lt;=0,"",IF(ABS(INDEX('Liste outils'!$E$6:$E$130,Calcul!$BY$136)*64-ROUND(INDEX('Liste outils'!$E$6:$E$130,Calcul!$BY$136)*64,0))&gt;0.0005,"≈ ","")&amp;IF(INT(ROUND(INDEX('Liste outils'!$E$6:$E$130,Calcul!$BY$136)*64,0)/64)&gt;0,INT(ROUND(INDEX('Liste outils'!$E$6:$E$130,Calcul!$BY$136)*64,0)/64)&amp;IF(MOD(ROUND(INDEX('Liste outils'!$E$6:$E$130,Calcul!$BY$136)*64,0),64)&gt;0," ",""),"")&amp;IF(MOD(ROUND(INDEX('Liste outils'!$E$6:$E$130,Calcul!$BY$136)*64,0),64)&gt;0,MOD(ROUND(INDEX('Liste outils'!$E$6:$E$130,Calcul!$BY$136)*64,0),64)/GCD(MOD(ROUND(INDEX('Liste outils'!$E$6:$E$130,Calcul!$BY$136)*64,0),64),64)&amp;"/"&amp;64/GCD(MOD(ROUND(INDEX('Liste outils'!$E$6:$E$130,Calcul!$BY$136)*64,0),64),64),IF(ROUND(INDEX('Liste outils'!$E$6:$E$130,Calcul!$BY$136)*64,0)=0,"0",""))&amp;""""))&amp;" · "&amp;FIXED(INDEX('Liste outils'!$E$6:$E$130,Calcul!$BY$136),4,TRUE())&amp;" po · "&amp;FIXED(INDEX('Liste outils'!$E$6:$E$130,Calcul!$BY$136)*25.4,3,TRUE())&amp;" mm"),""))</f>
        <v/>
      </c>
      <c r="D90" s="25" t="str">
        <f aca="false">IF(Calcul!$BY$136=0,"",IF(ISNUMBER(INDEX('Liste outils'!$H$6:$H$130,Calcul!$BY$136)),IF(NOT(ISNUMBER(INDEX('Liste outils'!$H$6:$H$130,Calcul!$BY$136))),"",IF(NOT(ISNUMBER(INDEX('Liste outils'!$H$6:$H$130,Calcul!$BY$136))),"",IF(INDEX('Liste outils'!$H$6:$H$130,Calcul!$BY$136)&lt;=0,"",IF(ABS(INDEX('Liste outils'!$H$6:$H$130,Calcul!$BY$136)*64-ROUND(INDEX('Liste outils'!$H$6:$H$130,Calcul!$BY$136)*64,0))&gt;0.0005,"≈ ","")&amp;IF(INT(ROUND(INDEX('Liste outils'!$H$6:$H$130,Calcul!$BY$136)*64,0)/64)&gt;0,INT(ROUND(INDEX('Liste outils'!$H$6:$H$130,Calcul!$BY$136)*64,0)/64)&amp;IF(MOD(ROUND(INDEX('Liste outils'!$H$6:$H$130,Calcul!$BY$136)*64,0),64)&gt;0," ",""),"")&amp;IF(MOD(ROUND(INDEX('Liste outils'!$H$6:$H$130,Calcul!$BY$136)*64,0),64)&gt;0,MOD(ROUND(INDEX('Liste outils'!$H$6:$H$130,Calcul!$BY$136)*64,0),64)/GCD(MOD(ROUND(INDEX('Liste outils'!$H$6:$H$130,Calcul!$BY$136)*64,0),64),64)&amp;"/"&amp;64/GCD(MOD(ROUND(INDEX('Liste outils'!$H$6:$H$130,Calcul!$BY$136)*64,0),64),64),IF(ROUND(INDEX('Liste outils'!$H$6:$H$130,Calcul!$BY$136)*64,0)=0,"0",""))&amp;""""))&amp;" · "&amp;FIXED(INDEX('Liste outils'!$H$6:$H$130,Calcul!$BY$136),4,TRUE())&amp;" po · "&amp;FIXED(INDEX('Liste outils'!$H$6:$H$130,Calcul!$BY$136)*25.4,3,TRUE())&amp;" mm"),""))</f>
        <v/>
      </c>
      <c r="E90" s="25" t="str">
        <f aca="false">IF(Calcul!$BY$136=0,"",INDEX('Liste outils'!$J$6:$J$130,Calcul!$BY$136)&amp;"")</f>
        <v/>
      </c>
      <c r="F90" s="25" t="str">
        <f aca="false">IF(Calcul!$BY$136=0,"",INDEX('Liste outils'!$K$6:$K$130,Calcul!$BY$136)&amp;"")</f>
        <v/>
      </c>
      <c r="G90" s="25" t="str">
        <f aca="false">IF(Calcul!$BY$136=0,"",INDEX('Liste outils'!$O$6:$O$130,Calcul!$BY$136)&amp;"")</f>
        <v>NF-DCMT32.51GD DA1000</v>
      </c>
      <c r="H90" s="25" t="str">
        <f aca="false">IF(Calcul!$BY$136=0,"",INDEX('Liste outils'!$P$6:$P$130,Calcul!$BY$136)&amp;"")</f>
        <v>SUMITOMO</v>
      </c>
      <c r="I90" s="25" t="str">
        <f aca="false">IF(Calcul!$BY$136=0,"",INDEX('Liste outils'!$AB$6:$AB$130,Calcul!$BY$136)&amp;"")</f>
        <v>A-2-D-1</v>
      </c>
      <c r="J90" s="25" t="str">
        <f aca="false">IF(Calcul!$BY$136=0,"",INDEX('Liste outils'!$AA$6:$AA$130,Calcul!$BY$136)&amp;"")</f>
        <v>Non-Ferrous Metal</v>
      </c>
      <c r="K90" s="25" t="str">
        <f aca="false">IF(Calcul!$BY$136=0,"",INDEX('Liste outils'!$AC$6:$AC$130,Calcul!$BY$136)&amp;"")</f>
        <v/>
      </c>
    </row>
    <row r="91" customFormat="false" ht="15" hidden="false" customHeight="false" outlineLevel="0" collapsed="false">
      <c r="A91" s="24" t="str">
        <f aca="false">IF(Calcul!$BY$137=0,"",INDEX('Liste outils'!$B$6:$B$130,Calcul!$BY$137)&amp;"")</f>
        <v>I0007</v>
      </c>
      <c r="B91" s="25" t="str">
        <f aca="false">IF(Calcul!$BY$137=0,"",INDEX('Liste outils'!$C$6:$C$130,Calcul!$BY$137)&amp;"")</f>
        <v>Insert</v>
      </c>
      <c r="C91" s="25" t="str">
        <f aca="false">IF(Calcul!$BY$137=0,"",IF(ISNUMBER(INDEX('Liste outils'!$E$6:$E$130,Calcul!$BY$137)),IF(NOT(ISNUMBER(INDEX('Liste outils'!$E$6:$E$130,Calcul!$BY$137))),"",IF(NOT(ISNUMBER(INDEX('Liste outils'!$E$6:$E$130,Calcul!$BY$137))),"",IF(INDEX('Liste outils'!$E$6:$E$130,Calcul!$BY$137)&lt;=0,"",IF(ABS(INDEX('Liste outils'!$E$6:$E$130,Calcul!$BY$137)*64-ROUND(INDEX('Liste outils'!$E$6:$E$130,Calcul!$BY$137)*64,0))&gt;0.0005,"≈ ","")&amp;IF(INT(ROUND(INDEX('Liste outils'!$E$6:$E$130,Calcul!$BY$137)*64,0)/64)&gt;0,INT(ROUND(INDEX('Liste outils'!$E$6:$E$130,Calcul!$BY$137)*64,0)/64)&amp;IF(MOD(ROUND(INDEX('Liste outils'!$E$6:$E$130,Calcul!$BY$137)*64,0),64)&gt;0," ",""),"")&amp;IF(MOD(ROUND(INDEX('Liste outils'!$E$6:$E$130,Calcul!$BY$137)*64,0),64)&gt;0,MOD(ROUND(INDEX('Liste outils'!$E$6:$E$130,Calcul!$BY$137)*64,0),64)/GCD(MOD(ROUND(INDEX('Liste outils'!$E$6:$E$130,Calcul!$BY$137)*64,0),64),64)&amp;"/"&amp;64/GCD(MOD(ROUND(INDEX('Liste outils'!$E$6:$E$130,Calcul!$BY$137)*64,0),64),64),IF(ROUND(INDEX('Liste outils'!$E$6:$E$130,Calcul!$BY$137)*64,0)=0,"0",""))&amp;""""))&amp;" · "&amp;FIXED(INDEX('Liste outils'!$E$6:$E$130,Calcul!$BY$137),4,TRUE())&amp;" po · "&amp;FIXED(INDEX('Liste outils'!$E$6:$E$130,Calcul!$BY$137)*25.4,3,TRUE())&amp;" mm"),""))</f>
        <v/>
      </c>
      <c r="D91" s="25" t="str">
        <f aca="false">IF(Calcul!$BY$137=0,"",IF(ISNUMBER(INDEX('Liste outils'!$H$6:$H$130,Calcul!$BY$137)),IF(NOT(ISNUMBER(INDEX('Liste outils'!$H$6:$H$130,Calcul!$BY$137))),"",IF(NOT(ISNUMBER(INDEX('Liste outils'!$H$6:$H$130,Calcul!$BY$137))),"",IF(INDEX('Liste outils'!$H$6:$H$130,Calcul!$BY$137)&lt;=0,"",IF(ABS(INDEX('Liste outils'!$H$6:$H$130,Calcul!$BY$137)*64-ROUND(INDEX('Liste outils'!$H$6:$H$130,Calcul!$BY$137)*64,0))&gt;0.0005,"≈ ","")&amp;IF(INT(ROUND(INDEX('Liste outils'!$H$6:$H$130,Calcul!$BY$137)*64,0)/64)&gt;0,INT(ROUND(INDEX('Liste outils'!$H$6:$H$130,Calcul!$BY$137)*64,0)/64)&amp;IF(MOD(ROUND(INDEX('Liste outils'!$H$6:$H$130,Calcul!$BY$137)*64,0),64)&gt;0," ",""),"")&amp;IF(MOD(ROUND(INDEX('Liste outils'!$H$6:$H$130,Calcul!$BY$137)*64,0),64)&gt;0,MOD(ROUND(INDEX('Liste outils'!$H$6:$H$130,Calcul!$BY$137)*64,0),64)/GCD(MOD(ROUND(INDEX('Liste outils'!$H$6:$H$130,Calcul!$BY$137)*64,0),64),64)&amp;"/"&amp;64/GCD(MOD(ROUND(INDEX('Liste outils'!$H$6:$H$130,Calcul!$BY$137)*64,0),64),64),IF(ROUND(INDEX('Liste outils'!$H$6:$H$130,Calcul!$BY$137)*64,0)=0,"0",""))&amp;""""))&amp;" · "&amp;FIXED(INDEX('Liste outils'!$H$6:$H$130,Calcul!$BY$137),4,TRUE())&amp;" po · "&amp;FIXED(INDEX('Liste outils'!$H$6:$H$130,Calcul!$BY$137)*25.4,3,TRUE())&amp;" mm"),""))</f>
        <v/>
      </c>
      <c r="E91" s="25" t="str">
        <f aca="false">IF(Calcul!$BY$137=0,"",INDEX('Liste outils'!$J$6:$J$130,Calcul!$BY$137)&amp;"")</f>
        <v/>
      </c>
      <c r="F91" s="25" t="str">
        <f aca="false">IF(Calcul!$BY$137=0,"",INDEX('Liste outils'!$K$6:$K$130,Calcul!$BY$137)&amp;"")</f>
        <v/>
      </c>
      <c r="G91" s="25" t="str">
        <f aca="false">IF(Calcul!$BY$137=0,"",INDEX('Liste outils'!$O$6:$O$130,Calcul!$BY$137)&amp;"")</f>
        <v>462.1-0400-020A1-XM</v>
      </c>
      <c r="H91" s="25" t="str">
        <f aca="false">IF(Calcul!$BY$137=0,"",INDEX('Liste outils'!$P$6:$P$130,Calcul!$BY$137)&amp;"")</f>
        <v>SANDVIK</v>
      </c>
      <c r="I91" s="25" t="str">
        <f aca="false">IF(Calcul!$BY$137=0,"",INDEX('Liste outils'!$AB$6:$AB$130,Calcul!$BY$137)&amp;"")</f>
        <v/>
      </c>
      <c r="J91" s="25" t="str">
        <f aca="false">IF(Calcul!$BY$137=0,"",INDEX('Liste outils'!$AA$6:$AA$130,Calcul!$BY$137)&amp;"")</f>
        <v/>
      </c>
      <c r="K91" s="25" t="str">
        <f aca="false">IF(Calcul!$BY$137=0,"",INDEX('Liste outils'!$AC$6:$AC$130,Calcul!$BY$137)&amp;"")</f>
        <v/>
      </c>
    </row>
    <row r="92" customFormat="false" ht="15" hidden="false" customHeight="false" outlineLevel="0" collapsed="false">
      <c r="A92" s="24" t="str">
        <f aca="false">IF(Calcul!$BY$138=0,"",INDEX('Liste outils'!$B$6:$B$130,Calcul!$BY$138)&amp;"")</f>
        <v>I0009</v>
      </c>
      <c r="B92" s="25" t="str">
        <f aca="false">IF(Calcul!$BY$138=0,"",INDEX('Liste outils'!$C$6:$C$130,Calcul!$BY$138)&amp;"")</f>
        <v>Insert</v>
      </c>
      <c r="C92" s="25" t="str">
        <f aca="false">IF(Calcul!$BY$138=0,"",IF(ISNUMBER(INDEX('Liste outils'!$E$6:$E$130,Calcul!$BY$138)),IF(NOT(ISNUMBER(INDEX('Liste outils'!$E$6:$E$130,Calcul!$BY$138))),"",IF(NOT(ISNUMBER(INDEX('Liste outils'!$E$6:$E$130,Calcul!$BY$138))),"",IF(INDEX('Liste outils'!$E$6:$E$130,Calcul!$BY$138)&lt;=0,"",IF(ABS(INDEX('Liste outils'!$E$6:$E$130,Calcul!$BY$138)*64-ROUND(INDEX('Liste outils'!$E$6:$E$130,Calcul!$BY$138)*64,0))&gt;0.0005,"≈ ","")&amp;IF(INT(ROUND(INDEX('Liste outils'!$E$6:$E$130,Calcul!$BY$138)*64,0)/64)&gt;0,INT(ROUND(INDEX('Liste outils'!$E$6:$E$130,Calcul!$BY$138)*64,0)/64)&amp;IF(MOD(ROUND(INDEX('Liste outils'!$E$6:$E$130,Calcul!$BY$138)*64,0),64)&gt;0," ",""),"")&amp;IF(MOD(ROUND(INDEX('Liste outils'!$E$6:$E$130,Calcul!$BY$138)*64,0),64)&gt;0,MOD(ROUND(INDEX('Liste outils'!$E$6:$E$130,Calcul!$BY$138)*64,0),64)/GCD(MOD(ROUND(INDEX('Liste outils'!$E$6:$E$130,Calcul!$BY$138)*64,0),64),64)&amp;"/"&amp;64/GCD(MOD(ROUND(INDEX('Liste outils'!$E$6:$E$130,Calcul!$BY$138)*64,0),64),64),IF(ROUND(INDEX('Liste outils'!$E$6:$E$130,Calcul!$BY$138)*64,0)=0,"0",""))&amp;""""))&amp;" · "&amp;FIXED(INDEX('Liste outils'!$E$6:$E$130,Calcul!$BY$138),4,TRUE())&amp;" po · "&amp;FIXED(INDEX('Liste outils'!$E$6:$E$130,Calcul!$BY$138)*25.4,3,TRUE())&amp;" mm"),""))</f>
        <v/>
      </c>
      <c r="D92" s="25" t="str">
        <f aca="false">IF(Calcul!$BY$138=0,"",IF(ISNUMBER(INDEX('Liste outils'!$H$6:$H$130,Calcul!$BY$138)),IF(NOT(ISNUMBER(INDEX('Liste outils'!$H$6:$H$130,Calcul!$BY$138))),"",IF(NOT(ISNUMBER(INDEX('Liste outils'!$H$6:$H$130,Calcul!$BY$138))),"",IF(INDEX('Liste outils'!$H$6:$H$130,Calcul!$BY$138)&lt;=0,"",IF(ABS(INDEX('Liste outils'!$H$6:$H$130,Calcul!$BY$138)*64-ROUND(INDEX('Liste outils'!$H$6:$H$130,Calcul!$BY$138)*64,0))&gt;0.0005,"≈ ","")&amp;IF(INT(ROUND(INDEX('Liste outils'!$H$6:$H$130,Calcul!$BY$138)*64,0)/64)&gt;0,INT(ROUND(INDEX('Liste outils'!$H$6:$H$130,Calcul!$BY$138)*64,0)/64)&amp;IF(MOD(ROUND(INDEX('Liste outils'!$H$6:$H$130,Calcul!$BY$138)*64,0),64)&gt;0," ",""),"")&amp;IF(MOD(ROUND(INDEX('Liste outils'!$H$6:$H$130,Calcul!$BY$138)*64,0),64)&gt;0,MOD(ROUND(INDEX('Liste outils'!$H$6:$H$130,Calcul!$BY$138)*64,0),64)/GCD(MOD(ROUND(INDEX('Liste outils'!$H$6:$H$130,Calcul!$BY$138)*64,0),64),64)&amp;"/"&amp;64/GCD(MOD(ROUND(INDEX('Liste outils'!$H$6:$H$130,Calcul!$BY$138)*64,0),64),64),IF(ROUND(INDEX('Liste outils'!$H$6:$H$130,Calcul!$BY$138)*64,0)=0,"0",""))&amp;""""))&amp;" · "&amp;FIXED(INDEX('Liste outils'!$H$6:$H$130,Calcul!$BY$138),4,TRUE())&amp;" po · "&amp;FIXED(INDEX('Liste outils'!$H$6:$H$130,Calcul!$BY$138)*25.4,3,TRUE())&amp;" mm"),""))</f>
        <v/>
      </c>
      <c r="E92" s="25" t="str">
        <f aca="false">IF(Calcul!$BY$138=0,"",INDEX('Liste outils'!$J$6:$J$130,Calcul!$BY$138)&amp;"")</f>
        <v>Right</v>
      </c>
      <c r="F92" s="25" t="str">
        <f aca="false">IF(Calcul!$BY$138=0,"",INDEX('Liste outils'!$K$6:$K$130,Calcul!$BY$138)&amp;"")</f>
        <v/>
      </c>
      <c r="G92" s="25" t="str">
        <f aca="false">IF(Calcul!$BY$138=0,"",INDEX('Liste outils'!$O$6:$O$130,Calcul!$BY$138)&amp;"")</f>
        <v>DEGX431R HTi10</v>
      </c>
      <c r="H92" s="25" t="str">
        <f aca="false">IF(Calcul!$BY$138=0,"",INDEX('Liste outils'!$P$6:$P$130,Calcul!$BY$138)&amp;"")</f>
        <v>MITSUBISHI</v>
      </c>
      <c r="I92" s="25" t="str">
        <f aca="false">IF(Calcul!$BY$138=0,"",INDEX('Liste outils'!$AB$6:$AB$130,Calcul!$BY$138)&amp;"")</f>
        <v>A-2-I-2</v>
      </c>
      <c r="J92" s="25" t="str">
        <f aca="false">IF(Calcul!$BY$138=0,"",INDEX('Liste outils'!$AA$6:$AA$130,Calcul!$BY$138)&amp;"")</f>
        <v>Non-Ferrous Metal, Cast Iron</v>
      </c>
      <c r="K92" s="25" t="str">
        <f aca="false">IF(Calcul!$BY$138=0,"",INDEX('Liste outils'!$AC$6:$AC$130,Calcul!$BY$138)&amp;"")</f>
        <v/>
      </c>
    </row>
    <row r="93" customFormat="false" ht="15" hidden="false" customHeight="false" outlineLevel="0" collapsed="false">
      <c r="A93" s="24" t="str">
        <f aca="false">IF(Calcul!$BY$139=0,"",INDEX('Liste outils'!$B$6:$B$130,Calcul!$BY$139)&amp;"")</f>
        <v>I0011</v>
      </c>
      <c r="B93" s="25" t="str">
        <f aca="false">IF(Calcul!$BY$139=0,"",INDEX('Liste outils'!$C$6:$C$130,Calcul!$BY$139)&amp;"")</f>
        <v>Insert</v>
      </c>
      <c r="C93" s="25" t="str">
        <f aca="false">IF(Calcul!$BY$139=0,"",IF(ISNUMBER(INDEX('Liste outils'!$E$6:$E$130,Calcul!$BY$139)),IF(NOT(ISNUMBER(INDEX('Liste outils'!$E$6:$E$130,Calcul!$BY$139))),"",IF(NOT(ISNUMBER(INDEX('Liste outils'!$E$6:$E$130,Calcul!$BY$139))),"",IF(INDEX('Liste outils'!$E$6:$E$130,Calcul!$BY$139)&lt;=0,"",IF(ABS(INDEX('Liste outils'!$E$6:$E$130,Calcul!$BY$139)*64-ROUND(INDEX('Liste outils'!$E$6:$E$130,Calcul!$BY$139)*64,0))&gt;0.0005,"≈ ","")&amp;IF(INT(ROUND(INDEX('Liste outils'!$E$6:$E$130,Calcul!$BY$139)*64,0)/64)&gt;0,INT(ROUND(INDEX('Liste outils'!$E$6:$E$130,Calcul!$BY$139)*64,0)/64)&amp;IF(MOD(ROUND(INDEX('Liste outils'!$E$6:$E$130,Calcul!$BY$139)*64,0),64)&gt;0," ",""),"")&amp;IF(MOD(ROUND(INDEX('Liste outils'!$E$6:$E$130,Calcul!$BY$139)*64,0),64)&gt;0,MOD(ROUND(INDEX('Liste outils'!$E$6:$E$130,Calcul!$BY$139)*64,0),64)/GCD(MOD(ROUND(INDEX('Liste outils'!$E$6:$E$130,Calcul!$BY$139)*64,0),64),64)&amp;"/"&amp;64/GCD(MOD(ROUND(INDEX('Liste outils'!$E$6:$E$130,Calcul!$BY$139)*64,0),64),64),IF(ROUND(INDEX('Liste outils'!$E$6:$E$130,Calcul!$BY$139)*64,0)=0,"0",""))&amp;""""))&amp;" · "&amp;FIXED(INDEX('Liste outils'!$E$6:$E$130,Calcul!$BY$139),4,TRUE())&amp;" po · "&amp;FIXED(INDEX('Liste outils'!$E$6:$E$130,Calcul!$BY$139)*25.4,3,TRUE())&amp;" mm"),""))</f>
        <v/>
      </c>
      <c r="D93" s="25" t="str">
        <f aca="false">IF(Calcul!$BY$139=0,"",IF(ISNUMBER(INDEX('Liste outils'!$H$6:$H$130,Calcul!$BY$139)),IF(NOT(ISNUMBER(INDEX('Liste outils'!$H$6:$H$130,Calcul!$BY$139))),"",IF(NOT(ISNUMBER(INDEX('Liste outils'!$H$6:$H$130,Calcul!$BY$139))),"",IF(INDEX('Liste outils'!$H$6:$H$130,Calcul!$BY$139)&lt;=0,"",IF(ABS(INDEX('Liste outils'!$H$6:$H$130,Calcul!$BY$139)*64-ROUND(INDEX('Liste outils'!$H$6:$H$130,Calcul!$BY$139)*64,0))&gt;0.0005,"≈ ","")&amp;IF(INT(ROUND(INDEX('Liste outils'!$H$6:$H$130,Calcul!$BY$139)*64,0)/64)&gt;0,INT(ROUND(INDEX('Liste outils'!$H$6:$H$130,Calcul!$BY$139)*64,0)/64)&amp;IF(MOD(ROUND(INDEX('Liste outils'!$H$6:$H$130,Calcul!$BY$139)*64,0),64)&gt;0," ",""),"")&amp;IF(MOD(ROUND(INDEX('Liste outils'!$H$6:$H$130,Calcul!$BY$139)*64,0),64)&gt;0,MOD(ROUND(INDEX('Liste outils'!$H$6:$H$130,Calcul!$BY$139)*64,0),64)/GCD(MOD(ROUND(INDEX('Liste outils'!$H$6:$H$130,Calcul!$BY$139)*64,0),64),64)&amp;"/"&amp;64/GCD(MOD(ROUND(INDEX('Liste outils'!$H$6:$H$130,Calcul!$BY$139)*64,0),64),64),IF(ROUND(INDEX('Liste outils'!$H$6:$H$130,Calcul!$BY$139)*64,0)=0,"0",""))&amp;""""))&amp;" · "&amp;FIXED(INDEX('Liste outils'!$H$6:$H$130,Calcul!$BY$139),4,TRUE())&amp;" po · "&amp;FIXED(INDEX('Liste outils'!$H$6:$H$130,Calcul!$BY$139)*25.4,3,TRUE())&amp;" mm"),""))</f>
        <v/>
      </c>
      <c r="E93" s="25" t="str">
        <f aca="false">IF(Calcul!$BY$139=0,"",INDEX('Liste outils'!$J$6:$J$130,Calcul!$BY$139)&amp;"")</f>
        <v/>
      </c>
      <c r="F93" s="25" t="str">
        <f aca="false">IF(Calcul!$BY$139=0,"",INDEX('Liste outils'!$K$6:$K$130,Calcul!$BY$139)&amp;"")</f>
        <v/>
      </c>
      <c r="G93" s="25" t="str">
        <f aca="false">IF(Calcul!$BY$139=0,"",INDEX('Liste outils'!$O$6:$O$130,Calcul!$BY$139)&amp;"")</f>
        <v>S224.0200.WA2 K10</v>
      </c>
      <c r="H93" s="25" t="str">
        <f aca="false">IF(Calcul!$BY$139=0,"",INDEX('Liste outils'!$P$6:$P$130,Calcul!$BY$139)&amp;"")</f>
        <v>PH HORN</v>
      </c>
      <c r="I93" s="25" t="str">
        <f aca="false">IF(Calcul!$BY$139=0,"",INDEX('Liste outils'!$AB$6:$AB$130,Calcul!$BY$139)&amp;"")</f>
        <v>A-2-D-2</v>
      </c>
      <c r="J93" s="25" t="str">
        <f aca="false">IF(Calcul!$BY$139=0,"",INDEX('Liste outils'!$AA$6:$AA$130,Calcul!$BY$139)&amp;"")</f>
        <v>Multi-materials</v>
      </c>
      <c r="K93" s="25" t="str">
        <f aca="false">IF(Calcul!$BY$139=0,"",INDEX('Liste outils'!$AC$6:$AC$130,Calcul!$BY$139)&amp;"")</f>
        <v/>
      </c>
    </row>
    <row r="94" customFormat="false" ht="15" hidden="false" customHeight="false" outlineLevel="0" collapsed="false">
      <c r="A94" s="37" t="str">
        <f aca="false">IF(COUNT(Calcul!$P$60:$P$184)&gt;80,"Seuls les 80 premiers résultats sont affichés : précise ta recherche.","")</f>
        <v>Seuls les 80 premiers résultats sont affichés : précise ta recherche.</v>
      </c>
    </row>
  </sheetData>
  <dataValidations count="3">
    <dataValidation allowBlank="false" errorStyle="stop" operator="between" showDropDown="false" showErrorMessage="false" showInputMessage="false" sqref="B5" type="list">
      <formula1>"Tous,Insert,End Mill,Drill,Cutter,Collet Chuck,Collet,Bushing,Sleeve,Spare Parts,Spindle Liners,Soft Jaws,Machined Soft Jaws,Coolant,Boring Ring,Hand Tools,Quality Tool"</formula1>
      <formula2>0</formula2>
    </dataValidation>
    <dataValidation allowBlank="false" errorStyle="stop" operator="between" showDropDown="false" showErrorMessage="false" showInputMessage="false" sqref="B7" type="list">
      <formula1>"Fraction,Décimal,mm"</formula1>
      <formula2>0</formula2>
    </dataValidation>
    <dataValidation allowBlank="false" errorStyle="stop" operator="between" showDropDown="false" showErrorMessage="false" showInputMessage="false" sqref="B9" type="list">
      <formula1>"Fraction,Décimal,mm"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3"/>
    <col collapsed="false" customWidth="true" hidden="false" outlineLevel="0" max="4" min="4" style="0" width="10"/>
    <col collapsed="false" customWidth="true" hidden="false" outlineLevel="0" max="6" min="5" style="0" width="9"/>
    <col collapsed="false" customWidth="true" hidden="false" outlineLevel="0" max="7" min="7" style="0" width="10"/>
    <col collapsed="false" customWidth="true" hidden="false" outlineLevel="0" max="9" min="8" style="0" width="9"/>
    <col collapsed="false" customWidth="true" hidden="false" outlineLevel="0" max="10" min="10" style="0" width="12"/>
    <col collapsed="false" customWidth="true" hidden="false" outlineLevel="0" max="11" min="11" style="0" width="8"/>
    <col collapsed="false" customWidth="true" hidden="false" outlineLevel="0" max="14" min="12" style="0" width="9"/>
    <col collapsed="false" customWidth="true" hidden="false" outlineLevel="0" max="15" min="15" style="0" width="20"/>
    <col collapsed="false" customWidth="true" hidden="false" outlineLevel="0" max="16" min="16" style="0" width="14"/>
    <col collapsed="false" customWidth="true" hidden="false" outlineLevel="0" max="17" min="17" style="0" width="12"/>
    <col collapsed="false" customWidth="true" hidden="false" outlineLevel="0" max="19" min="18" style="0" width="10"/>
    <col collapsed="false" customWidth="true" hidden="false" outlineLevel="0" max="20" min="20" style="0" width="18"/>
    <col collapsed="false" customWidth="true" hidden="false" outlineLevel="0" max="22" min="21" style="0" width="9"/>
    <col collapsed="false" customWidth="true" hidden="false" outlineLevel="0" max="23" min="23" style="0" width="8"/>
    <col collapsed="false" customWidth="true" hidden="false" outlineLevel="0" max="24" min="24" style="0" width="10"/>
    <col collapsed="false" customWidth="true" hidden="false" outlineLevel="0" max="25" min="25" style="0" width="9"/>
    <col collapsed="false" customWidth="true" hidden="false" outlineLevel="0" max="26" min="26" style="0" width="10"/>
    <col collapsed="false" customWidth="true" hidden="false" outlineLevel="0" max="27" min="27" style="0" width="30"/>
    <col collapsed="false" customWidth="true" hidden="false" outlineLevel="0" max="28" min="28" style="0" width="11"/>
    <col collapsed="false" customWidth="true" hidden="false" outlineLevel="0" max="29" min="29" style="0" width="30"/>
    <col collapsed="false" customWidth="true" hidden="false" outlineLevel="0" max="30" min="30" style="0" width="12"/>
  </cols>
  <sheetData>
    <row r="1" customFormat="false" ht="17.35" hidden="false" customHeight="false" outlineLevel="0" collapsed="false">
      <c r="B1" s="42" t="s">
        <v>93</v>
      </c>
    </row>
    <row r="2" customFormat="false" ht="15" hidden="false" customHeight="false" outlineLevel="0" collapsed="false">
      <c r="B2" s="2" t="s">
        <v>94</v>
      </c>
    </row>
    <row r="4" customFormat="false" ht="52.2" hidden="false" customHeight="false" outlineLevel="0" collapsed="false">
      <c r="A4" s="12" t="s">
        <v>95</v>
      </c>
      <c r="B4" s="12" t="s">
        <v>96</v>
      </c>
      <c r="C4" s="12" t="s">
        <v>27</v>
      </c>
      <c r="D4" s="12" t="s">
        <v>97</v>
      </c>
      <c r="E4" s="12" t="s">
        <v>98</v>
      </c>
      <c r="F4" s="12" t="s">
        <v>99</v>
      </c>
      <c r="G4" s="12" t="s">
        <v>100</v>
      </c>
      <c r="H4" s="12" t="s">
        <v>101</v>
      </c>
      <c r="I4" s="12" t="s">
        <v>102</v>
      </c>
      <c r="J4" s="12" t="s">
        <v>103</v>
      </c>
      <c r="K4" s="12" t="s">
        <v>104</v>
      </c>
      <c r="L4" s="12" t="s">
        <v>105</v>
      </c>
      <c r="M4" s="12" t="s">
        <v>20</v>
      </c>
      <c r="N4" s="12" t="s">
        <v>106</v>
      </c>
      <c r="O4" s="12" t="s">
        <v>107</v>
      </c>
      <c r="P4" s="12" t="s">
        <v>91</v>
      </c>
      <c r="Q4" s="12" t="s">
        <v>108</v>
      </c>
      <c r="R4" s="12" t="s">
        <v>109</v>
      </c>
      <c r="S4" s="12" t="s">
        <v>110</v>
      </c>
      <c r="T4" s="12" t="s">
        <v>111</v>
      </c>
      <c r="U4" s="12" t="s">
        <v>112</v>
      </c>
      <c r="V4" s="12" t="s">
        <v>113</v>
      </c>
      <c r="W4" s="12" t="s">
        <v>114</v>
      </c>
      <c r="X4" s="12" t="s">
        <v>115</v>
      </c>
      <c r="Y4" s="12" t="s">
        <v>116</v>
      </c>
      <c r="Z4" s="12" t="s">
        <v>117</v>
      </c>
      <c r="AA4" s="12" t="s">
        <v>92</v>
      </c>
      <c r="AB4" s="12" t="s">
        <v>30</v>
      </c>
      <c r="AC4" s="12" t="s">
        <v>32</v>
      </c>
      <c r="AD4" s="12" t="s">
        <v>118</v>
      </c>
    </row>
    <row r="5" customFormat="false" ht="28.35" hidden="false" customHeight="false" outlineLevel="0" collapsed="false">
      <c r="A5" s="43"/>
      <c r="B5" s="43" t="s">
        <v>119</v>
      </c>
      <c r="C5" s="43" t="s">
        <v>120</v>
      </c>
      <c r="D5" s="43"/>
      <c r="E5" s="43" t="s">
        <v>121</v>
      </c>
      <c r="F5" s="43"/>
      <c r="G5" s="43"/>
      <c r="H5" s="43" t="s">
        <v>122</v>
      </c>
      <c r="I5" s="43"/>
      <c r="J5" s="43" t="s">
        <v>123</v>
      </c>
      <c r="K5" s="43" t="s">
        <v>124</v>
      </c>
      <c r="L5" s="43" t="s">
        <v>125</v>
      </c>
      <c r="M5" s="43" t="s">
        <v>126</v>
      </c>
      <c r="N5" s="43" t="s">
        <v>127</v>
      </c>
      <c r="O5" s="43" t="s">
        <v>128</v>
      </c>
      <c r="P5" s="43" t="s">
        <v>129</v>
      </c>
      <c r="Q5" s="43" t="s">
        <v>130</v>
      </c>
      <c r="R5" s="43" t="s">
        <v>131</v>
      </c>
      <c r="S5" s="43" t="s">
        <v>132</v>
      </c>
      <c r="T5" s="43" t="s">
        <v>133</v>
      </c>
      <c r="U5" s="43" t="s">
        <v>134</v>
      </c>
      <c r="V5" s="43" t="s">
        <v>135</v>
      </c>
      <c r="W5" s="43" t="s">
        <v>136</v>
      </c>
      <c r="X5" s="43" t="s">
        <v>137</v>
      </c>
      <c r="Y5" s="43" t="s">
        <v>138</v>
      </c>
      <c r="Z5" s="43" t="s">
        <v>139</v>
      </c>
      <c r="AA5" s="43" t="s">
        <v>92</v>
      </c>
      <c r="AB5" s="43" t="s">
        <v>140</v>
      </c>
      <c r="AC5" s="43" t="s">
        <v>32</v>
      </c>
      <c r="AD5" s="43" t="s">
        <v>141</v>
      </c>
    </row>
    <row r="6" customFormat="false" ht="45.75" hidden="false" customHeight="true" outlineLevel="0" collapsed="false">
      <c r="B6" s="44" t="s">
        <v>142</v>
      </c>
      <c r="C6" s="25" t="s">
        <v>143</v>
      </c>
      <c r="D6" s="29" t="str">
        <f aca="false">IF(NOT(ISNUMBER(E6)),"",IF(E6&lt;=0,"",IF(ABS(E6*64-ROUND(E6*64,0))&gt;0.0005,"≈ ","")&amp;IF(INT(ROUND(E6*64,0)/64)&gt;0,INT(ROUND(E6*64,0)/64)&amp;IF(MOD(ROUND(E6*64,0),64)&gt;0," ",""),"")&amp;IF(MOD(ROUND(E6*64,0),64)&gt;0,MOD(ROUND(E6*64,0),64)/GCD(MOD(ROUND(E6*64,0),64),64)&amp;"/"&amp;64/GCD(MOD(ROUND(E6*64,0),64),64),IF(ROUND(E6*64,0)=0,"0",""))&amp;""""))</f>
        <v/>
      </c>
      <c r="E6" s="29"/>
      <c r="F6" s="21" t="str">
        <f aca="false">IF(ISNUMBER(E6),E6*25.4,"")</f>
        <v/>
      </c>
      <c r="G6" s="29" t="str">
        <f aca="false">IF(NOT(ISNUMBER(H6)),"",IF(H6&lt;=0,"",IF(ABS(H6*64-ROUND(H6*64,0))&gt;0.0005,"≈ ","")&amp;IF(INT(ROUND(H6*64,0)/64)&gt;0,INT(ROUND(H6*64,0)/64)&amp;IF(MOD(ROUND(H6*64,0),64)&gt;0," ",""),"")&amp;IF(MOD(ROUND(H6*64,0),64)&gt;0,MOD(ROUND(H6*64,0),64)/GCD(MOD(ROUND(H6*64,0),64),64)&amp;"/"&amp;64/GCD(MOD(ROUND(H6*64,0),64),64),IF(ROUND(H6*64,0)=0,"0",""))&amp;""""))</f>
        <v>7/8"</v>
      </c>
      <c r="H6" s="45" t="n">
        <v>0.875</v>
      </c>
      <c r="I6" s="21" t="n">
        <f aca="false">IF(ISNUMBER(H6),H6*25.4,"")</f>
        <v>22.225</v>
      </c>
      <c r="J6" s="29"/>
      <c r="K6" s="29"/>
      <c r="L6" s="29"/>
      <c r="M6" s="45" t="n">
        <v>0.0078</v>
      </c>
      <c r="N6" s="29"/>
      <c r="O6" s="25" t="s">
        <v>144</v>
      </c>
      <c r="P6" s="25" t="s">
        <v>145</v>
      </c>
      <c r="Q6" s="25" t="s">
        <v>146</v>
      </c>
      <c r="R6" s="29" t="s">
        <v>147</v>
      </c>
      <c r="S6" s="29" t="n">
        <v>0.1</v>
      </c>
      <c r="T6" s="25" t="s">
        <v>148</v>
      </c>
      <c r="U6" s="29"/>
      <c r="V6" s="29"/>
      <c r="W6" s="29"/>
      <c r="X6" s="29"/>
      <c r="Y6" s="29"/>
      <c r="Z6" s="29"/>
      <c r="AA6" s="25" t="s">
        <v>149</v>
      </c>
      <c r="AB6" s="29" t="s">
        <v>150</v>
      </c>
      <c r="AC6" s="25" t="s">
        <v>151</v>
      </c>
      <c r="AD6" s="46" t="s">
        <v>152</v>
      </c>
    </row>
    <row r="7" customFormat="false" ht="45.75" hidden="false" customHeight="true" outlineLevel="0" collapsed="false">
      <c r="B7" s="44" t="s">
        <v>153</v>
      </c>
      <c r="C7" s="25" t="s">
        <v>143</v>
      </c>
      <c r="D7" s="29" t="str">
        <f aca="false">IF(NOT(ISNUMBER(E7)),"",IF(E7&lt;=0,"",IF(ABS(E7*64-ROUND(E7*64,0))&gt;0.0005,"≈ ","")&amp;IF(INT(ROUND(E7*64,0)/64)&gt;0,INT(ROUND(E7*64,0)/64)&amp;IF(MOD(ROUND(E7*64,0),64)&gt;0," ",""),"")&amp;IF(MOD(ROUND(E7*64,0),64)&gt;0,MOD(ROUND(E7*64,0),64)/GCD(MOD(ROUND(E7*64,0),64),64)&amp;"/"&amp;64/GCD(MOD(ROUND(E7*64,0),64),64),IF(ROUND(E7*64,0)=0,"0",""))&amp;""""))</f>
        <v/>
      </c>
      <c r="E7" s="29"/>
      <c r="F7" s="21" t="str">
        <f aca="false">IF(ISNUMBER(E7),E7*25.4,"")</f>
        <v/>
      </c>
      <c r="G7" s="29" t="str">
        <f aca="false">IF(NOT(ISNUMBER(H7)),"",IF(H7&lt;=0,"",IF(ABS(H7*64-ROUND(H7*64,0))&gt;0.0005,"≈ ","")&amp;IF(INT(ROUND(H7*64,0)/64)&gt;0,INT(ROUND(H7*64,0)/64)&amp;IF(MOD(ROUND(H7*64,0),64)&gt;0," ",""),"")&amp;IF(MOD(ROUND(H7*64,0),64)&gt;0,MOD(ROUND(H7*64,0),64)/GCD(MOD(ROUND(H7*64,0),64),64)&amp;"/"&amp;64/GCD(MOD(ROUND(H7*64,0),64),64),IF(ROUND(H7*64,0)=0,"0",""))&amp;""""))</f>
        <v/>
      </c>
      <c r="H7" s="29"/>
      <c r="I7" s="21" t="str">
        <f aca="false">IF(ISNUMBER(H7),H7*25.4,"")</f>
        <v/>
      </c>
      <c r="J7" s="29" t="s">
        <v>154</v>
      </c>
      <c r="K7" s="29"/>
      <c r="L7" s="29"/>
      <c r="M7" s="45" t="n">
        <v>0.006</v>
      </c>
      <c r="N7" s="29"/>
      <c r="O7" s="25" t="s">
        <v>155</v>
      </c>
      <c r="P7" s="25" t="s">
        <v>156</v>
      </c>
      <c r="Q7" s="25" t="s">
        <v>157</v>
      </c>
      <c r="R7" s="29" t="s">
        <v>158</v>
      </c>
      <c r="S7" s="29" t="s">
        <v>159</v>
      </c>
      <c r="T7" s="25" t="s">
        <v>160</v>
      </c>
      <c r="U7" s="29"/>
      <c r="V7" s="29"/>
      <c r="W7" s="29"/>
      <c r="X7" s="29"/>
      <c r="Y7" s="29"/>
      <c r="Z7" s="29"/>
      <c r="AA7" s="25"/>
      <c r="AB7" s="29" t="s">
        <v>161</v>
      </c>
      <c r="AC7" s="25"/>
      <c r="AD7" s="46" t="s">
        <v>152</v>
      </c>
    </row>
    <row r="8" customFormat="false" ht="45.75" hidden="false" customHeight="true" outlineLevel="0" collapsed="false">
      <c r="B8" s="44" t="s">
        <v>162</v>
      </c>
      <c r="C8" s="25" t="s">
        <v>143</v>
      </c>
      <c r="D8" s="29" t="str">
        <f aca="false">IF(NOT(ISNUMBER(E8)),"",IF(E8&lt;=0,"",IF(ABS(E8*64-ROUND(E8*64,0))&gt;0.0005,"≈ ","")&amp;IF(INT(ROUND(E8*64,0)/64)&gt;0,INT(ROUND(E8*64,0)/64)&amp;IF(MOD(ROUND(E8*64,0),64)&gt;0," ",""),"")&amp;IF(MOD(ROUND(E8*64,0),64)&gt;0,MOD(ROUND(E8*64,0),64)/GCD(MOD(ROUND(E8*64,0),64),64)&amp;"/"&amp;64/GCD(MOD(ROUND(E8*64,0),64),64),IF(ROUND(E8*64,0)=0,"0",""))&amp;""""))</f>
        <v/>
      </c>
      <c r="E8" s="29"/>
      <c r="F8" s="21" t="str">
        <f aca="false">IF(ISNUMBER(E8),E8*25.4,"")</f>
        <v/>
      </c>
      <c r="G8" s="29" t="str">
        <f aca="false">IF(NOT(ISNUMBER(H8)),"",IF(H8&lt;=0,"",IF(ABS(H8*64-ROUND(H8*64,0))&gt;0.0005,"≈ ","")&amp;IF(INT(ROUND(H8*64,0)/64)&gt;0,INT(ROUND(H8*64,0)/64)&amp;IF(MOD(ROUND(H8*64,0),64)&gt;0," ",""),"")&amp;IF(MOD(ROUND(H8*64,0),64)&gt;0,MOD(ROUND(H8*64,0),64)/GCD(MOD(ROUND(H8*64,0),64),64)&amp;"/"&amp;64/GCD(MOD(ROUND(H8*64,0),64),64),IF(ROUND(H8*64,0)=0,"0",""))&amp;""""))</f>
        <v/>
      </c>
      <c r="H8" s="29"/>
      <c r="I8" s="21" t="str">
        <f aca="false">IF(ISNUMBER(H8),H8*25.4,"")</f>
        <v/>
      </c>
      <c r="J8" s="29"/>
      <c r="K8" s="29"/>
      <c r="L8" s="29"/>
      <c r="M8" s="29"/>
      <c r="N8" s="29"/>
      <c r="O8" s="25" t="s">
        <v>163</v>
      </c>
      <c r="P8" s="25" t="s">
        <v>164</v>
      </c>
      <c r="Q8" s="25" t="s">
        <v>165</v>
      </c>
      <c r="R8" s="29" t="s">
        <v>166</v>
      </c>
      <c r="S8" s="29" t="n">
        <v>0.0156</v>
      </c>
      <c r="T8" s="25"/>
      <c r="U8" s="29"/>
      <c r="V8" s="29"/>
      <c r="W8" s="29"/>
      <c r="X8" s="29"/>
      <c r="Y8" s="29"/>
      <c r="Z8" s="29"/>
      <c r="AA8" s="25"/>
      <c r="AB8" s="29"/>
      <c r="AC8" s="25"/>
    </row>
    <row r="9" customFormat="false" ht="45.75" hidden="false" customHeight="true" outlineLevel="0" collapsed="false">
      <c r="B9" s="44" t="s">
        <v>167</v>
      </c>
      <c r="C9" s="25" t="s">
        <v>143</v>
      </c>
      <c r="D9" s="29" t="str">
        <f aca="false">IF(NOT(ISNUMBER(E9)),"",IF(E9&lt;=0,"",IF(ABS(E9*64-ROUND(E9*64,0))&gt;0.0005,"≈ ","")&amp;IF(INT(ROUND(E9*64,0)/64)&gt;0,INT(ROUND(E9*64,0)/64)&amp;IF(MOD(ROUND(E9*64,0),64)&gt;0," ",""),"")&amp;IF(MOD(ROUND(E9*64,0),64)&gt;0,MOD(ROUND(E9*64,0),64)/GCD(MOD(ROUND(E9*64,0),64),64)&amp;"/"&amp;64/GCD(MOD(ROUND(E9*64,0),64),64),IF(ROUND(E9*64,0)=0,"0",""))&amp;""""))</f>
        <v/>
      </c>
      <c r="E9" s="29"/>
      <c r="F9" s="21" t="str">
        <f aca="false">IF(ISNUMBER(E9),E9*25.4,"")</f>
        <v/>
      </c>
      <c r="G9" s="29" t="str">
        <f aca="false">IF(NOT(ISNUMBER(H9)),"",IF(H9&lt;=0,"",IF(ABS(H9*64-ROUND(H9*64,0))&gt;0.0005,"≈ ","")&amp;IF(INT(ROUND(H9*64,0)/64)&gt;0,INT(ROUND(H9*64,0)/64)&amp;IF(MOD(ROUND(H9*64,0),64)&gt;0," ",""),"")&amp;IF(MOD(ROUND(H9*64,0),64)&gt;0,MOD(ROUND(H9*64,0),64)/GCD(MOD(ROUND(H9*64,0),64),64)&amp;"/"&amp;64/GCD(MOD(ROUND(H9*64,0),64),64),IF(ROUND(H9*64,0)=0,"0",""))&amp;""""))</f>
        <v/>
      </c>
      <c r="H9" s="29"/>
      <c r="I9" s="21" t="str">
        <f aca="false">IF(ISNUMBER(H9),H9*25.4,"")</f>
        <v/>
      </c>
      <c r="J9" s="29" t="s">
        <v>168</v>
      </c>
      <c r="K9" s="29"/>
      <c r="L9" s="29"/>
      <c r="M9" s="45" t="n">
        <v>0.0157</v>
      </c>
      <c r="N9" s="29"/>
      <c r="O9" s="25" t="s">
        <v>169</v>
      </c>
      <c r="P9" s="25" t="s">
        <v>170</v>
      </c>
      <c r="Q9" s="25" t="s">
        <v>165</v>
      </c>
      <c r="R9" s="29" t="s">
        <v>171</v>
      </c>
      <c r="S9" s="29"/>
      <c r="T9" s="25" t="s">
        <v>172</v>
      </c>
      <c r="U9" s="29"/>
      <c r="V9" s="29"/>
      <c r="W9" s="29"/>
      <c r="X9" s="29"/>
      <c r="Y9" s="29"/>
      <c r="Z9" s="29"/>
      <c r="AA9" s="25" t="s">
        <v>173</v>
      </c>
      <c r="AB9" s="29" t="s">
        <v>174</v>
      </c>
      <c r="AC9" s="25"/>
      <c r="AD9" s="46" t="s">
        <v>152</v>
      </c>
    </row>
    <row r="10" customFormat="false" ht="45.75" hidden="false" customHeight="true" outlineLevel="0" collapsed="false">
      <c r="B10" s="44" t="s">
        <v>175</v>
      </c>
      <c r="C10" s="25" t="s">
        <v>143</v>
      </c>
      <c r="D10" s="29" t="str">
        <f aca="false">IF(NOT(ISNUMBER(E10)),"",IF(E10&lt;=0,"",IF(ABS(E10*64-ROUND(E10*64,0))&gt;0.0005,"≈ ","")&amp;IF(INT(ROUND(E10*64,0)/64)&gt;0,INT(ROUND(E10*64,0)/64)&amp;IF(MOD(ROUND(E10*64,0),64)&gt;0," ",""),"")&amp;IF(MOD(ROUND(E10*64,0),64)&gt;0,MOD(ROUND(E10*64,0),64)/GCD(MOD(ROUND(E10*64,0),64),64)&amp;"/"&amp;64/GCD(MOD(ROUND(E10*64,0),64),64),IF(ROUND(E10*64,0)=0,"0",""))&amp;""""))</f>
        <v/>
      </c>
      <c r="E10" s="29"/>
      <c r="F10" s="21" t="str">
        <f aca="false">IF(ISNUMBER(E10),E10*25.4,"")</f>
        <v/>
      </c>
      <c r="G10" s="29" t="str">
        <f aca="false">IF(NOT(ISNUMBER(H10)),"",IF(H10&lt;=0,"",IF(ABS(H10*64-ROUND(H10*64,0))&gt;0.0005,"≈ ","")&amp;IF(INT(ROUND(H10*64,0)/64)&gt;0,INT(ROUND(H10*64,0)/64)&amp;IF(MOD(ROUND(H10*64,0),64)&gt;0," ",""),"")&amp;IF(MOD(ROUND(H10*64,0),64)&gt;0,MOD(ROUND(H10*64,0),64)/GCD(MOD(ROUND(H10*64,0),64),64)&amp;"/"&amp;64/GCD(MOD(ROUND(H10*64,0),64),64),IF(ROUND(H10*64,0)=0,"0",""))&amp;""""))</f>
        <v/>
      </c>
      <c r="H10" s="29"/>
      <c r="I10" s="21" t="str">
        <f aca="false">IF(ISNUMBER(H10),H10*25.4,"")</f>
        <v/>
      </c>
      <c r="J10" s="29" t="s">
        <v>176</v>
      </c>
      <c r="K10" s="29"/>
      <c r="L10" s="29"/>
      <c r="M10" s="45" t="n">
        <v>0.015625</v>
      </c>
      <c r="N10" s="29"/>
      <c r="O10" s="25" t="s">
        <v>177</v>
      </c>
      <c r="P10" s="25" t="s">
        <v>164</v>
      </c>
      <c r="Q10" s="25" t="s">
        <v>165</v>
      </c>
      <c r="R10" s="29" t="s">
        <v>178</v>
      </c>
      <c r="S10" s="29" t="s">
        <v>179</v>
      </c>
      <c r="T10" s="25" t="s">
        <v>180</v>
      </c>
      <c r="U10" s="29"/>
      <c r="V10" s="29"/>
      <c r="W10" s="29"/>
      <c r="X10" s="29"/>
      <c r="Y10" s="29"/>
      <c r="Z10" s="29"/>
      <c r="AA10" s="25" t="s">
        <v>181</v>
      </c>
      <c r="AB10" s="29" t="s">
        <v>182</v>
      </c>
      <c r="AC10" s="25" t="s">
        <v>183</v>
      </c>
    </row>
    <row r="11" customFormat="false" ht="45.75" hidden="false" customHeight="true" outlineLevel="0" collapsed="false">
      <c r="B11" s="44" t="s">
        <v>184</v>
      </c>
      <c r="C11" s="25" t="s">
        <v>143</v>
      </c>
      <c r="D11" s="29" t="str">
        <f aca="false">IF(NOT(ISNUMBER(E11)),"",IF(E11&lt;=0,"",IF(ABS(E11*64-ROUND(E11*64,0))&gt;0.0005,"≈ ","")&amp;IF(INT(ROUND(E11*64,0)/64)&gt;0,INT(ROUND(E11*64,0)/64)&amp;IF(MOD(ROUND(E11*64,0),64)&gt;0," ",""),"")&amp;IF(MOD(ROUND(E11*64,0),64)&gt;0,MOD(ROUND(E11*64,0),64)/GCD(MOD(ROUND(E11*64,0),64),64)&amp;"/"&amp;64/GCD(MOD(ROUND(E11*64,0),64),64),IF(ROUND(E11*64,0)=0,"0",""))&amp;""""))</f>
        <v/>
      </c>
      <c r="E11" s="29"/>
      <c r="F11" s="21" t="str">
        <f aca="false">IF(ISNUMBER(E11),E11*25.4,"")</f>
        <v/>
      </c>
      <c r="G11" s="29" t="str">
        <f aca="false">IF(NOT(ISNUMBER(H11)),"",IF(H11&lt;=0,"",IF(ABS(H11*64-ROUND(H11*64,0))&gt;0.0005,"≈ ","")&amp;IF(INT(ROUND(H11*64,0)/64)&gt;0,INT(ROUND(H11*64,0)/64)&amp;IF(MOD(ROUND(H11*64,0),64)&gt;0," ",""),"")&amp;IF(MOD(ROUND(H11*64,0),64)&gt;0,MOD(ROUND(H11*64,0),64)/GCD(MOD(ROUND(H11*64,0),64),64)&amp;"/"&amp;64/GCD(MOD(ROUND(H11*64,0),64),64),IF(ROUND(H11*64,0)=0,"0",""))&amp;""""))</f>
        <v/>
      </c>
      <c r="H11" s="29"/>
      <c r="I11" s="21" t="str">
        <f aca="false">IF(ISNUMBER(H11),H11*25.4,"")</f>
        <v/>
      </c>
      <c r="J11" s="29"/>
      <c r="K11" s="29"/>
      <c r="L11" s="29"/>
      <c r="M11" s="45" t="n">
        <v>0.015625</v>
      </c>
      <c r="N11" s="29"/>
      <c r="O11" s="25" t="s">
        <v>185</v>
      </c>
      <c r="P11" s="25" t="s">
        <v>164</v>
      </c>
      <c r="Q11" s="25" t="s">
        <v>165</v>
      </c>
      <c r="R11" s="29" t="s">
        <v>166</v>
      </c>
      <c r="S11" s="29" t="s">
        <v>186</v>
      </c>
      <c r="T11" s="25" t="s">
        <v>187</v>
      </c>
      <c r="U11" s="29"/>
      <c r="V11" s="29"/>
      <c r="W11" s="29"/>
      <c r="X11" s="29"/>
      <c r="Y11" s="29"/>
      <c r="Z11" s="29"/>
      <c r="AA11" s="25" t="s">
        <v>181</v>
      </c>
      <c r="AB11" s="29" t="s">
        <v>188</v>
      </c>
      <c r="AC11" s="25"/>
    </row>
    <row r="12" customFormat="false" ht="45.75" hidden="false" customHeight="true" outlineLevel="0" collapsed="false">
      <c r="B12" s="44" t="s">
        <v>189</v>
      </c>
      <c r="C12" s="25" t="s">
        <v>143</v>
      </c>
      <c r="D12" s="29" t="str">
        <f aca="false">IF(NOT(ISNUMBER(E12)),"",IF(E12&lt;=0,"",IF(ABS(E12*64-ROUND(E12*64,0))&gt;0.0005,"≈ ","")&amp;IF(INT(ROUND(E12*64,0)/64)&gt;0,INT(ROUND(E12*64,0)/64)&amp;IF(MOD(ROUND(E12*64,0),64)&gt;0," ",""),"")&amp;IF(MOD(ROUND(E12*64,0),64)&gt;0,MOD(ROUND(E12*64,0),64)/GCD(MOD(ROUND(E12*64,0),64),64)&amp;"/"&amp;64/GCD(MOD(ROUND(E12*64,0),64),64),IF(ROUND(E12*64,0)=0,"0",""))&amp;""""))</f>
        <v/>
      </c>
      <c r="E12" s="29"/>
      <c r="F12" s="21" t="str">
        <f aca="false">IF(ISNUMBER(E12),E12*25.4,"")</f>
        <v/>
      </c>
      <c r="G12" s="29" t="str">
        <f aca="false">IF(NOT(ISNUMBER(H12)),"",IF(H12&lt;=0,"",IF(ABS(H12*64-ROUND(H12*64,0))&gt;0.0005,"≈ ","")&amp;IF(INT(ROUND(H12*64,0)/64)&gt;0,INT(ROUND(H12*64,0)/64)&amp;IF(MOD(ROUND(H12*64,0),64)&gt;0," ",""),"")&amp;IF(MOD(ROUND(H12*64,0),64)&gt;0,MOD(ROUND(H12*64,0),64)/GCD(MOD(ROUND(H12*64,0),64),64)&amp;"/"&amp;64/GCD(MOD(ROUND(H12*64,0),64),64),IF(ROUND(H12*64,0)=0,"0",""))&amp;""""))</f>
        <v/>
      </c>
      <c r="H12" s="29"/>
      <c r="I12" s="21" t="str">
        <f aca="false">IF(ISNUMBER(H12),H12*25.4,"")</f>
        <v/>
      </c>
      <c r="J12" s="29"/>
      <c r="K12" s="29"/>
      <c r="L12" s="29"/>
      <c r="M12" s="29"/>
      <c r="N12" s="29"/>
      <c r="O12" s="25" t="s">
        <v>190</v>
      </c>
      <c r="P12" s="25" t="s">
        <v>191</v>
      </c>
      <c r="Q12" s="25" t="s">
        <v>157</v>
      </c>
      <c r="R12" s="29" t="s">
        <v>192</v>
      </c>
      <c r="S12" s="29" t="s">
        <v>193</v>
      </c>
      <c r="T12" s="25"/>
      <c r="U12" s="29"/>
      <c r="V12" s="29"/>
      <c r="W12" s="29"/>
      <c r="X12" s="29"/>
      <c r="Y12" s="29"/>
      <c r="Z12" s="29"/>
      <c r="AA12" s="25"/>
      <c r="AB12" s="29"/>
      <c r="AC12" s="25"/>
    </row>
    <row r="13" customFormat="false" ht="45.75" hidden="false" customHeight="true" outlineLevel="0" collapsed="false">
      <c r="B13" s="44" t="s">
        <v>194</v>
      </c>
      <c r="C13" s="25" t="s">
        <v>143</v>
      </c>
      <c r="D13" s="29" t="str">
        <f aca="false">IF(NOT(ISNUMBER(E13)),"",IF(E13&lt;=0,"",IF(ABS(E13*64-ROUND(E13*64,0))&gt;0.0005,"≈ ","")&amp;IF(INT(ROUND(E13*64,0)/64)&gt;0,INT(ROUND(E13*64,0)/64)&amp;IF(MOD(ROUND(E13*64,0),64)&gt;0," ",""),"")&amp;IF(MOD(ROUND(E13*64,0),64)&gt;0,MOD(ROUND(E13*64,0),64)/GCD(MOD(ROUND(E13*64,0),64),64)&amp;"/"&amp;64/GCD(MOD(ROUND(E13*64,0),64),64),IF(ROUND(E13*64,0)=0,"0",""))&amp;""""))</f>
        <v/>
      </c>
      <c r="E13" s="29"/>
      <c r="F13" s="21" t="str">
        <f aca="false">IF(ISNUMBER(E13),E13*25.4,"")</f>
        <v/>
      </c>
      <c r="G13" s="29" t="str">
        <f aca="false">IF(NOT(ISNUMBER(H13)),"",IF(H13&lt;=0,"",IF(ABS(H13*64-ROUND(H13*64,0))&gt;0.0005,"≈ ","")&amp;IF(INT(ROUND(H13*64,0)/64)&gt;0,INT(ROUND(H13*64,0)/64)&amp;IF(MOD(ROUND(H13*64,0),64)&gt;0," ",""),"")&amp;IF(MOD(ROUND(H13*64,0),64)&gt;0,MOD(ROUND(H13*64,0),64)/GCD(MOD(ROUND(H13*64,0),64),64)&amp;"/"&amp;64/GCD(MOD(ROUND(H13*64,0),64),64),IF(ROUND(H13*64,0)=0,"0",""))&amp;""""))</f>
        <v>≈ 19/64"</v>
      </c>
      <c r="H13" s="45" t="n">
        <v>0.2894</v>
      </c>
      <c r="I13" s="21" t="n">
        <f aca="false">IF(ISNUMBER(H13),H13*25.4,"")</f>
        <v>7.35076</v>
      </c>
      <c r="J13" s="29" t="s">
        <v>176</v>
      </c>
      <c r="K13" s="29"/>
      <c r="L13" s="29"/>
      <c r="M13" s="45" t="n">
        <v>0.0156</v>
      </c>
      <c r="N13" s="29"/>
      <c r="O13" s="25" t="s">
        <v>195</v>
      </c>
      <c r="P13" s="25" t="s">
        <v>191</v>
      </c>
      <c r="Q13" s="25" t="s">
        <v>157</v>
      </c>
      <c r="R13" s="29" t="s">
        <v>196</v>
      </c>
      <c r="S13" s="29" t="s">
        <v>197</v>
      </c>
      <c r="T13" s="25"/>
      <c r="U13" s="29"/>
      <c r="V13" s="29"/>
      <c r="W13" s="29"/>
      <c r="X13" s="29"/>
      <c r="Y13" s="29"/>
      <c r="Z13" s="29"/>
      <c r="AA13" s="25" t="s">
        <v>181</v>
      </c>
      <c r="AB13" s="29" t="s">
        <v>198</v>
      </c>
      <c r="AC13" s="25"/>
      <c r="AD13" s="46" t="s">
        <v>152</v>
      </c>
    </row>
    <row r="14" customFormat="false" ht="45.75" hidden="false" customHeight="true" outlineLevel="0" collapsed="false">
      <c r="B14" s="44" t="s">
        <v>199</v>
      </c>
      <c r="C14" s="25" t="s">
        <v>143</v>
      </c>
      <c r="D14" s="29" t="str">
        <f aca="false">IF(NOT(ISNUMBER(E14)),"",IF(E14&lt;=0,"",IF(ABS(E14*64-ROUND(E14*64,0))&gt;0.0005,"≈ ","")&amp;IF(INT(ROUND(E14*64,0)/64)&gt;0,INT(ROUND(E14*64,0)/64)&amp;IF(MOD(ROUND(E14*64,0),64)&gt;0," ",""),"")&amp;IF(MOD(ROUND(E14*64,0),64)&gt;0,MOD(ROUND(E14*64,0),64)/GCD(MOD(ROUND(E14*64,0),64),64)&amp;"/"&amp;64/GCD(MOD(ROUND(E14*64,0),64),64),IF(ROUND(E14*64,0)=0,"0",""))&amp;""""))</f>
        <v/>
      </c>
      <c r="E14" s="29"/>
      <c r="F14" s="21" t="str">
        <f aca="false">IF(ISNUMBER(E14),E14*25.4,"")</f>
        <v/>
      </c>
      <c r="G14" s="29" t="str">
        <f aca="false">IF(NOT(ISNUMBER(H14)),"",IF(H14&lt;=0,"",IF(ABS(H14*64-ROUND(H14*64,0))&gt;0.0005,"≈ ","")&amp;IF(INT(ROUND(H14*64,0)/64)&gt;0,INT(ROUND(H14*64,0)/64)&amp;IF(MOD(ROUND(H14*64,0),64)&gt;0," ",""),"")&amp;IF(MOD(ROUND(H14*64,0),64)&gt;0,MOD(ROUND(H14*64,0),64)/GCD(MOD(ROUND(H14*64,0),64),64)&amp;"/"&amp;64/GCD(MOD(ROUND(H14*64,0),64),64),IF(ROUND(H14*64,0)=0,"0",""))&amp;""""))</f>
        <v/>
      </c>
      <c r="H14" s="29"/>
      <c r="I14" s="21" t="str">
        <f aca="false">IF(ISNUMBER(H14),H14*25.4,"")</f>
        <v/>
      </c>
      <c r="J14" s="29" t="s">
        <v>200</v>
      </c>
      <c r="K14" s="29"/>
      <c r="L14" s="29"/>
      <c r="M14" s="45" t="n">
        <v>0.0157</v>
      </c>
      <c r="N14" s="29"/>
      <c r="O14" s="25" t="s">
        <v>201</v>
      </c>
      <c r="P14" s="25" t="s">
        <v>170</v>
      </c>
      <c r="Q14" s="25" t="s">
        <v>165</v>
      </c>
      <c r="R14" s="29" t="s">
        <v>171</v>
      </c>
      <c r="S14" s="29" t="s">
        <v>202</v>
      </c>
      <c r="T14" s="25" t="s">
        <v>203</v>
      </c>
      <c r="U14" s="29"/>
      <c r="V14" s="29"/>
      <c r="W14" s="29"/>
      <c r="X14" s="29"/>
      <c r="Y14" s="29"/>
      <c r="Z14" s="29"/>
      <c r="AA14" s="25" t="s">
        <v>173</v>
      </c>
      <c r="AB14" s="29" t="s">
        <v>204</v>
      </c>
      <c r="AC14" s="25"/>
      <c r="AD14" s="46" t="s">
        <v>152</v>
      </c>
    </row>
    <row r="15" customFormat="false" ht="45.75" hidden="false" customHeight="true" outlineLevel="0" collapsed="false">
      <c r="B15" s="44" t="s">
        <v>205</v>
      </c>
      <c r="C15" s="25" t="s">
        <v>143</v>
      </c>
      <c r="D15" s="29" t="str">
        <f aca="false">IF(NOT(ISNUMBER(E15)),"",IF(E15&lt;=0,"",IF(ABS(E15*64-ROUND(E15*64,0))&gt;0.0005,"≈ ","")&amp;IF(INT(ROUND(E15*64,0)/64)&gt;0,INT(ROUND(E15*64,0)/64)&amp;IF(MOD(ROUND(E15*64,0),64)&gt;0," ",""),"")&amp;IF(MOD(ROUND(E15*64,0),64)&gt;0,MOD(ROUND(E15*64,0),64)/GCD(MOD(ROUND(E15*64,0),64),64)&amp;"/"&amp;64/GCD(MOD(ROUND(E15*64,0),64),64),IF(ROUND(E15*64,0)=0,"0",""))&amp;""""))</f>
        <v/>
      </c>
      <c r="E15" s="29"/>
      <c r="F15" s="21" t="str">
        <f aca="false">IF(ISNUMBER(E15),E15*25.4,"")</f>
        <v/>
      </c>
      <c r="G15" s="29" t="str">
        <f aca="false">IF(NOT(ISNUMBER(H15)),"",IF(H15&lt;=0,"",IF(ABS(H15*64-ROUND(H15*64,0))&gt;0.0005,"≈ ","")&amp;IF(INT(ROUND(H15*64,0)/64)&gt;0,INT(ROUND(H15*64,0)/64)&amp;IF(MOD(ROUND(H15*64,0),64)&gt;0," ",""),"")&amp;IF(MOD(ROUND(H15*64,0),64)&gt;0,MOD(ROUND(H15*64,0),64)/GCD(MOD(ROUND(H15*64,0),64),64)&amp;"/"&amp;64/GCD(MOD(ROUND(H15*64,0),64),64),IF(ROUND(H15*64,0)=0,"0",""))&amp;""""))</f>
        <v>≈ 25/32"</v>
      </c>
      <c r="H15" s="45" t="n">
        <v>0.787</v>
      </c>
      <c r="I15" s="21" t="n">
        <f aca="false">IF(ISNUMBER(H15),H15*25.4,"")</f>
        <v>19.9898</v>
      </c>
      <c r="J15" s="29" t="s">
        <v>200</v>
      </c>
      <c r="K15" s="29"/>
      <c r="L15" s="29"/>
      <c r="M15" s="45" t="n">
        <v>0.006</v>
      </c>
      <c r="N15" s="29"/>
      <c r="O15" s="25" t="s">
        <v>206</v>
      </c>
      <c r="P15" s="25" t="s">
        <v>145</v>
      </c>
      <c r="Q15" s="25" t="s">
        <v>146</v>
      </c>
      <c r="R15" s="29" t="s">
        <v>207</v>
      </c>
      <c r="S15" s="29"/>
      <c r="T15" s="25" t="s">
        <v>208</v>
      </c>
      <c r="U15" s="29"/>
      <c r="V15" s="29"/>
      <c r="W15" s="29"/>
      <c r="X15" s="29"/>
      <c r="Y15" s="29"/>
      <c r="Z15" s="29"/>
      <c r="AA15" s="25" t="s">
        <v>149</v>
      </c>
      <c r="AB15" s="29" t="s">
        <v>209</v>
      </c>
      <c r="AC15" s="25"/>
      <c r="AD15" s="46" t="s">
        <v>152</v>
      </c>
    </row>
    <row r="16" customFormat="false" ht="45.75" hidden="false" customHeight="true" outlineLevel="0" collapsed="false">
      <c r="B16" s="44" t="s">
        <v>210</v>
      </c>
      <c r="C16" s="25" t="s">
        <v>143</v>
      </c>
      <c r="D16" s="29" t="str">
        <f aca="false">IF(NOT(ISNUMBER(E16)),"",IF(E16&lt;=0,"",IF(ABS(E16*64-ROUND(E16*64,0))&gt;0.0005,"≈ ","")&amp;IF(INT(ROUND(E16*64,0)/64)&gt;0,INT(ROUND(E16*64,0)/64)&amp;IF(MOD(ROUND(E16*64,0),64)&gt;0," ",""),"")&amp;IF(MOD(ROUND(E16*64,0),64)&gt;0,MOD(ROUND(E16*64,0),64)/GCD(MOD(ROUND(E16*64,0),64),64)&amp;"/"&amp;64/GCD(MOD(ROUND(E16*64,0),64),64),IF(ROUND(E16*64,0)=0,"0",""))&amp;""""))</f>
        <v/>
      </c>
      <c r="E16" s="29"/>
      <c r="F16" s="21" t="str">
        <f aca="false">IF(ISNUMBER(E16),E16*25.4,"")</f>
        <v/>
      </c>
      <c r="G16" s="29" t="str">
        <f aca="false">IF(NOT(ISNUMBER(H16)),"",IF(H16&lt;=0,"",IF(ABS(H16*64-ROUND(H16*64,0))&gt;0.0005,"≈ ","")&amp;IF(INT(ROUND(H16*64,0)/64)&gt;0,INT(ROUND(H16*64,0)/64)&amp;IF(MOD(ROUND(H16*64,0),64)&gt;0," ",""),"")&amp;IF(MOD(ROUND(H16*64,0),64)&gt;0,MOD(ROUND(H16*64,0),64)/GCD(MOD(ROUND(H16*64,0),64),64)&amp;"/"&amp;64/GCD(MOD(ROUND(H16*64,0),64),64),IF(ROUND(H16*64,0)=0,"0",""))&amp;""""))</f>
        <v/>
      </c>
      <c r="H16" s="29"/>
      <c r="I16" s="21" t="str">
        <f aca="false">IF(ISNUMBER(H16),H16*25.4,"")</f>
        <v/>
      </c>
      <c r="J16" s="29"/>
      <c r="K16" s="29"/>
      <c r="L16" s="29"/>
      <c r="M16" s="45" t="n">
        <v>0.008</v>
      </c>
      <c r="N16" s="29"/>
      <c r="O16" s="25" t="s">
        <v>211</v>
      </c>
      <c r="P16" s="25" t="s">
        <v>145</v>
      </c>
      <c r="Q16" s="25" t="s">
        <v>146</v>
      </c>
      <c r="R16" s="29" t="s">
        <v>147</v>
      </c>
      <c r="S16" s="29" t="s">
        <v>212</v>
      </c>
      <c r="T16" s="25" t="s">
        <v>213</v>
      </c>
      <c r="U16" s="29"/>
      <c r="V16" s="29"/>
      <c r="W16" s="29"/>
      <c r="X16" s="29"/>
      <c r="Y16" s="29"/>
      <c r="Z16" s="29"/>
      <c r="AA16" s="25" t="s">
        <v>149</v>
      </c>
      <c r="AB16" s="29" t="s">
        <v>214</v>
      </c>
      <c r="AC16" s="25"/>
      <c r="AD16" s="46" t="s">
        <v>152</v>
      </c>
    </row>
    <row r="17" customFormat="false" ht="45.75" hidden="false" customHeight="true" outlineLevel="0" collapsed="false">
      <c r="B17" s="44" t="s">
        <v>215</v>
      </c>
      <c r="C17" s="25" t="s">
        <v>143</v>
      </c>
      <c r="D17" s="29" t="str">
        <f aca="false">IF(NOT(ISNUMBER(E17)),"",IF(E17&lt;=0,"",IF(ABS(E17*64-ROUND(E17*64,0))&gt;0.0005,"≈ ","")&amp;IF(INT(ROUND(E17*64,0)/64)&gt;0,INT(ROUND(E17*64,0)/64)&amp;IF(MOD(ROUND(E17*64,0),64)&gt;0," ",""),"")&amp;IF(MOD(ROUND(E17*64,0),64)&gt;0,MOD(ROUND(E17*64,0),64)/GCD(MOD(ROUND(E17*64,0),64),64)&amp;"/"&amp;64/GCD(MOD(ROUND(E17*64,0),64),64),IF(ROUND(E17*64,0)=0,"0",""))&amp;""""))</f>
        <v/>
      </c>
      <c r="E17" s="29"/>
      <c r="F17" s="21" t="str">
        <f aca="false">IF(ISNUMBER(E17),E17*25.4,"")</f>
        <v/>
      </c>
      <c r="G17" s="29" t="str">
        <f aca="false">IF(NOT(ISNUMBER(H17)),"",IF(H17&lt;=0,"",IF(ABS(H17*64-ROUND(H17*64,0))&gt;0.0005,"≈ ","")&amp;IF(INT(ROUND(H17*64,0)/64)&gt;0,INT(ROUND(H17*64,0)/64)&amp;IF(MOD(ROUND(H17*64,0),64)&gt;0," ",""),"")&amp;IF(MOD(ROUND(H17*64,0),64)&gt;0,MOD(ROUND(H17*64,0),64)/GCD(MOD(ROUND(H17*64,0),64),64)&amp;"/"&amp;64/GCD(MOD(ROUND(H17*64,0),64),64),IF(ROUND(H17*64,0)=0,"0",""))&amp;""""))</f>
        <v>≈ 51/64"</v>
      </c>
      <c r="H17" s="45" t="n">
        <v>0.7992</v>
      </c>
      <c r="I17" s="21" t="n">
        <f aca="false">IF(ISNUMBER(H17),H17*25.4,"")</f>
        <v>20.29968</v>
      </c>
      <c r="J17" s="29" t="s">
        <v>200</v>
      </c>
      <c r="K17" s="29"/>
      <c r="L17" s="45" t="n">
        <v>0.1969</v>
      </c>
      <c r="M17" s="45" t="n">
        <v>0.0008</v>
      </c>
      <c r="N17" s="29"/>
      <c r="O17" s="25" t="s">
        <v>216</v>
      </c>
      <c r="P17" s="25" t="s">
        <v>191</v>
      </c>
      <c r="Q17" s="25" t="s">
        <v>157</v>
      </c>
      <c r="R17" s="29" t="n">
        <v>1025</v>
      </c>
      <c r="S17" s="29" t="s">
        <v>217</v>
      </c>
      <c r="T17" s="25" t="s">
        <v>218</v>
      </c>
      <c r="U17" s="29"/>
      <c r="V17" s="29"/>
      <c r="W17" s="29"/>
      <c r="X17" s="29"/>
      <c r="Y17" s="29"/>
      <c r="Z17" s="29"/>
      <c r="AA17" s="25"/>
      <c r="AB17" s="29" t="s">
        <v>219</v>
      </c>
      <c r="AC17" s="25"/>
      <c r="AD17" s="46" t="s">
        <v>152</v>
      </c>
    </row>
    <row r="18" customFormat="false" ht="45.75" hidden="false" customHeight="true" outlineLevel="0" collapsed="false">
      <c r="B18" s="44" t="s">
        <v>220</v>
      </c>
      <c r="C18" s="25" t="s">
        <v>143</v>
      </c>
      <c r="D18" s="29" t="str">
        <f aca="false">IF(NOT(ISNUMBER(E18)),"",IF(E18&lt;=0,"",IF(ABS(E18*64-ROUND(E18*64,0))&gt;0.0005,"≈ ","")&amp;IF(INT(ROUND(E18*64,0)/64)&gt;0,INT(ROUND(E18*64,0)/64)&amp;IF(MOD(ROUND(E18*64,0),64)&gt;0," ",""),"")&amp;IF(MOD(ROUND(E18*64,0),64)&gt;0,MOD(ROUND(E18*64,0),64)/GCD(MOD(ROUND(E18*64,0),64),64)&amp;"/"&amp;64/GCD(MOD(ROUND(E18*64,0),64),64),IF(ROUND(E18*64,0)=0,"0",""))&amp;""""))</f>
        <v/>
      </c>
      <c r="E18" s="29"/>
      <c r="F18" s="21" t="str">
        <f aca="false">IF(ISNUMBER(E18),E18*25.4,"")</f>
        <v/>
      </c>
      <c r="G18" s="29" t="str">
        <f aca="false">IF(NOT(ISNUMBER(H18)),"",IF(H18&lt;=0,"",IF(ABS(H18*64-ROUND(H18*64,0))&gt;0.0005,"≈ ","")&amp;IF(INT(ROUND(H18*64,0)/64)&gt;0,INT(ROUND(H18*64,0)/64)&amp;IF(MOD(ROUND(H18*64,0),64)&gt;0," ",""),"")&amp;IF(MOD(ROUND(H18*64,0),64)&gt;0,MOD(ROUND(H18*64,0),64)/GCD(MOD(ROUND(H18*64,0),64),64)&amp;"/"&amp;64/GCD(MOD(ROUND(H18*64,0),64),64),IF(ROUND(H18*64,0)=0,"0",""))&amp;""""))</f>
        <v>≈ 15/64"</v>
      </c>
      <c r="H18" s="45" t="n">
        <v>0.2291</v>
      </c>
      <c r="I18" s="21" t="n">
        <f aca="false">IF(ISNUMBER(H18),H18*25.4,"")</f>
        <v>5.81914</v>
      </c>
      <c r="J18" s="29" t="s">
        <v>176</v>
      </c>
      <c r="K18" s="29"/>
      <c r="L18" s="29"/>
      <c r="M18" s="45" t="n">
        <v>0.0313</v>
      </c>
      <c r="N18" s="29"/>
      <c r="O18" s="25" t="s">
        <v>221</v>
      </c>
      <c r="P18" s="25" t="s">
        <v>191</v>
      </c>
      <c r="Q18" s="25" t="s">
        <v>157</v>
      </c>
      <c r="R18" s="29" t="s">
        <v>222</v>
      </c>
      <c r="S18" s="29" t="s">
        <v>223</v>
      </c>
      <c r="T18" s="25"/>
      <c r="U18" s="29"/>
      <c r="V18" s="29"/>
      <c r="W18" s="29"/>
      <c r="X18" s="29"/>
      <c r="Y18" s="29"/>
      <c r="Z18" s="29"/>
      <c r="AA18" s="25" t="s">
        <v>224</v>
      </c>
      <c r="AB18" s="29" t="s">
        <v>225</v>
      </c>
      <c r="AC18" s="25"/>
      <c r="AD18" s="46" t="s">
        <v>152</v>
      </c>
    </row>
    <row r="19" customFormat="false" ht="45.75" hidden="false" customHeight="true" outlineLevel="0" collapsed="false">
      <c r="B19" s="44" t="s">
        <v>226</v>
      </c>
      <c r="C19" s="25" t="s">
        <v>143</v>
      </c>
      <c r="D19" s="29" t="str">
        <f aca="false">IF(NOT(ISNUMBER(E19)),"",IF(E19&lt;=0,"",IF(ABS(E19*64-ROUND(E19*64,0))&gt;0.0005,"≈ ","")&amp;IF(INT(ROUND(E19*64,0)/64)&gt;0,INT(ROUND(E19*64,0)/64)&amp;IF(MOD(ROUND(E19*64,0),64)&gt;0," ",""),"")&amp;IF(MOD(ROUND(E19*64,0),64)&gt;0,MOD(ROUND(E19*64,0),64)/GCD(MOD(ROUND(E19*64,0),64),64)&amp;"/"&amp;64/GCD(MOD(ROUND(E19*64,0),64),64),IF(ROUND(E19*64,0)=0,"0",""))&amp;""""))</f>
        <v/>
      </c>
      <c r="E19" s="29"/>
      <c r="F19" s="21" t="str">
        <f aca="false">IF(ISNUMBER(E19),E19*25.4,"")</f>
        <v/>
      </c>
      <c r="G19" s="29" t="str">
        <f aca="false">IF(NOT(ISNUMBER(H19)),"",IF(H19&lt;=0,"",IF(ABS(H19*64-ROUND(H19*64,0))&gt;0.0005,"≈ ","")&amp;IF(INT(ROUND(H19*64,0)/64)&gt;0,INT(ROUND(H19*64,0)/64)&amp;IF(MOD(ROUND(H19*64,0),64)&gt;0," ",""),"")&amp;IF(MOD(ROUND(H19*64,0),64)&gt;0,MOD(ROUND(H19*64,0),64)/GCD(MOD(ROUND(H19*64,0),64),64)&amp;"/"&amp;64/GCD(MOD(ROUND(H19*64,0),64),64),IF(ROUND(H19*64,0)=0,"0",""))&amp;""""))</f>
        <v/>
      </c>
      <c r="H19" s="29"/>
      <c r="I19" s="21" t="str">
        <f aca="false">IF(ISNUMBER(H19),H19*25.4,"")</f>
        <v/>
      </c>
      <c r="J19" s="29"/>
      <c r="K19" s="29"/>
      <c r="L19" s="29"/>
      <c r="M19" s="29"/>
      <c r="N19" s="29"/>
      <c r="O19" s="25" t="s">
        <v>227</v>
      </c>
      <c r="P19" s="25" t="s">
        <v>191</v>
      </c>
      <c r="Q19" s="25" t="s">
        <v>157</v>
      </c>
      <c r="R19" s="29" t="n">
        <v>1115</v>
      </c>
      <c r="S19" s="29" t="n">
        <v>0.0156</v>
      </c>
      <c r="T19" s="25"/>
      <c r="U19" s="29"/>
      <c r="V19" s="29"/>
      <c r="W19" s="29"/>
      <c r="X19" s="29"/>
      <c r="Y19" s="29"/>
      <c r="Z19" s="29"/>
      <c r="AA19" s="25"/>
      <c r="AB19" s="29"/>
      <c r="AC19" s="25"/>
    </row>
    <row r="20" customFormat="false" ht="45.75" hidden="false" customHeight="true" outlineLevel="0" collapsed="false">
      <c r="B20" s="44" t="s">
        <v>228</v>
      </c>
      <c r="C20" s="25" t="s">
        <v>143</v>
      </c>
      <c r="D20" s="29" t="str">
        <f aca="false">IF(NOT(ISNUMBER(E20)),"",IF(E20&lt;=0,"",IF(ABS(E20*64-ROUND(E20*64,0))&gt;0.0005,"≈ ","")&amp;IF(INT(ROUND(E20*64,0)/64)&gt;0,INT(ROUND(E20*64,0)/64)&amp;IF(MOD(ROUND(E20*64,0),64)&gt;0," ",""),"")&amp;IF(MOD(ROUND(E20*64,0),64)&gt;0,MOD(ROUND(E20*64,0),64)/GCD(MOD(ROUND(E20*64,0),64),64)&amp;"/"&amp;64/GCD(MOD(ROUND(E20*64,0),64),64),IF(ROUND(E20*64,0)=0,"0",""))&amp;""""))</f>
        <v/>
      </c>
      <c r="E20" s="29"/>
      <c r="F20" s="21" t="str">
        <f aca="false">IF(ISNUMBER(E20),E20*25.4,"")</f>
        <v/>
      </c>
      <c r="G20" s="29" t="str">
        <f aca="false">IF(NOT(ISNUMBER(H20)),"",IF(H20&lt;=0,"",IF(ABS(H20*64-ROUND(H20*64,0))&gt;0.0005,"≈ ","")&amp;IF(INT(ROUND(H20*64,0)/64)&gt;0,INT(ROUND(H20*64,0)/64)&amp;IF(MOD(ROUND(H20*64,0),64)&gt;0," ",""),"")&amp;IF(MOD(ROUND(H20*64,0),64)&gt;0,MOD(ROUND(H20*64,0),64)/GCD(MOD(ROUND(H20*64,0),64),64)&amp;"/"&amp;64/GCD(MOD(ROUND(H20*64,0),64),64),IF(ROUND(H20*64,0)=0,"0",""))&amp;""""))</f>
        <v/>
      </c>
      <c r="H20" s="29"/>
      <c r="I20" s="21" t="str">
        <f aca="false">IF(ISNUMBER(H20),H20*25.4,"")</f>
        <v/>
      </c>
      <c r="J20" s="29"/>
      <c r="K20" s="29"/>
      <c r="L20" s="29"/>
      <c r="M20" s="45" t="n">
        <v>0.0078</v>
      </c>
      <c r="N20" s="29"/>
      <c r="O20" s="25" t="s">
        <v>229</v>
      </c>
      <c r="P20" s="25" t="s">
        <v>164</v>
      </c>
      <c r="Q20" s="25" t="s">
        <v>165</v>
      </c>
      <c r="R20" s="29" t="s">
        <v>166</v>
      </c>
      <c r="S20" s="29" t="s">
        <v>230</v>
      </c>
      <c r="T20" s="25" t="s">
        <v>231</v>
      </c>
      <c r="U20" s="29"/>
      <c r="V20" s="29"/>
      <c r="W20" s="29"/>
      <c r="X20" s="29"/>
      <c r="Y20" s="29"/>
      <c r="Z20" s="29"/>
      <c r="AA20" s="25" t="s">
        <v>181</v>
      </c>
      <c r="AB20" s="29" t="s">
        <v>232</v>
      </c>
      <c r="AC20" s="25"/>
      <c r="AD20" s="46" t="s">
        <v>152</v>
      </c>
    </row>
    <row r="21" customFormat="false" ht="45.75" hidden="false" customHeight="true" outlineLevel="0" collapsed="false">
      <c r="B21" s="44" t="s">
        <v>233</v>
      </c>
      <c r="C21" s="25" t="s">
        <v>143</v>
      </c>
      <c r="D21" s="29" t="str">
        <f aca="false">IF(NOT(ISNUMBER(E21)),"",IF(E21&lt;=0,"",IF(ABS(E21*64-ROUND(E21*64,0))&gt;0.0005,"≈ ","")&amp;IF(INT(ROUND(E21*64,0)/64)&gt;0,INT(ROUND(E21*64,0)/64)&amp;IF(MOD(ROUND(E21*64,0),64)&gt;0," ",""),"")&amp;IF(MOD(ROUND(E21*64,0),64)&gt;0,MOD(ROUND(E21*64,0),64)/GCD(MOD(ROUND(E21*64,0),64),64)&amp;"/"&amp;64/GCD(MOD(ROUND(E21*64,0),64),64),IF(ROUND(E21*64,0)=0,"0",""))&amp;""""))</f>
        <v/>
      </c>
      <c r="E21" s="29"/>
      <c r="F21" s="21" t="str">
        <f aca="false">IF(ISNUMBER(E21),E21*25.4,"")</f>
        <v/>
      </c>
      <c r="G21" s="29" t="str">
        <f aca="false">IF(NOT(ISNUMBER(H21)),"",IF(H21&lt;=0,"",IF(ABS(H21*64-ROUND(H21*64,0))&gt;0.0005,"≈ ","")&amp;IF(INT(ROUND(H21*64,0)/64)&gt;0,INT(ROUND(H21*64,0)/64)&amp;IF(MOD(ROUND(H21*64,0),64)&gt;0," ",""),"")&amp;IF(MOD(ROUND(H21*64,0),64)&gt;0,MOD(ROUND(H21*64,0),64)/GCD(MOD(ROUND(H21*64,0),64),64)&amp;"/"&amp;64/GCD(MOD(ROUND(H21*64,0),64),64),IF(ROUND(H21*64,0)=0,"0",""))&amp;""""))</f>
        <v>≈ 15/64"</v>
      </c>
      <c r="H21" s="45" t="n">
        <v>0.2381</v>
      </c>
      <c r="I21" s="21" t="n">
        <f aca="false">IF(ISNUMBER(H21),H21*25.4,"")</f>
        <v>6.04774</v>
      </c>
      <c r="J21" s="29" t="s">
        <v>176</v>
      </c>
      <c r="K21" s="29"/>
      <c r="L21" s="29"/>
      <c r="M21" s="45" t="n">
        <v>0.0156</v>
      </c>
      <c r="N21" s="29"/>
      <c r="O21" s="25" t="s">
        <v>234</v>
      </c>
      <c r="P21" s="25" t="s">
        <v>191</v>
      </c>
      <c r="Q21" s="25" t="s">
        <v>157</v>
      </c>
      <c r="R21" s="29" t="n">
        <v>4425</v>
      </c>
      <c r="S21" s="29" t="s">
        <v>235</v>
      </c>
      <c r="T21" s="25"/>
      <c r="U21" s="29"/>
      <c r="V21" s="29"/>
      <c r="W21" s="29"/>
      <c r="X21" s="29"/>
      <c r="Y21" s="29"/>
      <c r="Z21" s="29"/>
      <c r="AA21" s="25" t="s">
        <v>236</v>
      </c>
      <c r="AB21" s="29" t="s">
        <v>237</v>
      </c>
      <c r="AC21" s="25"/>
      <c r="AD21" s="46" t="s">
        <v>152</v>
      </c>
    </row>
    <row r="22" customFormat="false" ht="45.75" hidden="false" customHeight="true" outlineLevel="0" collapsed="false">
      <c r="B22" s="44" t="s">
        <v>238</v>
      </c>
      <c r="C22" s="25" t="s">
        <v>143</v>
      </c>
      <c r="D22" s="29" t="str">
        <f aca="false">IF(NOT(ISNUMBER(E22)),"",IF(E22&lt;=0,"",IF(ABS(E22*64-ROUND(E22*64,0))&gt;0.0005,"≈ ","")&amp;IF(INT(ROUND(E22*64,0)/64)&gt;0,INT(ROUND(E22*64,0)/64)&amp;IF(MOD(ROUND(E22*64,0),64)&gt;0," ",""),"")&amp;IF(MOD(ROUND(E22*64,0),64)&gt;0,MOD(ROUND(E22*64,0),64)/GCD(MOD(ROUND(E22*64,0),64),64)&amp;"/"&amp;64/GCD(MOD(ROUND(E22*64,0),64),64),IF(ROUND(E22*64,0)=0,"0",""))&amp;""""))</f>
        <v/>
      </c>
      <c r="E22" s="29"/>
      <c r="F22" s="21" t="str">
        <f aca="false">IF(ISNUMBER(E22),E22*25.4,"")</f>
        <v/>
      </c>
      <c r="G22" s="29" t="str">
        <f aca="false">IF(NOT(ISNUMBER(H22)),"",IF(H22&lt;=0,"",IF(ABS(H22*64-ROUND(H22*64,0))&gt;0.0005,"≈ ","")&amp;IF(INT(ROUND(H22*64,0)/64)&gt;0,INT(ROUND(H22*64,0)/64)&amp;IF(MOD(ROUND(H22*64,0),64)&gt;0," ",""),"")&amp;IF(MOD(ROUND(H22*64,0),64)&gt;0,MOD(ROUND(H22*64,0),64)/GCD(MOD(ROUND(H22*64,0),64),64)&amp;"/"&amp;64/GCD(MOD(ROUND(H22*64,0),64),64),IF(ROUND(H22*64,0)=0,"0",""))&amp;""""))</f>
        <v>≈ 3/8"</v>
      </c>
      <c r="H22" s="45" t="n">
        <v>0.374</v>
      </c>
      <c r="I22" s="21" t="n">
        <f aca="false">IF(ISNUMBER(H22),H22*25.4,"")</f>
        <v>9.4996</v>
      </c>
      <c r="J22" s="29" t="s">
        <v>176</v>
      </c>
      <c r="K22" s="29"/>
      <c r="L22" s="29"/>
      <c r="M22" s="29"/>
      <c r="N22" s="29"/>
      <c r="O22" s="25" t="s">
        <v>239</v>
      </c>
      <c r="P22" s="25" t="s">
        <v>240</v>
      </c>
      <c r="Q22" s="25" t="s">
        <v>240</v>
      </c>
      <c r="R22" s="29" t="s">
        <v>241</v>
      </c>
      <c r="S22" s="29" t="s">
        <v>242</v>
      </c>
      <c r="T22" s="25" t="s">
        <v>243</v>
      </c>
      <c r="U22" s="29"/>
      <c r="V22" s="29"/>
      <c r="W22" s="29"/>
      <c r="X22" s="29"/>
      <c r="Y22" s="29"/>
      <c r="Z22" s="29"/>
      <c r="AA22" s="25" t="s">
        <v>173</v>
      </c>
      <c r="AB22" s="29" t="s">
        <v>244</v>
      </c>
      <c r="AC22" s="25" t="s">
        <v>245</v>
      </c>
      <c r="AD22" s="46" t="s">
        <v>152</v>
      </c>
    </row>
    <row r="23" customFormat="false" ht="45.75" hidden="false" customHeight="true" outlineLevel="0" collapsed="false">
      <c r="B23" s="44" t="s">
        <v>246</v>
      </c>
      <c r="C23" s="25" t="s">
        <v>143</v>
      </c>
      <c r="D23" s="29" t="str">
        <f aca="false">IF(NOT(ISNUMBER(E23)),"",IF(E23&lt;=0,"",IF(ABS(E23*64-ROUND(E23*64,0))&gt;0.0005,"≈ ","")&amp;IF(INT(ROUND(E23*64,0)/64)&gt;0,INT(ROUND(E23*64,0)/64)&amp;IF(MOD(ROUND(E23*64,0),64)&gt;0," ",""),"")&amp;IF(MOD(ROUND(E23*64,0),64)&gt;0,MOD(ROUND(E23*64,0),64)/GCD(MOD(ROUND(E23*64,0),64),64)&amp;"/"&amp;64/GCD(MOD(ROUND(E23*64,0),64),64),IF(ROUND(E23*64,0)=0,"0",""))&amp;""""))</f>
        <v/>
      </c>
      <c r="E23" s="29"/>
      <c r="F23" s="21" t="str">
        <f aca="false">IF(ISNUMBER(E23),E23*25.4,"")</f>
        <v/>
      </c>
      <c r="G23" s="29" t="str">
        <f aca="false">IF(NOT(ISNUMBER(H23)),"",IF(H23&lt;=0,"",IF(ABS(H23*64-ROUND(H23*64,0))&gt;0.0005,"≈ ","")&amp;IF(INT(ROUND(H23*64,0)/64)&gt;0,INT(ROUND(H23*64,0)/64)&amp;IF(MOD(ROUND(H23*64,0),64)&gt;0," ",""),"")&amp;IF(MOD(ROUND(H23*64,0),64)&gt;0,MOD(ROUND(H23*64,0),64)/GCD(MOD(ROUND(H23*64,0),64),64)&amp;"/"&amp;64/GCD(MOD(ROUND(H23*64,0),64),64),IF(ROUND(H23*64,0)=0,"0",""))&amp;""""))</f>
        <v/>
      </c>
      <c r="H23" s="29"/>
      <c r="I23" s="21" t="str">
        <f aca="false">IF(ISNUMBER(H23),H23*25.4,"")</f>
        <v/>
      </c>
      <c r="J23" s="29" t="s">
        <v>176</v>
      </c>
      <c r="K23" s="29" t="n">
        <v>2</v>
      </c>
      <c r="L23" s="29"/>
      <c r="M23" s="45" t="n">
        <v>0.01</v>
      </c>
      <c r="N23" s="29"/>
      <c r="O23" s="25" t="s">
        <v>247</v>
      </c>
      <c r="P23" s="25" t="s">
        <v>240</v>
      </c>
      <c r="Q23" s="25" t="s">
        <v>240</v>
      </c>
      <c r="R23" s="29" t="s">
        <v>248</v>
      </c>
      <c r="S23" s="29" t="s">
        <v>249</v>
      </c>
      <c r="T23" s="25" t="s">
        <v>250</v>
      </c>
      <c r="U23" s="29"/>
      <c r="V23" s="29"/>
      <c r="W23" s="29"/>
      <c r="X23" s="29"/>
      <c r="Y23" s="29"/>
      <c r="Z23" s="29"/>
      <c r="AA23" s="25" t="s">
        <v>181</v>
      </c>
      <c r="AB23" s="29" t="s">
        <v>251</v>
      </c>
      <c r="AC23" s="25" t="s">
        <v>252</v>
      </c>
      <c r="AD23" s="46" t="s">
        <v>152</v>
      </c>
    </row>
    <row r="24" customFormat="false" ht="45.75" hidden="false" customHeight="true" outlineLevel="0" collapsed="false">
      <c r="B24" s="44" t="s">
        <v>253</v>
      </c>
      <c r="C24" s="25" t="s">
        <v>143</v>
      </c>
      <c r="D24" s="29" t="str">
        <f aca="false">IF(NOT(ISNUMBER(E24)),"",IF(E24&lt;=0,"",IF(ABS(E24*64-ROUND(E24*64,0))&gt;0.0005,"≈ ","")&amp;IF(INT(ROUND(E24*64,0)/64)&gt;0,INT(ROUND(E24*64,0)/64)&amp;IF(MOD(ROUND(E24*64,0),64)&gt;0," ",""),"")&amp;IF(MOD(ROUND(E24*64,0),64)&gt;0,MOD(ROUND(E24*64,0),64)/GCD(MOD(ROUND(E24*64,0),64),64)&amp;"/"&amp;64/GCD(MOD(ROUND(E24*64,0),64),64),IF(ROUND(E24*64,0)=0,"0",""))&amp;""""))</f>
        <v/>
      </c>
      <c r="E24" s="29"/>
      <c r="F24" s="21" t="str">
        <f aca="false">IF(ISNUMBER(E24),E24*25.4,"")</f>
        <v/>
      </c>
      <c r="G24" s="29" t="str">
        <f aca="false">IF(NOT(ISNUMBER(H24)),"",IF(H24&lt;=0,"",IF(ABS(H24*64-ROUND(H24*64,0))&gt;0.0005,"≈ ","")&amp;IF(INT(ROUND(H24*64,0)/64)&gt;0,INT(ROUND(H24*64,0)/64)&amp;IF(MOD(ROUND(H24*64,0),64)&gt;0," ",""),"")&amp;IF(MOD(ROUND(H24*64,0),64)&gt;0,MOD(ROUND(H24*64,0),64)/GCD(MOD(ROUND(H24*64,0),64),64)&amp;"/"&amp;64/GCD(MOD(ROUND(H24*64,0),64),64),IF(ROUND(H24*64,0)=0,"0",""))&amp;""""))</f>
        <v/>
      </c>
      <c r="H24" s="29"/>
      <c r="I24" s="21" t="str">
        <f aca="false">IF(ISNUMBER(H24),H24*25.4,"")</f>
        <v/>
      </c>
      <c r="J24" s="29"/>
      <c r="K24" s="29"/>
      <c r="L24" s="29"/>
      <c r="M24" s="29"/>
      <c r="N24" s="29"/>
      <c r="O24" s="25"/>
      <c r="P24" s="25"/>
      <c r="Q24" s="25"/>
      <c r="R24" s="29"/>
      <c r="S24" s="29"/>
      <c r="T24" s="25"/>
      <c r="U24" s="29"/>
      <c r="V24" s="29"/>
      <c r="W24" s="29"/>
      <c r="X24" s="29"/>
      <c r="Y24" s="29"/>
      <c r="Z24" s="29"/>
      <c r="AA24" s="25"/>
      <c r="AB24" s="29"/>
      <c r="AC24" s="25"/>
    </row>
    <row r="25" customFormat="false" ht="45.75" hidden="false" customHeight="true" outlineLevel="0" collapsed="false">
      <c r="B25" s="44" t="s">
        <v>254</v>
      </c>
      <c r="C25" s="25" t="s">
        <v>143</v>
      </c>
      <c r="D25" s="29" t="str">
        <f aca="false">IF(NOT(ISNUMBER(E25)),"",IF(E25&lt;=0,"",IF(ABS(E25*64-ROUND(E25*64,0))&gt;0.0005,"≈ ","")&amp;IF(INT(ROUND(E25*64,0)/64)&gt;0,INT(ROUND(E25*64,0)/64)&amp;IF(MOD(ROUND(E25*64,0),64)&gt;0," ",""),"")&amp;IF(MOD(ROUND(E25*64,0),64)&gt;0,MOD(ROUND(E25*64,0),64)/GCD(MOD(ROUND(E25*64,0),64),64)&amp;"/"&amp;64/GCD(MOD(ROUND(E25*64,0),64),64),IF(ROUND(E25*64,0)=0,"0",""))&amp;""""))</f>
        <v>7/8"</v>
      </c>
      <c r="E25" s="45" t="n">
        <v>0.875</v>
      </c>
      <c r="F25" s="21" t="n">
        <f aca="false">IF(ISNUMBER(E25),E25*25.4,"")</f>
        <v>22.225</v>
      </c>
      <c r="G25" s="29" t="str">
        <f aca="false">IF(NOT(ISNUMBER(H25)),"",IF(H25&lt;=0,"",IF(ABS(H25*64-ROUND(H25*64,0))&gt;0.0005,"≈ ","")&amp;IF(INT(ROUND(H25*64,0)/64)&gt;0,INT(ROUND(H25*64,0)/64)&amp;IF(MOD(ROUND(H25*64,0),64)&gt;0," ",""),"")&amp;IF(MOD(ROUND(H25*64,0),64)&gt;0,MOD(ROUND(H25*64,0),64)/GCD(MOD(ROUND(H25*64,0),64),64)&amp;"/"&amp;64/GCD(MOD(ROUND(H25*64,0),64),64),IF(ROUND(H25*64,0)=0,"0",""))&amp;""""))</f>
        <v/>
      </c>
      <c r="H25" s="29"/>
      <c r="I25" s="21" t="str">
        <f aca="false">IF(ISNUMBER(H25),H25*25.4,"")</f>
        <v/>
      </c>
      <c r="J25" s="29" t="s">
        <v>168</v>
      </c>
      <c r="K25" s="29" t="n">
        <v>2</v>
      </c>
      <c r="L25" s="29"/>
      <c r="M25" s="29" t="s">
        <v>255</v>
      </c>
      <c r="N25" s="29" t="n">
        <v>140</v>
      </c>
      <c r="O25" s="25" t="s">
        <v>256</v>
      </c>
      <c r="P25" s="25" t="s">
        <v>240</v>
      </c>
      <c r="Q25" s="25" t="s">
        <v>240</v>
      </c>
      <c r="R25" s="29" t="s">
        <v>257</v>
      </c>
      <c r="S25" s="29"/>
      <c r="T25" s="25"/>
      <c r="U25" s="29"/>
      <c r="V25" s="29"/>
      <c r="W25" s="29"/>
      <c r="X25" s="29"/>
      <c r="Y25" s="29"/>
      <c r="Z25" s="29"/>
      <c r="AA25" s="25"/>
      <c r="AB25" s="29" t="s">
        <v>258</v>
      </c>
      <c r="AC25" s="25" t="s">
        <v>259</v>
      </c>
    </row>
    <row r="26" customFormat="false" ht="45.75" hidden="false" customHeight="true" outlineLevel="0" collapsed="false">
      <c r="B26" s="44" t="s">
        <v>260</v>
      </c>
      <c r="C26" s="25" t="s">
        <v>143</v>
      </c>
      <c r="D26" s="29" t="str">
        <f aca="false">IF(NOT(ISNUMBER(E26)),"",IF(E26&lt;=0,"",IF(ABS(E26*64-ROUND(E26*64,0))&gt;0.0005,"≈ ","")&amp;IF(INT(ROUND(E26*64,0)/64)&gt;0,INT(ROUND(E26*64,0)/64)&amp;IF(MOD(ROUND(E26*64,0),64)&gt;0," ",""),"")&amp;IF(MOD(ROUND(E26*64,0),64)&gt;0,MOD(ROUND(E26*64,0),64)/GCD(MOD(ROUND(E26*64,0),64),64)&amp;"/"&amp;64/GCD(MOD(ROUND(E26*64,0),64),64),IF(ROUND(E26*64,0)=0,"0",""))&amp;""""))</f>
        <v/>
      </c>
      <c r="E26" s="29"/>
      <c r="F26" s="21" t="str">
        <f aca="false">IF(ISNUMBER(E26),E26*25.4,"")</f>
        <v/>
      </c>
      <c r="G26" s="29" t="str">
        <f aca="false">IF(NOT(ISNUMBER(H26)),"",IF(H26&lt;=0,"",IF(ABS(H26*64-ROUND(H26*64,0))&gt;0.0005,"≈ ","")&amp;IF(INT(ROUND(H26*64,0)/64)&gt;0,INT(ROUND(H26*64,0)/64)&amp;IF(MOD(ROUND(H26*64,0),64)&gt;0," ",""),"")&amp;IF(MOD(ROUND(H26*64,0),64)&gt;0,MOD(ROUND(H26*64,0),64)/GCD(MOD(ROUND(H26*64,0),64),64)&amp;"/"&amp;64/GCD(MOD(ROUND(H26*64,0),64),64),IF(ROUND(H26*64,0)=0,"0",""))&amp;""""))</f>
        <v/>
      </c>
      <c r="H26" s="29"/>
      <c r="I26" s="21" t="str">
        <f aca="false">IF(ISNUMBER(H26),H26*25.4,"")</f>
        <v/>
      </c>
      <c r="J26" s="29" t="s">
        <v>200</v>
      </c>
      <c r="K26" s="29"/>
      <c r="L26" s="29"/>
      <c r="M26" s="45" t="n">
        <v>0.01181</v>
      </c>
      <c r="N26" s="29" t="n">
        <v>8</v>
      </c>
      <c r="O26" s="25" t="s">
        <v>261</v>
      </c>
      <c r="P26" s="25" t="s">
        <v>240</v>
      </c>
      <c r="Q26" s="25" t="s">
        <v>240</v>
      </c>
      <c r="R26" s="29" t="s">
        <v>262</v>
      </c>
      <c r="S26" s="29"/>
      <c r="T26" s="25" t="s">
        <v>263</v>
      </c>
      <c r="U26" s="29"/>
      <c r="V26" s="29"/>
      <c r="W26" s="29"/>
      <c r="X26" s="29"/>
      <c r="Y26" s="29"/>
      <c r="Z26" s="29"/>
      <c r="AA26" s="25"/>
      <c r="AB26" s="29" t="s">
        <v>264</v>
      </c>
      <c r="AC26" s="25" t="s">
        <v>265</v>
      </c>
    </row>
    <row r="27" customFormat="false" ht="45.75" hidden="false" customHeight="true" outlineLevel="0" collapsed="false">
      <c r="B27" s="44" t="s">
        <v>266</v>
      </c>
      <c r="C27" s="25" t="s">
        <v>143</v>
      </c>
      <c r="D27" s="29" t="str">
        <f aca="false">IF(NOT(ISNUMBER(E27)),"",IF(E27&lt;=0,"",IF(ABS(E27*64-ROUND(E27*64,0))&gt;0.0005,"≈ ","")&amp;IF(INT(ROUND(E27*64,0)/64)&gt;0,INT(ROUND(E27*64,0)/64)&amp;IF(MOD(ROUND(E27*64,0),64)&gt;0," ",""),"")&amp;IF(MOD(ROUND(E27*64,0),64)&gt;0,MOD(ROUND(E27*64,0),64)/GCD(MOD(ROUND(E27*64,0),64),64)&amp;"/"&amp;64/GCD(MOD(ROUND(E27*64,0),64),64),IF(ROUND(E27*64,0)=0,"0",""))&amp;""""))</f>
        <v/>
      </c>
      <c r="E27" s="29"/>
      <c r="F27" s="21" t="str">
        <f aca="false">IF(ISNUMBER(E27),E27*25.4,"")</f>
        <v/>
      </c>
      <c r="G27" s="29" t="str">
        <f aca="false">IF(NOT(ISNUMBER(H27)),"",IF(H27&lt;=0,"",IF(ABS(H27*64-ROUND(H27*64,0))&gt;0.0005,"≈ ","")&amp;IF(INT(ROUND(H27*64,0)/64)&gt;0,INT(ROUND(H27*64,0)/64)&amp;IF(MOD(ROUND(H27*64,0),64)&gt;0," ",""),"")&amp;IF(MOD(ROUND(H27*64,0),64)&gt;0,MOD(ROUND(H27*64,0),64)/GCD(MOD(ROUND(H27*64,0),64),64)&amp;"/"&amp;64/GCD(MOD(ROUND(H27*64,0),64),64),IF(ROUND(H27*64,0)=0,"0",""))&amp;""""))</f>
        <v/>
      </c>
      <c r="H27" s="29"/>
      <c r="I27" s="21" t="str">
        <f aca="false">IF(ISNUMBER(H27),H27*25.4,"")</f>
        <v/>
      </c>
      <c r="J27" s="29" t="s">
        <v>200</v>
      </c>
      <c r="K27" s="29"/>
      <c r="L27" s="29"/>
      <c r="M27" s="45" t="n">
        <v>0.01575</v>
      </c>
      <c r="N27" s="29" t="n">
        <v>11</v>
      </c>
      <c r="O27" s="25" t="s">
        <v>267</v>
      </c>
      <c r="P27" s="25" t="s">
        <v>240</v>
      </c>
      <c r="Q27" s="25" t="s">
        <v>240</v>
      </c>
      <c r="R27" s="29" t="s">
        <v>262</v>
      </c>
      <c r="S27" s="29"/>
      <c r="T27" s="25" t="s">
        <v>263</v>
      </c>
      <c r="U27" s="29"/>
      <c r="V27" s="29"/>
      <c r="W27" s="29"/>
      <c r="X27" s="29"/>
      <c r="Y27" s="29"/>
      <c r="Z27" s="29"/>
      <c r="AA27" s="25"/>
      <c r="AB27" s="29" t="s">
        <v>268</v>
      </c>
      <c r="AC27" s="25" t="s">
        <v>269</v>
      </c>
    </row>
    <row r="28" customFormat="false" ht="45.75" hidden="false" customHeight="true" outlineLevel="0" collapsed="false">
      <c r="B28" s="44" t="s">
        <v>270</v>
      </c>
      <c r="C28" s="25" t="s">
        <v>143</v>
      </c>
      <c r="D28" s="29" t="str">
        <f aca="false">IF(NOT(ISNUMBER(E28)),"",IF(E28&lt;=0,"",IF(ABS(E28*64-ROUND(E28*64,0))&gt;0.0005,"≈ ","")&amp;IF(INT(ROUND(E28*64,0)/64)&gt;0,INT(ROUND(E28*64,0)/64)&amp;IF(MOD(ROUND(E28*64,0),64)&gt;0," ",""),"")&amp;IF(MOD(ROUND(E28*64,0),64)&gt;0,MOD(ROUND(E28*64,0),64)/GCD(MOD(ROUND(E28*64,0),64),64)&amp;"/"&amp;64/GCD(MOD(ROUND(E28*64,0),64),64),IF(ROUND(E28*64,0)=0,"0",""))&amp;""""))</f>
        <v>1/4"</v>
      </c>
      <c r="E28" s="45" t="n">
        <v>0.25</v>
      </c>
      <c r="F28" s="21" t="n">
        <f aca="false">IF(ISNUMBER(E28),E28*25.4,"")</f>
        <v>6.35</v>
      </c>
      <c r="G28" s="29" t="str">
        <f aca="false">IF(NOT(ISNUMBER(H28)),"",IF(H28&lt;=0,"",IF(ABS(H28*64-ROUND(H28*64,0))&gt;0.0005,"≈ ","")&amp;IF(INT(ROUND(H28*64,0)/64)&gt;0,INT(ROUND(H28*64,0)/64)&amp;IF(MOD(ROUND(H28*64,0),64)&gt;0," ",""),"")&amp;IF(MOD(ROUND(H28*64,0),64)&gt;0,MOD(ROUND(H28*64,0),64)/GCD(MOD(ROUND(H28*64,0),64),64)&amp;"/"&amp;64/GCD(MOD(ROUND(H28*64,0),64),64),IF(ROUND(H28*64,0)=0,"0",""))&amp;""""))</f>
        <v>≈ 1/4"</v>
      </c>
      <c r="H28" s="45" t="n">
        <v>0.2539</v>
      </c>
      <c r="I28" s="21" t="n">
        <f aca="false">IF(ISNUMBER(H28),H28*25.4,"")</f>
        <v>6.44906</v>
      </c>
      <c r="J28" s="29"/>
      <c r="K28" s="29"/>
      <c r="L28" s="29"/>
      <c r="M28" s="45" t="n">
        <v>0.016</v>
      </c>
      <c r="N28" s="29" t="n">
        <v>80</v>
      </c>
      <c r="O28" s="25" t="s">
        <v>271</v>
      </c>
      <c r="P28" s="25" t="s">
        <v>272</v>
      </c>
      <c r="Q28" s="25" t="s">
        <v>272</v>
      </c>
      <c r="R28" s="29" t="s">
        <v>273</v>
      </c>
      <c r="S28" s="29" t="s">
        <v>274</v>
      </c>
      <c r="T28" s="25"/>
      <c r="U28" s="29"/>
      <c r="V28" s="29"/>
      <c r="W28" s="29"/>
      <c r="X28" s="29"/>
      <c r="Y28" s="29"/>
      <c r="Z28" s="29"/>
      <c r="AA28" s="25" t="s">
        <v>275</v>
      </c>
      <c r="AB28" s="29" t="s">
        <v>276</v>
      </c>
      <c r="AC28" s="25" t="s">
        <v>277</v>
      </c>
      <c r="AD28" s="46" t="s">
        <v>152</v>
      </c>
    </row>
    <row r="29" customFormat="false" ht="45.75" hidden="false" customHeight="true" outlineLevel="0" collapsed="false">
      <c r="B29" s="44" t="s">
        <v>278</v>
      </c>
      <c r="C29" s="25" t="s">
        <v>143</v>
      </c>
      <c r="D29" s="29" t="str">
        <f aca="false">IF(NOT(ISNUMBER(E29)),"",IF(E29&lt;=0,"",IF(ABS(E29*64-ROUND(E29*64,0))&gt;0.0005,"≈ ","")&amp;IF(INT(ROUND(E29*64,0)/64)&gt;0,INT(ROUND(E29*64,0)/64)&amp;IF(MOD(ROUND(E29*64,0),64)&gt;0," ",""),"")&amp;IF(MOD(ROUND(E29*64,0),64)&gt;0,MOD(ROUND(E29*64,0),64)/GCD(MOD(ROUND(E29*64,0),64),64)&amp;"/"&amp;64/GCD(MOD(ROUND(E29*64,0),64),64),IF(ROUND(E29*64,0)=0,"0",""))&amp;""""))</f>
        <v>1/4"</v>
      </c>
      <c r="E29" s="45" t="n">
        <v>0.25</v>
      </c>
      <c r="F29" s="21" t="n">
        <f aca="false">IF(ISNUMBER(E29),E29*25.4,"")</f>
        <v>6.35</v>
      </c>
      <c r="G29" s="29" t="str">
        <f aca="false">IF(NOT(ISNUMBER(H29)),"",IF(H29&lt;=0,"",IF(ABS(H29*64-ROUND(H29*64,0))&gt;0.0005,"≈ ","")&amp;IF(INT(ROUND(H29*64,0)/64)&gt;0,INT(ROUND(H29*64,0)/64)&amp;IF(MOD(ROUND(H29*64,0),64)&gt;0," ",""),"")&amp;IF(MOD(ROUND(H29*64,0),64)&gt;0,MOD(ROUND(H29*64,0),64)/GCD(MOD(ROUND(H29*64,0),64),64)&amp;"/"&amp;64/GCD(MOD(ROUND(H29*64,0),64),64),IF(ROUND(H29*64,0)=0,"0",""))&amp;""""))</f>
        <v>≈ 1/4"</v>
      </c>
      <c r="H29" s="45" t="n">
        <v>0.2539</v>
      </c>
      <c r="I29" s="21" t="n">
        <f aca="false">IF(ISNUMBER(H29),H29*25.4,"")</f>
        <v>6.44906</v>
      </c>
      <c r="J29" s="29"/>
      <c r="K29" s="29"/>
      <c r="L29" s="29"/>
      <c r="M29" s="45" t="n">
        <v>0.016</v>
      </c>
      <c r="N29" s="29" t="n">
        <v>80</v>
      </c>
      <c r="O29" s="25" t="s">
        <v>279</v>
      </c>
      <c r="P29" s="25" t="s">
        <v>272</v>
      </c>
      <c r="Q29" s="25" t="s">
        <v>272</v>
      </c>
      <c r="R29" s="29" t="s">
        <v>280</v>
      </c>
      <c r="S29" s="29" t="s">
        <v>274</v>
      </c>
      <c r="T29" s="25"/>
      <c r="U29" s="29"/>
      <c r="V29" s="29"/>
      <c r="W29" s="29"/>
      <c r="X29" s="29"/>
      <c r="Y29" s="29"/>
      <c r="Z29" s="29"/>
      <c r="AA29" s="25" t="s">
        <v>281</v>
      </c>
      <c r="AB29" s="29" t="s">
        <v>282</v>
      </c>
      <c r="AC29" s="25" t="s">
        <v>283</v>
      </c>
      <c r="AD29" s="46" t="s">
        <v>152</v>
      </c>
    </row>
    <row r="30" customFormat="false" ht="45.75" hidden="false" customHeight="true" outlineLevel="0" collapsed="false">
      <c r="B30" s="44" t="s">
        <v>284</v>
      </c>
      <c r="C30" s="25" t="s">
        <v>285</v>
      </c>
      <c r="D30" s="29" t="str">
        <f aca="false">IF(NOT(ISNUMBER(E30)),"",IF(E30&lt;=0,"",IF(ABS(E30*64-ROUND(E30*64,0))&gt;0.0005,"≈ ","")&amp;IF(INT(ROUND(E30*64,0)/64)&gt;0,INT(ROUND(E30*64,0)/64)&amp;IF(MOD(ROUND(E30*64,0),64)&gt;0," ",""),"")&amp;IF(MOD(ROUND(E30*64,0),64)&gt;0,MOD(ROUND(E30*64,0),64)/GCD(MOD(ROUND(E30*64,0),64),64)&amp;"/"&amp;64/GCD(MOD(ROUND(E30*64,0),64),64),IF(ROUND(E30*64,0)=0,"0",""))&amp;""""))</f>
        <v>1/4"</v>
      </c>
      <c r="E30" s="45" t="n">
        <v>0.25</v>
      </c>
      <c r="F30" s="21" t="n">
        <f aca="false">IF(ISNUMBER(E30),E30*25.4,"")</f>
        <v>6.35</v>
      </c>
      <c r="G30" s="29" t="str">
        <f aca="false">IF(NOT(ISNUMBER(H30)),"",IF(H30&lt;=0,"",IF(ABS(H30*64-ROUND(H30*64,0))&gt;0.0005,"≈ ","")&amp;IF(INT(ROUND(H30*64,0)/64)&gt;0,INT(ROUND(H30*64,0)/64)&amp;IF(MOD(ROUND(H30*64,0),64)&gt;0," ",""),"")&amp;IF(MOD(ROUND(H30*64,0),64)&gt;0,MOD(ROUND(H30*64,0),64)/GCD(MOD(ROUND(H30*64,0),64),64)&amp;"/"&amp;64/GCD(MOD(ROUND(H30*64,0),64),64),IF(ROUND(H30*64,0)=0,"0",""))&amp;""""))</f>
        <v>3/8"</v>
      </c>
      <c r="H30" s="45" t="n">
        <v>0.375</v>
      </c>
      <c r="I30" s="21" t="n">
        <f aca="false">IF(ISNUMBER(H30),H30*25.4,"")</f>
        <v>9.525</v>
      </c>
      <c r="J30" s="29"/>
      <c r="K30" s="29" t="n">
        <v>2</v>
      </c>
      <c r="L30" s="45" t="n">
        <v>0.25</v>
      </c>
      <c r="M30" s="29"/>
      <c r="N30" s="29"/>
      <c r="O30" s="25" t="s">
        <v>286</v>
      </c>
      <c r="P30" s="25" t="s">
        <v>287</v>
      </c>
      <c r="Q30" s="25" t="s">
        <v>288</v>
      </c>
      <c r="R30" s="29"/>
      <c r="S30" s="29" t="s">
        <v>289</v>
      </c>
      <c r="T30" s="25"/>
      <c r="U30" s="29"/>
      <c r="V30" s="29"/>
      <c r="W30" s="29"/>
      <c r="X30" s="29"/>
      <c r="Y30" s="29"/>
      <c r="Z30" s="29"/>
      <c r="AA30" s="25"/>
      <c r="AB30" s="29" t="s">
        <v>290</v>
      </c>
      <c r="AC30" s="25" t="s">
        <v>291</v>
      </c>
    </row>
    <row r="31" customFormat="false" ht="45.75" hidden="false" customHeight="true" outlineLevel="0" collapsed="false">
      <c r="B31" s="44" t="s">
        <v>292</v>
      </c>
      <c r="C31" s="25" t="s">
        <v>285</v>
      </c>
      <c r="D31" s="29" t="str">
        <f aca="false">IF(NOT(ISNUMBER(E31)),"",IF(E31&lt;=0,"",IF(ABS(E31*64-ROUND(E31*64,0))&gt;0.0005,"≈ ","")&amp;IF(INT(ROUND(E31*64,0)/64)&gt;0,INT(ROUND(E31*64,0)/64)&amp;IF(MOD(ROUND(E31*64,0),64)&gt;0," ",""),"")&amp;IF(MOD(ROUND(E31*64,0),64)&gt;0,MOD(ROUND(E31*64,0),64)/GCD(MOD(ROUND(E31*64,0),64),64)&amp;"/"&amp;64/GCD(MOD(ROUND(E31*64,0),64),64),IF(ROUND(E31*64,0)=0,"0",""))&amp;""""))</f>
        <v>≈ 1/32"</v>
      </c>
      <c r="E31" s="45" t="n">
        <v>0.039</v>
      </c>
      <c r="F31" s="21" t="n">
        <f aca="false">IF(ISNUMBER(E31),E31*25.4,"")</f>
        <v>0.9906</v>
      </c>
      <c r="G31" s="29" t="str">
        <f aca="false">IF(NOT(ISNUMBER(H31)),"",IF(H31&lt;=0,"",IF(ABS(H31*64-ROUND(H31*64,0))&gt;0.0005,"≈ ","")&amp;IF(INT(ROUND(H31*64,0)/64)&gt;0,INT(ROUND(H31*64,0)/64)&amp;IF(MOD(ROUND(H31*64,0),64)&gt;0," ",""),"")&amp;IF(MOD(ROUND(H31*64,0),64)&gt;0,MOD(ROUND(H31*64,0),64)/GCD(MOD(ROUND(H31*64,0),64),64)&amp;"/"&amp;64/GCD(MOD(ROUND(H31*64,0),64),64),IF(ROUND(H31*64,0)=0,"0",""))&amp;""""))</f>
        <v>13/64"</v>
      </c>
      <c r="H31" s="45" t="n">
        <v>0.203125</v>
      </c>
      <c r="I31" s="21" t="n">
        <f aca="false">IF(ISNUMBER(H31),H31*25.4,"")</f>
        <v>5.159375</v>
      </c>
      <c r="J31" s="29" t="s">
        <v>40</v>
      </c>
      <c r="K31" s="29" t="n">
        <v>2</v>
      </c>
      <c r="L31" s="45" t="n">
        <v>0.125</v>
      </c>
      <c r="M31" s="29"/>
      <c r="N31" s="29"/>
      <c r="O31" s="25" t="n">
        <v>49839</v>
      </c>
      <c r="P31" s="25" t="s">
        <v>293</v>
      </c>
      <c r="Q31" s="25" t="s">
        <v>157</v>
      </c>
      <c r="R31" s="29"/>
      <c r="S31" s="29"/>
      <c r="T31" s="25"/>
      <c r="U31" s="29"/>
      <c r="V31" s="29"/>
      <c r="W31" s="29"/>
      <c r="X31" s="29"/>
      <c r="Y31" s="29"/>
      <c r="Z31" s="29"/>
      <c r="AA31" s="25"/>
      <c r="AB31" s="29" t="s">
        <v>294</v>
      </c>
      <c r="AC31" s="25"/>
      <c r="AD31" s="46" t="s">
        <v>152</v>
      </c>
    </row>
    <row r="32" customFormat="false" ht="45.75" hidden="false" customHeight="true" outlineLevel="0" collapsed="false">
      <c r="B32" s="44" t="s">
        <v>295</v>
      </c>
      <c r="C32" s="25" t="s">
        <v>285</v>
      </c>
      <c r="D32" s="29" t="str">
        <f aca="false">IF(NOT(ISNUMBER(E32)),"",IF(E32&lt;=0,"",IF(ABS(E32*64-ROUND(E32*64,0))&gt;0.0005,"≈ ","")&amp;IF(INT(ROUND(E32*64,0)/64)&gt;0,INT(ROUND(E32*64,0)/64)&amp;IF(MOD(ROUND(E32*64,0),64)&gt;0," ",""),"")&amp;IF(MOD(ROUND(E32*64,0),64)&gt;0,MOD(ROUND(E32*64,0),64)/GCD(MOD(ROUND(E32*64,0),64),64)&amp;"/"&amp;64/GCD(MOD(ROUND(E32*64,0),64),64),IF(ROUND(E32*64,0)=0,"0",""))&amp;""""))</f>
        <v>1/8"</v>
      </c>
      <c r="E32" s="45" t="n">
        <v>0.125</v>
      </c>
      <c r="F32" s="21" t="n">
        <f aca="false">IF(ISNUMBER(E32),E32*25.4,"")</f>
        <v>3.175</v>
      </c>
      <c r="G32" s="29" t="str">
        <f aca="false">IF(NOT(ISNUMBER(H32)),"",IF(H32&lt;=0,"",IF(ABS(H32*64-ROUND(H32*64,0))&gt;0.0005,"≈ ","")&amp;IF(INT(ROUND(H32*64,0)/64)&gt;0,INT(ROUND(H32*64,0)/64)&amp;IF(MOD(ROUND(H32*64,0),64)&gt;0," ",""),"")&amp;IF(MOD(ROUND(H32*64,0),64)&gt;0,MOD(ROUND(H32*64,0),64)/GCD(MOD(ROUND(H32*64,0),64),64)&amp;"/"&amp;64/GCD(MOD(ROUND(H32*64,0),64),64),IF(ROUND(H32*64,0)=0,"0",""))&amp;""""))</f>
        <v>1/2"</v>
      </c>
      <c r="H32" s="45" t="n">
        <v>0.5</v>
      </c>
      <c r="I32" s="21" t="n">
        <f aca="false">IF(ISNUMBER(H32),H32*25.4,"")</f>
        <v>12.7</v>
      </c>
      <c r="J32" s="29" t="s">
        <v>40</v>
      </c>
      <c r="K32" s="29" t="n">
        <v>1</v>
      </c>
      <c r="L32" s="45" t="n">
        <v>0.125</v>
      </c>
      <c r="M32" s="29"/>
      <c r="N32" s="29"/>
      <c r="O32" s="25" t="s">
        <v>296</v>
      </c>
      <c r="P32" s="25" t="s">
        <v>297</v>
      </c>
      <c r="Q32" s="25" t="s">
        <v>297</v>
      </c>
      <c r="R32" s="29"/>
      <c r="S32" s="29"/>
      <c r="T32" s="25"/>
      <c r="U32" s="29"/>
      <c r="V32" s="29"/>
      <c r="W32" s="29"/>
      <c r="X32" s="29"/>
      <c r="Y32" s="29"/>
      <c r="Z32" s="29"/>
      <c r="AA32" s="25" t="s">
        <v>298</v>
      </c>
      <c r="AB32" s="29" t="s">
        <v>299</v>
      </c>
      <c r="AC32" s="25"/>
      <c r="AD32" s="46" t="s">
        <v>152</v>
      </c>
    </row>
    <row r="33" customFormat="false" ht="45.75" hidden="false" customHeight="true" outlineLevel="0" collapsed="false">
      <c r="B33" s="44" t="s">
        <v>300</v>
      </c>
      <c r="C33" s="25" t="s">
        <v>285</v>
      </c>
      <c r="D33" s="29" t="str">
        <f aca="false">IF(NOT(ISNUMBER(E33)),"",IF(E33&lt;=0,"",IF(ABS(E33*64-ROUND(E33*64,0))&gt;0.0005,"≈ ","")&amp;IF(INT(ROUND(E33*64,0)/64)&gt;0,INT(ROUND(E33*64,0)/64)&amp;IF(MOD(ROUND(E33*64,0),64)&gt;0," ",""),"")&amp;IF(MOD(ROUND(E33*64,0),64)&gt;0,MOD(ROUND(E33*64,0),64)/GCD(MOD(ROUND(E33*64,0),64),64)&amp;"/"&amp;64/GCD(MOD(ROUND(E33*64,0),64),64),IF(ROUND(E33*64,0)=0,"0",""))&amp;""""))</f>
        <v>1/4"</v>
      </c>
      <c r="E33" s="45" t="n">
        <v>0.25</v>
      </c>
      <c r="F33" s="21" t="n">
        <f aca="false">IF(ISNUMBER(E33),E33*25.4,"")</f>
        <v>6.35</v>
      </c>
      <c r="G33" s="29" t="str">
        <f aca="false">IF(NOT(ISNUMBER(H33)),"",IF(H33&lt;=0,"",IF(ABS(H33*64-ROUND(H33*64,0))&gt;0.0005,"≈ ","")&amp;IF(INT(ROUND(H33*64,0)/64)&gt;0,INT(ROUND(H33*64,0)/64)&amp;IF(MOD(ROUND(H33*64,0),64)&gt;0," ",""),"")&amp;IF(MOD(ROUND(H33*64,0),64)&gt;0,MOD(ROUND(H33*64,0),64)/GCD(MOD(ROUND(H33*64,0),64),64)&amp;"/"&amp;64/GCD(MOD(ROUND(H33*64,0),64),64),IF(ROUND(H33*64,0)=0,"0",""))&amp;""""))</f>
        <v>3/8"</v>
      </c>
      <c r="H33" s="45" t="n">
        <v>0.375</v>
      </c>
      <c r="I33" s="21" t="n">
        <f aca="false">IF(ISNUMBER(H33),H33*25.4,"")</f>
        <v>9.525</v>
      </c>
      <c r="J33" s="29" t="s">
        <v>40</v>
      </c>
      <c r="K33" s="29" t="n">
        <v>1</v>
      </c>
      <c r="L33" s="45" t="n">
        <v>0.25</v>
      </c>
      <c r="M33" s="29"/>
      <c r="N33" s="29"/>
      <c r="O33" s="25" t="s">
        <v>301</v>
      </c>
      <c r="P33" s="25" t="s">
        <v>297</v>
      </c>
      <c r="Q33" s="25" t="s">
        <v>297</v>
      </c>
      <c r="R33" s="29"/>
      <c r="S33" s="29"/>
      <c r="T33" s="25"/>
      <c r="U33" s="29"/>
      <c r="V33" s="29"/>
      <c r="W33" s="29"/>
      <c r="X33" s="29"/>
      <c r="Y33" s="29"/>
      <c r="Z33" s="29"/>
      <c r="AA33" s="25" t="s">
        <v>298</v>
      </c>
      <c r="AB33" s="29" t="s">
        <v>302</v>
      </c>
      <c r="AC33" s="25" t="s">
        <v>303</v>
      </c>
      <c r="AD33" s="46" t="s">
        <v>152</v>
      </c>
    </row>
    <row r="34" customFormat="false" ht="45.75" hidden="false" customHeight="true" outlineLevel="0" collapsed="false">
      <c r="B34" s="44" t="s">
        <v>304</v>
      </c>
      <c r="C34" s="25" t="s">
        <v>285</v>
      </c>
      <c r="D34" s="29" t="str">
        <f aca="false">IF(NOT(ISNUMBER(E34)),"",IF(E34&lt;=0,"",IF(ABS(E34*64-ROUND(E34*64,0))&gt;0.0005,"≈ ","")&amp;IF(INT(ROUND(E34*64,0)/64)&gt;0,INT(ROUND(E34*64,0)/64)&amp;IF(MOD(ROUND(E34*64,0),64)&gt;0," ",""),"")&amp;IF(MOD(ROUND(E34*64,0),64)&gt;0,MOD(ROUND(E34*64,0),64)/GCD(MOD(ROUND(E34*64,0),64),64)&amp;"/"&amp;64/GCD(MOD(ROUND(E34*64,0),64),64),IF(ROUND(E34*64,0)=0,"0",""))&amp;""""))</f>
        <v>1/8"</v>
      </c>
      <c r="E34" s="45" t="n">
        <v>0.125</v>
      </c>
      <c r="F34" s="21" t="n">
        <f aca="false">IF(ISNUMBER(E34),E34*25.4,"")</f>
        <v>3.175</v>
      </c>
      <c r="G34" s="29" t="str">
        <f aca="false">IF(NOT(ISNUMBER(H34)),"",IF(H34&lt;=0,"",IF(ABS(H34*64-ROUND(H34*64,0))&gt;0.0005,"≈ ","")&amp;IF(INT(ROUND(H34*64,0)/64)&gt;0,INT(ROUND(H34*64,0)/64)&amp;IF(MOD(ROUND(H34*64,0),64)&gt;0," ",""),"")&amp;IF(MOD(ROUND(H34*64,0),64)&gt;0,MOD(ROUND(H34*64,0),64)/GCD(MOD(ROUND(H34*64,0),64),64)&amp;"/"&amp;64/GCD(MOD(ROUND(H34*64,0),64),64),IF(ROUND(H34*64,0)=0,"0",""))&amp;""""))</f>
        <v>1/2"</v>
      </c>
      <c r="H34" s="45" t="n">
        <v>0.5</v>
      </c>
      <c r="I34" s="21" t="n">
        <f aca="false">IF(ISNUMBER(H34),H34*25.4,"")</f>
        <v>12.7</v>
      </c>
      <c r="J34" s="29" t="s">
        <v>40</v>
      </c>
      <c r="K34" s="29" t="n">
        <v>1</v>
      </c>
      <c r="L34" s="45" t="n">
        <v>0.25</v>
      </c>
      <c r="M34" s="29"/>
      <c r="N34" s="29"/>
      <c r="O34" s="25" t="s">
        <v>305</v>
      </c>
      <c r="P34" s="25" t="s">
        <v>297</v>
      </c>
      <c r="Q34" s="25" t="s">
        <v>297</v>
      </c>
      <c r="R34" s="29"/>
      <c r="S34" s="29"/>
      <c r="T34" s="25"/>
      <c r="U34" s="29"/>
      <c r="V34" s="29"/>
      <c r="W34" s="29"/>
      <c r="X34" s="29"/>
      <c r="Y34" s="29"/>
      <c r="Z34" s="29"/>
      <c r="AA34" s="25" t="s">
        <v>306</v>
      </c>
      <c r="AB34" s="29" t="s">
        <v>307</v>
      </c>
      <c r="AC34" s="25"/>
      <c r="AD34" s="46" t="s">
        <v>152</v>
      </c>
    </row>
    <row r="35" customFormat="false" ht="45.75" hidden="false" customHeight="true" outlineLevel="0" collapsed="false">
      <c r="B35" s="44" t="s">
        <v>308</v>
      </c>
      <c r="C35" s="25" t="s">
        <v>285</v>
      </c>
      <c r="D35" s="29" t="str">
        <f aca="false">IF(NOT(ISNUMBER(E35)),"",IF(E35&lt;=0,"",IF(ABS(E35*64-ROUND(E35*64,0))&gt;0.0005,"≈ ","")&amp;IF(INT(ROUND(E35*64,0)/64)&gt;0,INT(ROUND(E35*64,0)/64)&amp;IF(MOD(ROUND(E35*64,0),64)&gt;0," ",""),"")&amp;IF(MOD(ROUND(E35*64,0),64)&gt;0,MOD(ROUND(E35*64,0),64)/GCD(MOD(ROUND(E35*64,0),64),64)&amp;"/"&amp;64/GCD(MOD(ROUND(E35*64,0),64),64),IF(ROUND(E35*64,0)=0,"0",""))&amp;""""))</f>
        <v>3/16"</v>
      </c>
      <c r="E35" s="45" t="n">
        <v>0.1875</v>
      </c>
      <c r="F35" s="21" t="n">
        <f aca="false">IF(ISNUMBER(E35),E35*25.4,"")</f>
        <v>4.7625</v>
      </c>
      <c r="G35" s="29" t="str">
        <f aca="false">IF(NOT(ISNUMBER(H35)),"",IF(H35&lt;=0,"",IF(ABS(H35*64-ROUND(H35*64,0))&gt;0.0005,"≈ ","")&amp;IF(INT(ROUND(H35*64,0)/64)&gt;0,INT(ROUND(H35*64,0)/64)&amp;IF(MOD(ROUND(H35*64,0),64)&gt;0," ",""),"")&amp;IF(MOD(ROUND(H35*64,0),64)&gt;0,MOD(ROUND(H35*64,0),64)/GCD(MOD(ROUND(H35*64,0),64),64)&amp;"/"&amp;64/GCD(MOD(ROUND(H35*64,0),64),64),IF(ROUND(H35*64,0)=0,"0",""))&amp;""""))</f>
        <v>3/8"</v>
      </c>
      <c r="H35" s="45" t="n">
        <v>0.375</v>
      </c>
      <c r="I35" s="21" t="n">
        <f aca="false">IF(ISNUMBER(H35),H35*25.4,"")</f>
        <v>9.525</v>
      </c>
      <c r="J35" s="29" t="s">
        <v>40</v>
      </c>
      <c r="K35" s="29" t="n">
        <v>1</v>
      </c>
      <c r="L35" s="45" t="n">
        <v>0.25</v>
      </c>
      <c r="M35" s="29"/>
      <c r="N35" s="29"/>
      <c r="O35" s="25" t="s">
        <v>309</v>
      </c>
      <c r="P35" s="25" t="s">
        <v>297</v>
      </c>
      <c r="Q35" s="25" t="s">
        <v>297</v>
      </c>
      <c r="R35" s="29"/>
      <c r="S35" s="29"/>
      <c r="T35" s="25"/>
      <c r="U35" s="29"/>
      <c r="V35" s="29"/>
      <c r="W35" s="29"/>
      <c r="X35" s="29"/>
      <c r="Y35" s="29"/>
      <c r="Z35" s="29"/>
      <c r="AA35" s="25" t="s">
        <v>310</v>
      </c>
      <c r="AB35" s="29" t="s">
        <v>311</v>
      </c>
      <c r="AC35" s="25"/>
      <c r="AD35" s="46" t="s">
        <v>152</v>
      </c>
    </row>
    <row r="36" customFormat="false" ht="45.75" hidden="false" customHeight="true" outlineLevel="0" collapsed="false">
      <c r="B36" s="44" t="s">
        <v>312</v>
      </c>
      <c r="C36" s="25" t="s">
        <v>285</v>
      </c>
      <c r="D36" s="29" t="str">
        <f aca="false">IF(NOT(ISNUMBER(E36)),"",IF(E36&lt;=0,"",IF(ABS(E36*64-ROUND(E36*64,0))&gt;0.0005,"≈ ","")&amp;IF(INT(ROUND(E36*64,0)/64)&gt;0,INT(ROUND(E36*64,0)/64)&amp;IF(MOD(ROUND(E36*64,0),64)&gt;0," ",""),"")&amp;IF(MOD(ROUND(E36*64,0),64)&gt;0,MOD(ROUND(E36*64,0),64)/GCD(MOD(ROUND(E36*64,0),64),64)&amp;"/"&amp;64/GCD(MOD(ROUND(E36*64,0),64),64),IF(ROUND(E36*64,0)=0,"0",""))&amp;""""))</f>
        <v>3/16"</v>
      </c>
      <c r="E36" s="45" t="n">
        <v>0.1875</v>
      </c>
      <c r="F36" s="21" t="n">
        <f aca="false">IF(ISNUMBER(E36),E36*25.4,"")</f>
        <v>4.7625</v>
      </c>
      <c r="G36" s="29" t="str">
        <f aca="false">IF(NOT(ISNUMBER(H36)),"",IF(H36&lt;=0,"",IF(ABS(H36*64-ROUND(H36*64,0))&gt;0.0005,"≈ ","")&amp;IF(INT(ROUND(H36*64,0)/64)&gt;0,INT(ROUND(H36*64,0)/64)&amp;IF(MOD(ROUND(H36*64,0),64)&gt;0," ",""),"")&amp;IF(MOD(ROUND(H36*64,0),64)&gt;0,MOD(ROUND(H36*64,0),64)/GCD(MOD(ROUND(H36*64,0),64),64)&amp;"/"&amp;64/GCD(MOD(ROUND(H36*64,0),64),64),IF(ROUND(H36*64,0)=0,"0",""))&amp;""""))</f>
        <v>3/8"</v>
      </c>
      <c r="H36" s="45" t="n">
        <v>0.375</v>
      </c>
      <c r="I36" s="21" t="n">
        <f aca="false">IF(ISNUMBER(H36),H36*25.4,"")</f>
        <v>9.525</v>
      </c>
      <c r="J36" s="29" t="s">
        <v>40</v>
      </c>
      <c r="K36" s="29" t="n">
        <v>1</v>
      </c>
      <c r="L36" s="45" t="n">
        <v>0.25</v>
      </c>
      <c r="M36" s="29"/>
      <c r="N36" s="29"/>
      <c r="O36" s="25" t="s">
        <v>313</v>
      </c>
      <c r="P36" s="25" t="s">
        <v>297</v>
      </c>
      <c r="Q36" s="25" t="s">
        <v>297</v>
      </c>
      <c r="R36" s="29"/>
      <c r="S36" s="29"/>
      <c r="T36" s="25"/>
      <c r="U36" s="29"/>
      <c r="V36" s="29"/>
      <c r="W36" s="29"/>
      <c r="X36" s="29"/>
      <c r="Y36" s="29"/>
      <c r="Z36" s="29"/>
      <c r="AA36" s="25" t="s">
        <v>298</v>
      </c>
      <c r="AB36" s="29" t="s">
        <v>314</v>
      </c>
      <c r="AC36" s="25"/>
      <c r="AD36" s="46" t="s">
        <v>152</v>
      </c>
    </row>
    <row r="37" customFormat="false" ht="45.75" hidden="false" customHeight="true" outlineLevel="0" collapsed="false">
      <c r="B37" s="44" t="s">
        <v>315</v>
      </c>
      <c r="C37" s="25" t="s">
        <v>285</v>
      </c>
      <c r="D37" s="29" t="str">
        <f aca="false">IF(NOT(ISNUMBER(E37)),"",IF(E37&lt;=0,"",IF(ABS(E37*64-ROUND(E37*64,0))&gt;0.0005,"≈ ","")&amp;IF(INT(ROUND(E37*64,0)/64)&gt;0,INT(ROUND(E37*64,0)/64)&amp;IF(MOD(ROUND(E37*64,0),64)&gt;0," ",""),"")&amp;IF(MOD(ROUND(E37*64,0),64)&gt;0,MOD(ROUND(E37*64,0),64)/GCD(MOD(ROUND(E37*64,0),64),64)&amp;"/"&amp;64/GCD(MOD(ROUND(E37*64,0),64),64),IF(ROUND(E37*64,0)=0,"0",""))&amp;""""))</f>
        <v>1/4"</v>
      </c>
      <c r="E37" s="45" t="n">
        <v>0.25</v>
      </c>
      <c r="F37" s="21" t="n">
        <f aca="false">IF(ISNUMBER(E37),E37*25.4,"")</f>
        <v>6.35</v>
      </c>
      <c r="G37" s="29" t="str">
        <f aca="false">IF(NOT(ISNUMBER(H37)),"",IF(H37&lt;=0,"",IF(ABS(H37*64-ROUND(H37*64,0))&gt;0.0005,"≈ ","")&amp;IF(INT(ROUND(H37*64,0)/64)&gt;0,INT(ROUND(H37*64,0)/64)&amp;IF(MOD(ROUND(H37*64,0),64)&gt;0," ",""),"")&amp;IF(MOD(ROUND(H37*64,0),64)&gt;0,MOD(ROUND(H37*64,0),64)/GCD(MOD(ROUND(H37*64,0),64),64)&amp;"/"&amp;64/GCD(MOD(ROUND(H37*64,0),64),64),IF(ROUND(H37*64,0)=0,"0",""))&amp;""""))</f>
        <v>3/4"</v>
      </c>
      <c r="H37" s="45" t="n">
        <v>0.75</v>
      </c>
      <c r="I37" s="21" t="n">
        <f aca="false">IF(ISNUMBER(H37),H37*25.4,"")</f>
        <v>19.05</v>
      </c>
      <c r="J37" s="29" t="s">
        <v>40</v>
      </c>
      <c r="K37" s="29" t="n">
        <v>1</v>
      </c>
      <c r="L37" s="45" t="n">
        <v>0.25</v>
      </c>
      <c r="M37" s="29"/>
      <c r="N37" s="29"/>
      <c r="O37" s="25" t="s">
        <v>316</v>
      </c>
      <c r="P37" s="25" t="s">
        <v>297</v>
      </c>
      <c r="Q37" s="25" t="s">
        <v>297</v>
      </c>
      <c r="R37" s="29"/>
      <c r="S37" s="29"/>
      <c r="T37" s="25"/>
      <c r="U37" s="29"/>
      <c r="V37" s="29"/>
      <c r="W37" s="29"/>
      <c r="X37" s="29"/>
      <c r="Y37" s="29"/>
      <c r="Z37" s="29"/>
      <c r="AA37" s="25" t="s">
        <v>310</v>
      </c>
      <c r="AB37" s="29" t="s">
        <v>317</v>
      </c>
      <c r="AC37" s="25"/>
      <c r="AD37" s="46" t="s">
        <v>152</v>
      </c>
    </row>
    <row r="38" customFormat="false" ht="45.75" hidden="false" customHeight="true" outlineLevel="0" collapsed="false">
      <c r="B38" s="44" t="s">
        <v>318</v>
      </c>
      <c r="C38" s="25" t="s">
        <v>285</v>
      </c>
      <c r="D38" s="29" t="str">
        <f aca="false">IF(NOT(ISNUMBER(E38)),"",IF(E38&lt;=0,"",IF(ABS(E38*64-ROUND(E38*64,0))&gt;0.0005,"≈ ","")&amp;IF(INT(ROUND(E38*64,0)/64)&gt;0,INT(ROUND(E38*64,0)/64)&amp;IF(MOD(ROUND(E38*64,0),64)&gt;0," ",""),"")&amp;IF(MOD(ROUND(E38*64,0),64)&gt;0,MOD(ROUND(E38*64,0),64)/GCD(MOD(ROUND(E38*64,0),64),64)&amp;"/"&amp;64/GCD(MOD(ROUND(E38*64,0),64),64),IF(ROUND(E38*64,0)=0,"0",""))&amp;""""))</f>
        <v>3/16"</v>
      </c>
      <c r="E38" s="45" t="n">
        <v>0.1875</v>
      </c>
      <c r="F38" s="21" t="n">
        <f aca="false">IF(ISNUMBER(E38),E38*25.4,"")</f>
        <v>4.7625</v>
      </c>
      <c r="G38" s="29" t="str">
        <f aca="false">IF(NOT(ISNUMBER(H38)),"",IF(H38&lt;=0,"",IF(ABS(H38*64-ROUND(H38*64,0))&gt;0.0005,"≈ ","")&amp;IF(INT(ROUND(H38*64,0)/64)&gt;0,INT(ROUND(H38*64,0)/64)&amp;IF(MOD(ROUND(H38*64,0),64)&gt;0," ",""),"")&amp;IF(MOD(ROUND(H38*64,0),64)&gt;0,MOD(ROUND(H38*64,0),64)/GCD(MOD(ROUND(H38*64,0),64),64)&amp;"/"&amp;64/GCD(MOD(ROUND(H38*64,0),64),64),IF(ROUND(H38*64,0)=0,"0",""))&amp;""""))</f>
        <v>5/8"</v>
      </c>
      <c r="H38" s="45" t="n">
        <v>0.625</v>
      </c>
      <c r="I38" s="21" t="n">
        <f aca="false">IF(ISNUMBER(H38),H38*25.4,"")</f>
        <v>15.875</v>
      </c>
      <c r="J38" s="29" t="s">
        <v>319</v>
      </c>
      <c r="K38" s="29" t="n">
        <v>1</v>
      </c>
      <c r="L38" s="45" t="n">
        <v>0.25</v>
      </c>
      <c r="M38" s="29"/>
      <c r="N38" s="29"/>
      <c r="O38" s="25" t="s">
        <v>320</v>
      </c>
      <c r="P38" s="25" t="s">
        <v>297</v>
      </c>
      <c r="Q38" s="25" t="s">
        <v>297</v>
      </c>
      <c r="R38" s="29"/>
      <c r="S38" s="29"/>
      <c r="T38" s="25"/>
      <c r="U38" s="29"/>
      <c r="V38" s="29"/>
      <c r="W38" s="29"/>
      <c r="X38" s="29"/>
      <c r="Y38" s="29"/>
      <c r="Z38" s="29"/>
      <c r="AA38" s="25" t="s">
        <v>310</v>
      </c>
      <c r="AB38" s="29" t="s">
        <v>321</v>
      </c>
      <c r="AC38" s="25"/>
      <c r="AD38" s="46" t="s">
        <v>152</v>
      </c>
    </row>
    <row r="39" customFormat="false" ht="45.75" hidden="false" customHeight="true" outlineLevel="0" collapsed="false">
      <c r="B39" s="44" t="s">
        <v>322</v>
      </c>
      <c r="C39" s="25" t="s">
        <v>285</v>
      </c>
      <c r="D39" s="29" t="str">
        <f aca="false">IF(NOT(ISNUMBER(E39)),"",IF(E39&lt;=0,"",IF(ABS(E39*64-ROUND(E39*64,0))&gt;0.0005,"≈ ","")&amp;IF(INT(ROUND(E39*64,0)/64)&gt;0,INT(ROUND(E39*64,0)/64)&amp;IF(MOD(ROUND(E39*64,0),64)&gt;0," ",""),"")&amp;IF(MOD(ROUND(E39*64,0),64)&gt;0,MOD(ROUND(E39*64,0),64)/GCD(MOD(ROUND(E39*64,0),64),64)&amp;"/"&amp;64/GCD(MOD(ROUND(E39*64,0),64),64),IF(ROUND(E39*64,0)=0,"0",""))&amp;""""))</f>
        <v>3/8"</v>
      </c>
      <c r="E39" s="45" t="n">
        <v>0.375</v>
      </c>
      <c r="F39" s="21" t="n">
        <f aca="false">IF(ISNUMBER(E39),E39*25.4,"")</f>
        <v>9.525</v>
      </c>
      <c r="G39" s="29" t="str">
        <f aca="false">IF(NOT(ISNUMBER(H39)),"",IF(H39&lt;=0,"",IF(ABS(H39*64-ROUND(H39*64,0))&gt;0.0005,"≈ ","")&amp;IF(INT(ROUND(H39*64,0)/64)&gt;0,INT(ROUND(H39*64,0)/64)&amp;IF(MOD(ROUND(H39*64,0),64)&gt;0," ",""),"")&amp;IF(MOD(ROUND(H39*64,0),64)&gt;0,MOD(ROUND(H39*64,0),64)/GCD(MOD(ROUND(H39*64,0),64),64)&amp;"/"&amp;64/GCD(MOD(ROUND(H39*64,0),64),64),IF(ROUND(H39*64,0)=0,"0",""))&amp;""""))</f>
        <v>3/4"</v>
      </c>
      <c r="H39" s="45" t="n">
        <v>0.75</v>
      </c>
      <c r="I39" s="21" t="n">
        <f aca="false">IF(ISNUMBER(H39),H39*25.4,"")</f>
        <v>19.05</v>
      </c>
      <c r="J39" s="29" t="s">
        <v>40</v>
      </c>
      <c r="K39" s="29" t="n">
        <v>1</v>
      </c>
      <c r="L39" s="45" t="n">
        <v>0.375</v>
      </c>
      <c r="M39" s="29"/>
      <c r="N39" s="29"/>
      <c r="O39" s="25" t="s">
        <v>323</v>
      </c>
      <c r="P39" s="25" t="s">
        <v>297</v>
      </c>
      <c r="Q39" s="25" t="s">
        <v>297</v>
      </c>
      <c r="R39" s="29"/>
      <c r="S39" s="29"/>
      <c r="T39" s="25"/>
      <c r="U39" s="29"/>
      <c r="V39" s="29"/>
      <c r="W39" s="29"/>
      <c r="X39" s="29"/>
      <c r="Y39" s="29"/>
      <c r="Z39" s="29"/>
      <c r="AA39" s="25" t="s">
        <v>298</v>
      </c>
      <c r="AB39" s="29" t="s">
        <v>324</v>
      </c>
      <c r="AC39" s="25"/>
      <c r="AD39" s="46" t="s">
        <v>152</v>
      </c>
    </row>
    <row r="40" customFormat="false" ht="45.75" hidden="false" customHeight="true" outlineLevel="0" collapsed="false">
      <c r="B40" s="44" t="s">
        <v>325</v>
      </c>
      <c r="C40" s="25" t="s">
        <v>285</v>
      </c>
      <c r="D40" s="29" t="str">
        <f aca="false">IF(NOT(ISNUMBER(E40)),"",IF(E40&lt;=0,"",IF(ABS(E40*64-ROUND(E40*64,0))&gt;0.0005,"≈ ","")&amp;IF(INT(ROUND(E40*64,0)/64)&gt;0,INT(ROUND(E40*64,0)/64)&amp;IF(MOD(ROUND(E40*64,0),64)&gt;0," ",""),"")&amp;IF(MOD(ROUND(E40*64,0),64)&gt;0,MOD(ROUND(E40*64,0),64)/GCD(MOD(ROUND(E40*64,0),64),64)&amp;"/"&amp;64/GCD(MOD(ROUND(E40*64,0),64),64),IF(ROUND(E40*64,0)=0,"0",""))&amp;""""))</f>
        <v>3/8"</v>
      </c>
      <c r="E40" s="45" t="n">
        <v>0.375</v>
      </c>
      <c r="F40" s="21" t="n">
        <f aca="false">IF(ISNUMBER(E40),E40*25.4,"")</f>
        <v>9.525</v>
      </c>
      <c r="G40" s="29" t="str">
        <f aca="false">IF(NOT(ISNUMBER(H40)),"",IF(H40&lt;=0,"",IF(ABS(H40*64-ROUND(H40*64,0))&gt;0.0005,"≈ ","")&amp;IF(INT(ROUND(H40*64,0)/64)&gt;0,INT(ROUND(H40*64,0)/64)&amp;IF(MOD(ROUND(H40*64,0),64)&gt;0," ",""),"")&amp;IF(MOD(ROUND(H40*64,0),64)&gt;0,MOD(ROUND(H40*64,0),64)/GCD(MOD(ROUND(H40*64,0),64),64)&amp;"/"&amp;64/GCD(MOD(ROUND(H40*64,0),64),64),IF(ROUND(H40*64,0)=0,"0",""))&amp;""""))</f>
        <v>5/8"</v>
      </c>
      <c r="H40" s="45" t="n">
        <v>0.625</v>
      </c>
      <c r="I40" s="21" t="n">
        <f aca="false">IF(ISNUMBER(H40),H40*25.4,"")</f>
        <v>15.875</v>
      </c>
      <c r="J40" s="29" t="s">
        <v>40</v>
      </c>
      <c r="K40" s="29" t="n">
        <v>2</v>
      </c>
      <c r="L40" s="45" t="n">
        <v>0.375</v>
      </c>
      <c r="M40" s="45" t="n">
        <v>0.002</v>
      </c>
      <c r="N40" s="29"/>
      <c r="O40" s="25" t="s">
        <v>326</v>
      </c>
      <c r="P40" s="25" t="s">
        <v>297</v>
      </c>
      <c r="Q40" s="25" t="s">
        <v>297</v>
      </c>
      <c r="R40" s="29"/>
      <c r="S40" s="29"/>
      <c r="T40" s="25"/>
      <c r="U40" s="29"/>
      <c r="V40" s="29"/>
      <c r="W40" s="29"/>
      <c r="X40" s="29"/>
      <c r="Y40" s="29"/>
      <c r="Z40" s="29"/>
      <c r="AA40" s="25" t="s">
        <v>327</v>
      </c>
      <c r="AB40" s="29" t="s">
        <v>328</v>
      </c>
      <c r="AC40" s="25" t="s">
        <v>329</v>
      </c>
      <c r="AD40" s="46" t="s">
        <v>152</v>
      </c>
    </row>
    <row r="41" customFormat="false" ht="45.75" hidden="false" customHeight="true" outlineLevel="0" collapsed="false">
      <c r="B41" s="44" t="s">
        <v>330</v>
      </c>
      <c r="C41" s="25" t="s">
        <v>285</v>
      </c>
      <c r="D41" s="29" t="str">
        <f aca="false">IF(NOT(ISNUMBER(E41)),"",IF(E41&lt;=0,"",IF(ABS(E41*64-ROUND(E41*64,0))&gt;0.0005,"≈ ","")&amp;IF(INT(ROUND(E41*64,0)/64)&gt;0,INT(ROUND(E41*64,0)/64)&amp;IF(MOD(ROUND(E41*64,0),64)&gt;0," ",""),"")&amp;IF(MOD(ROUND(E41*64,0),64)&gt;0,MOD(ROUND(E41*64,0),64)/GCD(MOD(ROUND(E41*64,0),64),64)&amp;"/"&amp;64/GCD(MOD(ROUND(E41*64,0),64),64),IF(ROUND(E41*64,0)=0,"0",""))&amp;""""))</f>
        <v>1/4"</v>
      </c>
      <c r="E41" s="45" t="n">
        <v>0.25</v>
      </c>
      <c r="F41" s="21" t="n">
        <f aca="false">IF(ISNUMBER(E41),E41*25.4,"")</f>
        <v>6.35</v>
      </c>
      <c r="G41" s="29" t="str">
        <f aca="false">IF(NOT(ISNUMBER(H41)),"",IF(H41&lt;=0,"",IF(ABS(H41*64-ROUND(H41*64,0))&gt;0.0005,"≈ ","")&amp;IF(INT(ROUND(H41*64,0)/64)&gt;0,INT(ROUND(H41*64,0)/64)&amp;IF(MOD(ROUND(H41*64,0),64)&gt;0," ",""),"")&amp;IF(MOD(ROUND(H41*64,0),64)&gt;0,MOD(ROUND(H41*64,0),64)/GCD(MOD(ROUND(H41*64,0),64),64)&amp;"/"&amp;64/GCD(MOD(ROUND(H41*64,0),64),64),IF(ROUND(H41*64,0)=0,"0",""))&amp;""""))</f>
        <v>1 1/2"</v>
      </c>
      <c r="H41" s="45" t="n">
        <v>1.5</v>
      </c>
      <c r="I41" s="21" t="n">
        <f aca="false">IF(ISNUMBER(H41),H41*25.4,"")</f>
        <v>38.1</v>
      </c>
      <c r="J41" s="29" t="s">
        <v>319</v>
      </c>
      <c r="K41" s="29" t="n">
        <v>1</v>
      </c>
      <c r="L41" s="45" t="n">
        <v>0.25</v>
      </c>
      <c r="M41" s="29"/>
      <c r="N41" s="29"/>
      <c r="O41" s="25" t="s">
        <v>331</v>
      </c>
      <c r="P41" s="25" t="s">
        <v>297</v>
      </c>
      <c r="Q41" s="25" t="s">
        <v>297</v>
      </c>
      <c r="R41" s="29"/>
      <c r="S41" s="29"/>
      <c r="T41" s="25"/>
      <c r="U41" s="29"/>
      <c r="V41" s="29"/>
      <c r="W41" s="29"/>
      <c r="X41" s="29"/>
      <c r="Y41" s="29"/>
      <c r="Z41" s="29"/>
      <c r="AA41" s="25" t="s">
        <v>310</v>
      </c>
      <c r="AB41" s="29" t="s">
        <v>332</v>
      </c>
      <c r="AC41" s="25"/>
      <c r="AD41" s="46" t="s">
        <v>152</v>
      </c>
    </row>
    <row r="42" customFormat="false" ht="45.75" hidden="false" customHeight="true" outlineLevel="0" collapsed="false">
      <c r="B42" s="44" t="s">
        <v>333</v>
      </c>
      <c r="C42" s="25" t="s">
        <v>285</v>
      </c>
      <c r="D42" s="29" t="str">
        <f aca="false">IF(NOT(ISNUMBER(E42)),"",IF(E42&lt;=0,"",IF(ABS(E42*64-ROUND(E42*64,0))&gt;0.0005,"≈ ","")&amp;IF(INT(ROUND(E42*64,0)/64)&gt;0,INT(ROUND(E42*64,0)/64)&amp;IF(MOD(ROUND(E42*64,0),64)&gt;0," ",""),"")&amp;IF(MOD(ROUND(E42*64,0),64)&gt;0,MOD(ROUND(E42*64,0),64)/GCD(MOD(ROUND(E42*64,0),64),64)&amp;"/"&amp;64/GCD(MOD(ROUND(E42*64,0),64),64),IF(ROUND(E42*64,0)=0,"0",""))&amp;""""))</f>
        <v>1/4"</v>
      </c>
      <c r="E42" s="45" t="n">
        <v>0.25</v>
      </c>
      <c r="F42" s="21" t="n">
        <f aca="false">IF(ISNUMBER(E42),E42*25.4,"")</f>
        <v>6.35</v>
      </c>
      <c r="G42" s="29" t="str">
        <f aca="false">IF(NOT(ISNUMBER(H42)),"",IF(H42&lt;=0,"",IF(ABS(H42*64-ROUND(H42*64,0))&gt;0.0005,"≈ ","")&amp;IF(INT(ROUND(H42*64,0)/64)&gt;0,INT(ROUND(H42*64,0)/64)&amp;IF(MOD(ROUND(H42*64,0),64)&gt;0," ",""),"")&amp;IF(MOD(ROUND(H42*64,0),64)&gt;0,MOD(ROUND(H42*64,0),64)/GCD(MOD(ROUND(H42*64,0),64),64)&amp;"/"&amp;64/GCD(MOD(ROUND(H42*64,0),64),64),IF(ROUND(H42*64,0)=0,"0",""))&amp;""""))</f>
        <v>1 1/2"</v>
      </c>
      <c r="H42" s="45" t="n">
        <v>1.5</v>
      </c>
      <c r="I42" s="21" t="n">
        <f aca="false">IF(ISNUMBER(H42),H42*25.4,"")</f>
        <v>38.1</v>
      </c>
      <c r="J42" s="29" t="s">
        <v>40</v>
      </c>
      <c r="K42" s="29" t="n">
        <v>1</v>
      </c>
      <c r="L42" s="45" t="n">
        <v>0.25</v>
      </c>
      <c r="M42" s="29"/>
      <c r="N42" s="29"/>
      <c r="O42" s="25" t="s">
        <v>334</v>
      </c>
      <c r="P42" s="25" t="s">
        <v>297</v>
      </c>
      <c r="Q42" s="25" t="s">
        <v>297</v>
      </c>
      <c r="R42" s="29"/>
      <c r="S42" s="29"/>
      <c r="T42" s="25"/>
      <c r="U42" s="29"/>
      <c r="V42" s="29"/>
      <c r="W42" s="29"/>
      <c r="X42" s="29"/>
      <c r="Y42" s="29"/>
      <c r="Z42" s="29"/>
      <c r="AA42" s="25" t="s">
        <v>335</v>
      </c>
      <c r="AB42" s="29" t="s">
        <v>336</v>
      </c>
      <c r="AC42" s="25" t="s">
        <v>337</v>
      </c>
      <c r="AD42" s="46" t="s">
        <v>152</v>
      </c>
    </row>
    <row r="43" customFormat="false" ht="45.75" hidden="false" customHeight="true" outlineLevel="0" collapsed="false">
      <c r="B43" s="44" t="s">
        <v>338</v>
      </c>
      <c r="C43" s="25" t="s">
        <v>285</v>
      </c>
      <c r="D43" s="29" t="str">
        <f aca="false">IF(NOT(ISNUMBER(E43)),"",IF(E43&lt;=0,"",IF(ABS(E43*64-ROUND(E43*64,0))&gt;0.0005,"≈ ","")&amp;IF(INT(ROUND(E43*64,0)/64)&gt;0,INT(ROUND(E43*64,0)/64)&amp;IF(MOD(ROUND(E43*64,0),64)&gt;0," ",""),"")&amp;IF(MOD(ROUND(E43*64,0),64)&gt;0,MOD(ROUND(E43*64,0),64)/GCD(MOD(ROUND(E43*64,0),64),64)&amp;"/"&amp;64/GCD(MOD(ROUND(E43*64,0),64),64),IF(ROUND(E43*64,0)=0,"0",""))&amp;""""))</f>
        <v>1/8"</v>
      </c>
      <c r="E43" s="45" t="n">
        <v>0.125</v>
      </c>
      <c r="F43" s="21" t="n">
        <f aca="false">IF(ISNUMBER(E43),E43*25.4,"")</f>
        <v>3.175</v>
      </c>
      <c r="G43" s="29" t="str">
        <f aca="false">IF(NOT(ISNUMBER(H43)),"",IF(H43&lt;=0,"",IF(ABS(H43*64-ROUND(H43*64,0))&gt;0.0005,"≈ ","")&amp;IF(INT(ROUND(H43*64,0)/64)&gt;0,INT(ROUND(H43*64,0)/64)&amp;IF(MOD(ROUND(H43*64,0),64)&gt;0," ",""),"")&amp;IF(MOD(ROUND(H43*64,0),64)&gt;0,MOD(ROUND(H43*64,0),64)/GCD(MOD(ROUND(H43*64,0),64),64)&amp;"/"&amp;64/GCD(MOD(ROUND(H43*64,0),64),64),IF(ROUND(H43*64,0)=0,"0",""))&amp;""""))</f>
        <v>1/2"</v>
      </c>
      <c r="H43" s="45" t="n">
        <v>0.5</v>
      </c>
      <c r="I43" s="21" t="n">
        <f aca="false">IF(ISNUMBER(H43),H43*25.4,"")</f>
        <v>12.7</v>
      </c>
      <c r="J43" s="29" t="s">
        <v>319</v>
      </c>
      <c r="K43" s="29" t="n">
        <v>1</v>
      </c>
      <c r="L43" s="45" t="n">
        <v>0.25</v>
      </c>
      <c r="M43" s="29"/>
      <c r="N43" s="29"/>
      <c r="O43" s="25" t="s">
        <v>339</v>
      </c>
      <c r="P43" s="25" t="s">
        <v>297</v>
      </c>
      <c r="Q43" s="25" t="s">
        <v>297</v>
      </c>
      <c r="R43" s="29"/>
      <c r="S43" s="29"/>
      <c r="T43" s="25"/>
      <c r="U43" s="29"/>
      <c r="V43" s="29"/>
      <c r="W43" s="29"/>
      <c r="X43" s="29"/>
      <c r="Y43" s="29"/>
      <c r="Z43" s="29"/>
      <c r="AA43" s="25" t="s">
        <v>310</v>
      </c>
      <c r="AB43" s="29" t="s">
        <v>340</v>
      </c>
      <c r="AC43" s="25"/>
      <c r="AD43" s="46" t="s">
        <v>152</v>
      </c>
    </row>
    <row r="44" customFormat="false" ht="45.75" hidden="false" customHeight="true" outlineLevel="0" collapsed="false">
      <c r="B44" s="44" t="s">
        <v>341</v>
      </c>
      <c r="C44" s="25" t="s">
        <v>285</v>
      </c>
      <c r="D44" s="29" t="str">
        <f aca="false">IF(NOT(ISNUMBER(E44)),"",IF(E44&lt;=0,"",IF(ABS(E44*64-ROUND(E44*64,0))&gt;0.0005,"≈ ","")&amp;IF(INT(ROUND(E44*64,0)/64)&gt;0,INT(ROUND(E44*64,0)/64)&amp;IF(MOD(ROUND(E44*64,0),64)&gt;0," ",""),"")&amp;IF(MOD(ROUND(E44*64,0),64)&gt;0,MOD(ROUND(E44*64,0),64)/GCD(MOD(ROUND(E44*64,0),64),64)&amp;"/"&amp;64/GCD(MOD(ROUND(E44*64,0),64),64),IF(ROUND(E44*64,0)=0,"0",""))&amp;""""))</f>
        <v>1/4"</v>
      </c>
      <c r="E44" s="45" t="n">
        <v>0.25</v>
      </c>
      <c r="F44" s="21" t="n">
        <f aca="false">IF(ISNUMBER(E44),E44*25.4,"")</f>
        <v>6.35</v>
      </c>
      <c r="G44" s="29" t="str">
        <f aca="false">IF(NOT(ISNUMBER(H44)),"",IF(H44&lt;=0,"",IF(ABS(H44*64-ROUND(H44*64,0))&gt;0.0005,"≈ ","")&amp;IF(INT(ROUND(H44*64,0)/64)&gt;0,INT(ROUND(H44*64,0)/64)&amp;IF(MOD(ROUND(H44*64,0),64)&gt;0," ",""),"")&amp;IF(MOD(ROUND(H44*64,0),64)&gt;0,MOD(ROUND(H44*64,0),64)/GCD(MOD(ROUND(H44*64,0),64),64)&amp;"/"&amp;64/GCD(MOD(ROUND(H44*64,0),64),64),IF(ROUND(H44*64,0)=0,"0",""))&amp;""""))</f>
        <v>3/4"</v>
      </c>
      <c r="H44" s="45" t="n">
        <v>0.75</v>
      </c>
      <c r="I44" s="21" t="n">
        <f aca="false">IF(ISNUMBER(H44),H44*25.4,"")</f>
        <v>19.05</v>
      </c>
      <c r="J44" s="29" t="s">
        <v>40</v>
      </c>
      <c r="K44" s="29" t="n">
        <v>1</v>
      </c>
      <c r="L44" s="45" t="n">
        <v>0.25</v>
      </c>
      <c r="M44" s="29"/>
      <c r="N44" s="29"/>
      <c r="O44" s="25" t="s">
        <v>342</v>
      </c>
      <c r="P44" s="25" t="s">
        <v>297</v>
      </c>
      <c r="Q44" s="25" t="s">
        <v>297</v>
      </c>
      <c r="R44" s="29"/>
      <c r="S44" s="29"/>
      <c r="T44" s="25"/>
      <c r="U44" s="29"/>
      <c r="V44" s="29"/>
      <c r="W44" s="29"/>
      <c r="X44" s="29"/>
      <c r="Y44" s="29"/>
      <c r="Z44" s="29"/>
      <c r="AA44" s="25" t="s">
        <v>298</v>
      </c>
      <c r="AB44" s="29" t="s">
        <v>343</v>
      </c>
      <c r="AC44" s="25"/>
      <c r="AD44" s="46" t="s">
        <v>152</v>
      </c>
    </row>
    <row r="45" customFormat="false" ht="45.75" hidden="false" customHeight="true" outlineLevel="0" collapsed="false">
      <c r="B45" s="44" t="s">
        <v>344</v>
      </c>
      <c r="C45" s="25" t="s">
        <v>285</v>
      </c>
      <c r="D45" s="29" t="str">
        <f aca="false">IF(NOT(ISNUMBER(E45)),"",IF(E45&lt;=0,"",IF(ABS(E45*64-ROUND(E45*64,0))&gt;0.0005,"≈ ","")&amp;IF(INT(ROUND(E45*64,0)/64)&gt;0,INT(ROUND(E45*64,0)/64)&amp;IF(MOD(ROUND(E45*64,0),64)&gt;0," ",""),"")&amp;IF(MOD(ROUND(E45*64,0),64)&gt;0,MOD(ROUND(E45*64,0),64)/GCD(MOD(ROUND(E45*64,0),64),64)&amp;"/"&amp;64/GCD(MOD(ROUND(E45*64,0),64),64),IF(ROUND(E45*64,0)=0,"0",""))&amp;""""))</f>
        <v>1/4"</v>
      </c>
      <c r="E45" s="45" t="n">
        <v>0.25</v>
      </c>
      <c r="F45" s="21" t="n">
        <f aca="false">IF(ISNUMBER(E45),E45*25.4,"")</f>
        <v>6.35</v>
      </c>
      <c r="G45" s="29" t="str">
        <f aca="false">IF(NOT(ISNUMBER(H45)),"",IF(H45&lt;=0,"",IF(ABS(H45*64-ROUND(H45*64,0))&gt;0.0005,"≈ ","")&amp;IF(INT(ROUND(H45*64,0)/64)&gt;0,INT(ROUND(H45*64,0)/64)&amp;IF(MOD(ROUND(H45*64,0),64)&gt;0," ",""),"")&amp;IF(MOD(ROUND(H45*64,0),64)&gt;0,MOD(ROUND(H45*64,0),64)/GCD(MOD(ROUND(H45*64,0),64),64)&amp;"/"&amp;64/GCD(MOD(ROUND(H45*64,0),64),64),IF(ROUND(H45*64,0)=0,"0",""))&amp;""""))</f>
        <v>1 1/4"</v>
      </c>
      <c r="H45" s="45" t="n">
        <v>1.25</v>
      </c>
      <c r="I45" s="21" t="n">
        <f aca="false">IF(ISNUMBER(H45),H45*25.4,"")</f>
        <v>31.75</v>
      </c>
      <c r="J45" s="29" t="s">
        <v>40</v>
      </c>
      <c r="K45" s="29" t="n">
        <v>1</v>
      </c>
      <c r="L45" s="45" t="n">
        <v>0.25</v>
      </c>
      <c r="M45" s="29"/>
      <c r="N45" s="29"/>
      <c r="O45" s="25" t="s">
        <v>345</v>
      </c>
      <c r="P45" s="25" t="s">
        <v>297</v>
      </c>
      <c r="Q45" s="25" t="s">
        <v>297</v>
      </c>
      <c r="R45" s="29"/>
      <c r="S45" s="29"/>
      <c r="T45" s="25"/>
      <c r="U45" s="29"/>
      <c r="V45" s="29"/>
      <c r="W45" s="29"/>
      <c r="X45" s="29"/>
      <c r="Y45" s="29"/>
      <c r="Z45" s="29"/>
      <c r="AA45" s="25" t="s">
        <v>298</v>
      </c>
      <c r="AB45" s="29" t="s">
        <v>346</v>
      </c>
      <c r="AC45" s="25"/>
      <c r="AD45" s="46" t="s">
        <v>152</v>
      </c>
    </row>
    <row r="46" customFormat="false" ht="45.75" hidden="false" customHeight="true" outlineLevel="0" collapsed="false">
      <c r="B46" s="44" t="s">
        <v>347</v>
      </c>
      <c r="C46" s="25" t="s">
        <v>285</v>
      </c>
      <c r="D46" s="29" t="str">
        <f aca="false">IF(NOT(ISNUMBER(E46)),"",IF(E46&lt;=0,"",IF(ABS(E46*64-ROUND(E46*64,0))&gt;0.0005,"≈ ","")&amp;IF(INT(ROUND(E46*64,0)/64)&gt;0,INT(ROUND(E46*64,0)/64)&amp;IF(MOD(ROUND(E46*64,0),64)&gt;0," ",""),"")&amp;IF(MOD(ROUND(E46*64,0),64)&gt;0,MOD(ROUND(E46*64,0),64)/GCD(MOD(ROUND(E46*64,0),64),64)&amp;"/"&amp;64/GCD(MOD(ROUND(E46*64,0),64),64),IF(ROUND(E46*64,0)=0,"0",""))&amp;""""))</f>
        <v>1/4"</v>
      </c>
      <c r="E46" s="45" t="n">
        <v>0.25</v>
      </c>
      <c r="F46" s="21" t="n">
        <f aca="false">IF(ISNUMBER(E46),E46*25.4,"")</f>
        <v>6.35</v>
      </c>
      <c r="G46" s="29" t="str">
        <f aca="false">IF(NOT(ISNUMBER(H46)),"",IF(H46&lt;=0,"",IF(ABS(H46*64-ROUND(H46*64,0))&gt;0.0005,"≈ ","")&amp;IF(INT(ROUND(H46*64,0)/64)&gt;0,INT(ROUND(H46*64,0)/64)&amp;IF(MOD(ROUND(H46*64,0),64)&gt;0," ",""),"")&amp;IF(MOD(ROUND(H46*64,0),64)&gt;0,MOD(ROUND(H46*64,0),64)/GCD(MOD(ROUND(H46*64,0),64),64)&amp;"/"&amp;64/GCD(MOD(ROUND(H46*64,0),64),64),IF(ROUND(H46*64,0)=0,"0",""))&amp;""""))</f>
        <v>1 1/2"</v>
      </c>
      <c r="H46" s="45" t="n">
        <v>1.5</v>
      </c>
      <c r="I46" s="21" t="n">
        <f aca="false">IF(ISNUMBER(H46),H46*25.4,"")</f>
        <v>38.1</v>
      </c>
      <c r="J46" s="29" t="s">
        <v>40</v>
      </c>
      <c r="K46" s="29" t="n">
        <v>1</v>
      </c>
      <c r="L46" s="45" t="n">
        <v>0.25</v>
      </c>
      <c r="M46" s="29"/>
      <c r="N46" s="29"/>
      <c r="O46" s="25" t="s">
        <v>348</v>
      </c>
      <c r="P46" s="25" t="s">
        <v>297</v>
      </c>
      <c r="Q46" s="25" t="s">
        <v>297</v>
      </c>
      <c r="R46" s="29"/>
      <c r="S46" s="29"/>
      <c r="T46" s="25"/>
      <c r="U46" s="29"/>
      <c r="V46" s="29"/>
      <c r="W46" s="29"/>
      <c r="X46" s="29"/>
      <c r="Y46" s="29"/>
      <c r="Z46" s="29"/>
      <c r="AA46" s="25" t="s">
        <v>298</v>
      </c>
      <c r="AB46" s="29" t="s">
        <v>349</v>
      </c>
      <c r="AC46" s="25"/>
      <c r="AD46" s="46" t="s">
        <v>152</v>
      </c>
    </row>
    <row r="47" customFormat="false" ht="45.75" hidden="false" customHeight="true" outlineLevel="0" collapsed="false">
      <c r="B47" s="44" t="s">
        <v>350</v>
      </c>
      <c r="C47" s="25" t="s">
        <v>285</v>
      </c>
      <c r="D47" s="29" t="str">
        <f aca="false">IF(NOT(ISNUMBER(E47)),"",IF(E47&lt;=0,"",IF(ABS(E47*64-ROUND(E47*64,0))&gt;0.0005,"≈ ","")&amp;IF(INT(ROUND(E47*64,0)/64)&gt;0,INT(ROUND(E47*64,0)/64)&amp;IF(MOD(ROUND(E47*64,0),64)&gt;0," ",""),"")&amp;IF(MOD(ROUND(E47*64,0),64)&gt;0,MOD(ROUND(E47*64,0),64)/GCD(MOD(ROUND(E47*64,0),64),64)&amp;"/"&amp;64/GCD(MOD(ROUND(E47*64,0),64),64),IF(ROUND(E47*64,0)=0,"0",""))&amp;""""))</f>
        <v>1/8"</v>
      </c>
      <c r="E47" s="45" t="n">
        <v>0.125</v>
      </c>
      <c r="F47" s="21" t="n">
        <f aca="false">IF(ISNUMBER(E47),E47*25.4,"")</f>
        <v>3.175</v>
      </c>
      <c r="G47" s="29" t="str">
        <f aca="false">IF(NOT(ISNUMBER(H47)),"",IF(H47&lt;=0,"",IF(ABS(H47*64-ROUND(H47*64,0))&gt;0.0005,"≈ ","")&amp;IF(INT(ROUND(H47*64,0)/64)&gt;0,INT(ROUND(H47*64,0)/64)&amp;IF(MOD(ROUND(H47*64,0),64)&gt;0," ",""),"")&amp;IF(MOD(ROUND(H47*64,0),64)&gt;0,MOD(ROUND(H47*64,0),64)/GCD(MOD(ROUND(H47*64,0),64),64)&amp;"/"&amp;64/GCD(MOD(ROUND(H47*64,0),64),64),IF(ROUND(H47*64,0)=0,"0",""))&amp;""""))</f>
        <v>3/4"</v>
      </c>
      <c r="H47" s="45" t="n">
        <v>0.75</v>
      </c>
      <c r="I47" s="21" t="n">
        <f aca="false">IF(ISNUMBER(H47),H47*25.4,"")</f>
        <v>19.05</v>
      </c>
      <c r="J47" s="29" t="s">
        <v>40</v>
      </c>
      <c r="K47" s="29" t="n">
        <v>1</v>
      </c>
      <c r="L47" s="45" t="n">
        <v>0.25</v>
      </c>
      <c r="M47" s="29"/>
      <c r="N47" s="29"/>
      <c r="O47" s="25" t="s">
        <v>351</v>
      </c>
      <c r="P47" s="25" t="s">
        <v>297</v>
      </c>
      <c r="Q47" s="25" t="s">
        <v>297</v>
      </c>
      <c r="R47" s="29"/>
      <c r="S47" s="29"/>
      <c r="T47" s="25"/>
      <c r="U47" s="29"/>
      <c r="V47" s="29"/>
      <c r="W47" s="29"/>
      <c r="X47" s="29"/>
      <c r="Y47" s="29"/>
      <c r="Z47" s="29"/>
      <c r="AA47" s="25" t="s">
        <v>310</v>
      </c>
      <c r="AB47" s="29" t="s">
        <v>352</v>
      </c>
      <c r="AC47" s="25"/>
      <c r="AD47" s="46" t="s">
        <v>152</v>
      </c>
    </row>
    <row r="48" customFormat="false" ht="45.75" hidden="false" customHeight="true" outlineLevel="0" collapsed="false">
      <c r="B48" s="44" t="s">
        <v>353</v>
      </c>
      <c r="C48" s="25" t="s">
        <v>285</v>
      </c>
      <c r="D48" s="29" t="str">
        <f aca="false">IF(NOT(ISNUMBER(E48)),"",IF(E48&lt;=0,"",IF(ABS(E48*64-ROUND(E48*64,0))&gt;0.0005,"≈ ","")&amp;IF(INT(ROUND(E48*64,0)/64)&gt;0,INT(ROUND(E48*64,0)/64)&amp;IF(MOD(ROUND(E48*64,0),64)&gt;0," ",""),"")&amp;IF(MOD(ROUND(E48*64,0),64)&gt;0,MOD(ROUND(E48*64,0),64)/GCD(MOD(ROUND(E48*64,0),64),64)&amp;"/"&amp;64/GCD(MOD(ROUND(E48*64,0),64),64),IF(ROUND(E48*64,0)=0,"0",""))&amp;""""))</f>
        <v>3/8"</v>
      </c>
      <c r="E48" s="45" t="n">
        <v>0.375</v>
      </c>
      <c r="F48" s="21" t="n">
        <f aca="false">IF(ISNUMBER(E48),E48*25.4,"")</f>
        <v>9.525</v>
      </c>
      <c r="G48" s="29" t="str">
        <f aca="false">IF(NOT(ISNUMBER(H48)),"",IF(H48&lt;=0,"",IF(ABS(H48*64-ROUND(H48*64,0))&gt;0.0005,"≈ ","")&amp;IF(INT(ROUND(H48*64,0)/64)&gt;0,INT(ROUND(H48*64,0)/64)&amp;IF(MOD(ROUND(H48*64,0),64)&gt;0," ",""),"")&amp;IF(MOD(ROUND(H48*64,0),64)&gt;0,MOD(ROUND(H48*64,0),64)/GCD(MOD(ROUND(H48*64,0),64),64)&amp;"/"&amp;64/GCD(MOD(ROUND(H48*64,0),64),64),IF(ROUND(H48*64,0)=0,"0",""))&amp;""""))</f>
        <v>3/4"</v>
      </c>
      <c r="H48" s="45" t="n">
        <v>0.75</v>
      </c>
      <c r="I48" s="21" t="n">
        <f aca="false">IF(ISNUMBER(H48),H48*25.4,"")</f>
        <v>19.05</v>
      </c>
      <c r="J48" s="29" t="s">
        <v>40</v>
      </c>
      <c r="K48" s="29" t="n">
        <v>1</v>
      </c>
      <c r="L48" s="45" t="n">
        <v>0.375</v>
      </c>
      <c r="M48" s="29"/>
      <c r="N48" s="29"/>
      <c r="O48" s="25" t="s">
        <v>354</v>
      </c>
      <c r="P48" s="25" t="s">
        <v>297</v>
      </c>
      <c r="Q48" s="25" t="s">
        <v>297</v>
      </c>
      <c r="R48" s="29"/>
      <c r="S48" s="29"/>
      <c r="T48" s="25"/>
      <c r="U48" s="29"/>
      <c r="V48" s="29"/>
      <c r="W48" s="29"/>
      <c r="X48" s="29"/>
      <c r="Y48" s="29"/>
      <c r="Z48" s="29"/>
      <c r="AA48" s="25" t="s">
        <v>310</v>
      </c>
      <c r="AB48" s="29" t="s">
        <v>355</v>
      </c>
      <c r="AC48" s="25" t="s">
        <v>356</v>
      </c>
      <c r="AD48" s="46" t="s">
        <v>152</v>
      </c>
    </row>
    <row r="49" customFormat="false" ht="45.75" hidden="false" customHeight="true" outlineLevel="0" collapsed="false">
      <c r="B49" s="44" t="s">
        <v>357</v>
      </c>
      <c r="C49" s="25" t="s">
        <v>285</v>
      </c>
      <c r="D49" s="29" t="str">
        <f aca="false">IF(NOT(ISNUMBER(E49)),"",IF(E49&lt;=0,"",IF(ABS(E49*64-ROUND(E49*64,0))&gt;0.0005,"≈ ","")&amp;IF(INT(ROUND(E49*64,0)/64)&gt;0,INT(ROUND(E49*64,0)/64)&amp;IF(MOD(ROUND(E49*64,0),64)&gt;0," ",""),"")&amp;IF(MOD(ROUND(E49*64,0),64)&gt;0,MOD(ROUND(E49*64,0),64)/GCD(MOD(ROUND(E49*64,0),64),64)&amp;"/"&amp;64/GCD(MOD(ROUND(E49*64,0),64),64),IF(ROUND(E49*64,0)=0,"0",""))&amp;""""))</f>
        <v>1/2"</v>
      </c>
      <c r="E49" s="45" t="n">
        <v>0.5</v>
      </c>
      <c r="F49" s="21" t="n">
        <f aca="false">IF(ISNUMBER(E49),E49*25.4,"")</f>
        <v>12.7</v>
      </c>
      <c r="G49" s="29" t="str">
        <f aca="false">IF(NOT(ISNUMBER(H49)),"",IF(H49&lt;=0,"",IF(ABS(H49*64-ROUND(H49*64,0))&gt;0.0005,"≈ ","")&amp;IF(INT(ROUND(H49*64,0)/64)&gt;0,INT(ROUND(H49*64,0)/64)&amp;IF(MOD(ROUND(H49*64,0),64)&gt;0," ",""),"")&amp;IF(MOD(ROUND(H49*64,0),64)&gt;0,MOD(ROUND(H49*64,0),64)/GCD(MOD(ROUND(H49*64,0),64),64)&amp;"/"&amp;64/GCD(MOD(ROUND(H49*64,0),64),64),IF(ROUND(H49*64,0)=0,"0",""))&amp;""""))</f>
        <v>1 5/8"</v>
      </c>
      <c r="H49" s="45" t="n">
        <v>1.625</v>
      </c>
      <c r="I49" s="21" t="n">
        <f aca="false">IF(ISNUMBER(H49),H49*25.4,"")</f>
        <v>41.275</v>
      </c>
      <c r="J49" s="29" t="s">
        <v>40</v>
      </c>
      <c r="K49" s="29" t="n">
        <v>1</v>
      </c>
      <c r="L49" s="45" t="n">
        <v>0.5</v>
      </c>
      <c r="M49" s="29"/>
      <c r="N49" s="29"/>
      <c r="O49" s="25" t="s">
        <v>358</v>
      </c>
      <c r="P49" s="25" t="s">
        <v>297</v>
      </c>
      <c r="Q49" s="25" t="s">
        <v>297</v>
      </c>
      <c r="R49" s="29"/>
      <c r="S49" s="29"/>
      <c r="T49" s="25"/>
      <c r="U49" s="29"/>
      <c r="V49" s="29"/>
      <c r="W49" s="29"/>
      <c r="X49" s="29"/>
      <c r="Y49" s="29"/>
      <c r="Z49" s="29"/>
      <c r="AA49" s="25" t="s">
        <v>310</v>
      </c>
      <c r="AB49" s="29" t="s">
        <v>359</v>
      </c>
      <c r="AC49" s="25"/>
      <c r="AD49" s="46" t="s">
        <v>152</v>
      </c>
    </row>
    <row r="50" customFormat="false" ht="45.75" hidden="false" customHeight="true" outlineLevel="0" collapsed="false">
      <c r="B50" s="44" t="s">
        <v>360</v>
      </c>
      <c r="C50" s="25" t="s">
        <v>285</v>
      </c>
      <c r="D50" s="29" t="str">
        <f aca="false">IF(NOT(ISNUMBER(E50)),"",IF(E50&lt;=0,"",IF(ABS(E50*64-ROUND(E50*64,0))&gt;0.0005,"≈ ","")&amp;IF(INT(ROUND(E50*64,0)/64)&gt;0,INT(ROUND(E50*64,0)/64)&amp;IF(MOD(ROUND(E50*64,0),64)&gt;0," ",""),"")&amp;IF(MOD(ROUND(E50*64,0),64)&gt;0,MOD(ROUND(E50*64,0),64)/GCD(MOD(ROUND(E50*64,0),64),64)&amp;"/"&amp;64/GCD(MOD(ROUND(E50*64,0),64),64),IF(ROUND(E50*64,0)=0,"0",""))&amp;""""))</f>
        <v>3/8"</v>
      </c>
      <c r="E50" s="45" t="n">
        <v>0.375</v>
      </c>
      <c r="F50" s="21" t="n">
        <f aca="false">IF(ISNUMBER(E50),E50*25.4,"")</f>
        <v>9.525</v>
      </c>
      <c r="G50" s="29" t="str">
        <f aca="false">IF(NOT(ISNUMBER(H50)),"",IF(H50&lt;=0,"",IF(ABS(H50*64-ROUND(H50*64,0))&gt;0.0005,"≈ ","")&amp;IF(INT(ROUND(H50*64,0)/64)&gt;0,INT(ROUND(H50*64,0)/64)&amp;IF(MOD(ROUND(H50*64,0),64)&gt;0," ",""),"")&amp;IF(MOD(ROUND(H50*64,0),64)&gt;0,MOD(ROUND(H50*64,0),64)/GCD(MOD(ROUND(H50*64,0),64),64)&amp;"/"&amp;64/GCD(MOD(ROUND(H50*64,0),64),64),IF(ROUND(H50*64,0)=0,"0",""))&amp;""""))</f>
        <v>1 1/2"</v>
      </c>
      <c r="H50" s="45" t="n">
        <v>1.5</v>
      </c>
      <c r="I50" s="21" t="n">
        <f aca="false">IF(ISNUMBER(H50),H50*25.4,"")</f>
        <v>38.1</v>
      </c>
      <c r="J50" s="29" t="s">
        <v>40</v>
      </c>
      <c r="K50" s="29" t="n">
        <v>1</v>
      </c>
      <c r="L50" s="45" t="n">
        <v>0.375</v>
      </c>
      <c r="M50" s="29"/>
      <c r="N50" s="29"/>
      <c r="O50" s="25" t="n">
        <v>897424</v>
      </c>
      <c r="P50" s="25" t="s">
        <v>361</v>
      </c>
      <c r="Q50" s="25" t="s">
        <v>157</v>
      </c>
      <c r="R50" s="29"/>
      <c r="S50" s="29"/>
      <c r="T50" s="25"/>
      <c r="U50" s="29"/>
      <c r="V50" s="29"/>
      <c r="W50" s="29"/>
      <c r="X50" s="29"/>
      <c r="Y50" s="29"/>
      <c r="Z50" s="29"/>
      <c r="AA50" s="25" t="s">
        <v>310</v>
      </c>
      <c r="AB50" s="29" t="s">
        <v>362</v>
      </c>
      <c r="AC50" s="25"/>
      <c r="AD50" s="46" t="s">
        <v>152</v>
      </c>
    </row>
    <row r="51" customFormat="false" ht="45.75" hidden="false" customHeight="true" outlineLevel="0" collapsed="false">
      <c r="B51" s="44" t="s">
        <v>363</v>
      </c>
      <c r="C51" s="25" t="s">
        <v>285</v>
      </c>
      <c r="D51" s="29" t="str">
        <f aca="false">IF(NOT(ISNUMBER(E51)),"",IF(E51&lt;=0,"",IF(ABS(E51*64-ROUND(E51*64,0))&gt;0.0005,"≈ ","")&amp;IF(INT(ROUND(E51*64,0)/64)&gt;0,INT(ROUND(E51*64,0)/64)&amp;IF(MOD(ROUND(E51*64,0),64)&gt;0," ",""),"")&amp;IF(MOD(ROUND(E51*64,0),64)&gt;0,MOD(ROUND(E51*64,0),64)/GCD(MOD(ROUND(E51*64,0),64),64)&amp;"/"&amp;64/GCD(MOD(ROUND(E51*64,0),64),64),IF(ROUND(E51*64,0)=0,"0",""))&amp;""""))</f>
        <v>3/8"</v>
      </c>
      <c r="E51" s="45" t="n">
        <v>0.375</v>
      </c>
      <c r="F51" s="21" t="n">
        <f aca="false">IF(ISNUMBER(E51),E51*25.4,"")</f>
        <v>9.525</v>
      </c>
      <c r="G51" s="29" t="str">
        <f aca="false">IF(NOT(ISNUMBER(H51)),"",IF(H51&lt;=0,"",IF(ABS(H51*64-ROUND(H51*64,0))&gt;0.0005,"≈ ","")&amp;IF(INT(ROUND(H51*64,0)/64)&gt;0,INT(ROUND(H51*64,0)/64)&amp;IF(MOD(ROUND(H51*64,0),64)&gt;0," ",""),"")&amp;IF(MOD(ROUND(H51*64,0),64)&gt;0,MOD(ROUND(H51*64,0),64)/GCD(MOD(ROUND(H51*64,0),64),64)&amp;"/"&amp;64/GCD(MOD(ROUND(H51*64,0),64),64),IF(ROUND(H51*64,0)=0,"0",""))&amp;""""))</f>
        <v>7/8"</v>
      </c>
      <c r="H51" s="45" t="n">
        <v>0.875</v>
      </c>
      <c r="I51" s="21" t="n">
        <f aca="false">IF(ISNUMBER(H51),H51*25.4,"")</f>
        <v>22.225</v>
      </c>
      <c r="J51" s="29" t="s">
        <v>40</v>
      </c>
      <c r="K51" s="29" t="n">
        <v>3</v>
      </c>
      <c r="L51" s="45" t="n">
        <v>0.375</v>
      </c>
      <c r="M51" s="29"/>
      <c r="N51" s="29"/>
      <c r="O51" s="25" t="n">
        <v>88300409</v>
      </c>
      <c r="P51" s="25" t="s">
        <v>364</v>
      </c>
      <c r="Q51" s="25"/>
      <c r="R51" s="29" t="s">
        <v>365</v>
      </c>
      <c r="S51" s="29"/>
      <c r="T51" s="25"/>
      <c r="U51" s="29"/>
      <c r="V51" s="29"/>
      <c r="W51" s="29"/>
      <c r="X51" s="29"/>
      <c r="Y51" s="29"/>
      <c r="Z51" s="29"/>
      <c r="AA51" s="25" t="s">
        <v>181</v>
      </c>
      <c r="AB51" s="29" t="s">
        <v>366</v>
      </c>
      <c r="AC51" s="25"/>
      <c r="AD51" s="46" t="s">
        <v>152</v>
      </c>
    </row>
    <row r="52" customFormat="false" ht="45.75" hidden="false" customHeight="true" outlineLevel="0" collapsed="false">
      <c r="B52" s="44" t="s">
        <v>367</v>
      </c>
      <c r="C52" s="25" t="s">
        <v>285</v>
      </c>
      <c r="D52" s="29" t="str">
        <f aca="false">IF(NOT(ISNUMBER(E52)),"",IF(E52&lt;=0,"",IF(ABS(E52*64-ROUND(E52*64,0))&gt;0.0005,"≈ ","")&amp;IF(INT(ROUND(E52*64,0)/64)&gt;0,INT(ROUND(E52*64,0)/64)&amp;IF(MOD(ROUND(E52*64,0),64)&gt;0," ",""),"")&amp;IF(MOD(ROUND(E52*64,0),64)&gt;0,MOD(ROUND(E52*64,0),64)/GCD(MOD(ROUND(E52*64,0),64),64)&amp;"/"&amp;64/GCD(MOD(ROUND(E52*64,0),64),64),IF(ROUND(E52*64,0)=0,"0",""))&amp;""""))</f>
        <v>3/8"</v>
      </c>
      <c r="E52" s="45" t="n">
        <v>0.375</v>
      </c>
      <c r="F52" s="21" t="n">
        <f aca="false">IF(ISNUMBER(E52),E52*25.4,"")</f>
        <v>9.525</v>
      </c>
      <c r="G52" s="29" t="str">
        <f aca="false">IF(NOT(ISNUMBER(H52)),"",IF(H52&lt;=0,"",IF(ABS(H52*64-ROUND(H52*64,0))&gt;0.0005,"≈ ","")&amp;IF(INT(ROUND(H52*64,0)/64)&gt;0,INT(ROUND(H52*64,0)/64)&amp;IF(MOD(ROUND(H52*64,0),64)&gt;0," ",""),"")&amp;IF(MOD(ROUND(H52*64,0),64)&gt;0,MOD(ROUND(H52*64,0),64)/GCD(MOD(ROUND(H52*64,0),64),64)&amp;"/"&amp;64/GCD(MOD(ROUND(H52*64,0),64),64),IF(ROUND(H52*64,0)=0,"0",""))&amp;""""))</f>
        <v>1 1/2"</v>
      </c>
      <c r="H52" s="45" t="n">
        <v>1.5</v>
      </c>
      <c r="I52" s="21" t="n">
        <f aca="false">IF(ISNUMBER(H52),H52*25.4,"")</f>
        <v>38.1</v>
      </c>
      <c r="J52" s="29" t="s">
        <v>40</v>
      </c>
      <c r="K52" s="29" t="n">
        <v>3</v>
      </c>
      <c r="L52" s="45" t="n">
        <v>0.375</v>
      </c>
      <c r="M52" s="29"/>
      <c r="N52" s="29"/>
      <c r="O52" s="25" t="n">
        <v>86300909</v>
      </c>
      <c r="P52" s="25" t="s">
        <v>364</v>
      </c>
      <c r="Q52" s="25"/>
      <c r="R52" s="29" t="s">
        <v>365</v>
      </c>
      <c r="S52" s="29"/>
      <c r="T52" s="25"/>
      <c r="U52" s="29"/>
      <c r="V52" s="29"/>
      <c r="W52" s="29"/>
      <c r="X52" s="29"/>
      <c r="Y52" s="29"/>
      <c r="Z52" s="29"/>
      <c r="AA52" s="25" t="s">
        <v>181</v>
      </c>
      <c r="AB52" s="29" t="s">
        <v>368</v>
      </c>
      <c r="AC52" s="25" t="s">
        <v>369</v>
      </c>
      <c r="AD52" s="46" t="s">
        <v>152</v>
      </c>
    </row>
    <row r="53" customFormat="false" ht="45.75" hidden="false" customHeight="true" outlineLevel="0" collapsed="false">
      <c r="B53" s="44" t="s">
        <v>370</v>
      </c>
      <c r="C53" s="25" t="s">
        <v>285</v>
      </c>
      <c r="D53" s="29" t="str">
        <f aca="false">IF(NOT(ISNUMBER(E53)),"",IF(E53&lt;=0,"",IF(ABS(E53*64-ROUND(E53*64,0))&gt;0.0005,"≈ ","")&amp;IF(INT(ROUND(E53*64,0)/64)&gt;0,INT(ROUND(E53*64,0)/64)&amp;IF(MOD(ROUND(E53*64,0),64)&gt;0," ",""),"")&amp;IF(MOD(ROUND(E53*64,0),64)&gt;0,MOD(ROUND(E53*64,0),64)/GCD(MOD(ROUND(E53*64,0),64),64)&amp;"/"&amp;64/GCD(MOD(ROUND(E53*64,0),64),64),IF(ROUND(E53*64,0)=0,"0",""))&amp;""""))</f>
        <v>1/2"</v>
      </c>
      <c r="E53" s="45" t="n">
        <v>0.5</v>
      </c>
      <c r="F53" s="21" t="n">
        <f aca="false">IF(ISNUMBER(E53),E53*25.4,"")</f>
        <v>12.7</v>
      </c>
      <c r="G53" s="29" t="str">
        <f aca="false">IF(NOT(ISNUMBER(H53)),"",IF(H53&lt;=0,"",IF(ABS(H53*64-ROUND(H53*64,0))&gt;0.0005,"≈ ","")&amp;IF(INT(ROUND(H53*64,0)/64)&gt;0,INT(ROUND(H53*64,0)/64)&amp;IF(MOD(ROUND(H53*64,0),64)&gt;0," ",""),"")&amp;IF(MOD(ROUND(H53*64,0),64)&gt;0,MOD(ROUND(H53*64,0),64)/GCD(MOD(ROUND(H53*64,0),64),64)&amp;"/"&amp;64/GCD(MOD(ROUND(H53*64,0),64),64),IF(ROUND(H53*64,0)=0,"0",""))&amp;""""))</f>
        <v>2"</v>
      </c>
      <c r="H53" s="45" t="n">
        <v>2</v>
      </c>
      <c r="I53" s="21" t="n">
        <f aca="false">IF(ISNUMBER(H53),H53*25.4,"")</f>
        <v>50.8</v>
      </c>
      <c r="J53" s="29" t="s">
        <v>40</v>
      </c>
      <c r="K53" s="29" t="n">
        <v>3</v>
      </c>
      <c r="L53" s="45" t="n">
        <v>0.5</v>
      </c>
      <c r="M53" s="29"/>
      <c r="N53" s="29"/>
      <c r="O53" s="25" t="n">
        <v>86301109</v>
      </c>
      <c r="P53" s="25" t="s">
        <v>364</v>
      </c>
      <c r="Q53" s="25"/>
      <c r="R53" s="29" t="s">
        <v>365</v>
      </c>
      <c r="S53" s="29"/>
      <c r="T53" s="25"/>
      <c r="U53" s="29"/>
      <c r="V53" s="29"/>
      <c r="W53" s="29"/>
      <c r="X53" s="29"/>
      <c r="Y53" s="29"/>
      <c r="Z53" s="29"/>
      <c r="AA53" s="25" t="s">
        <v>181</v>
      </c>
      <c r="AB53" s="29" t="s">
        <v>371</v>
      </c>
      <c r="AC53" s="25"/>
      <c r="AD53" s="46" t="s">
        <v>152</v>
      </c>
    </row>
    <row r="54" customFormat="false" ht="45.75" hidden="false" customHeight="true" outlineLevel="0" collapsed="false">
      <c r="B54" s="44" t="s">
        <v>372</v>
      </c>
      <c r="C54" s="25" t="s">
        <v>285</v>
      </c>
      <c r="D54" s="29" t="str">
        <f aca="false">IF(NOT(ISNUMBER(E54)),"",IF(E54&lt;=0,"",IF(ABS(E54*64-ROUND(E54*64,0))&gt;0.0005,"≈ ","")&amp;IF(INT(ROUND(E54*64,0)/64)&gt;0,INT(ROUND(E54*64,0)/64)&amp;IF(MOD(ROUND(E54*64,0),64)&gt;0," ",""),"")&amp;IF(MOD(ROUND(E54*64,0),64)&gt;0,MOD(ROUND(E54*64,0),64)/GCD(MOD(ROUND(E54*64,0),64),64)&amp;"/"&amp;64/GCD(MOD(ROUND(E54*64,0),64),64),IF(ROUND(E54*64,0)=0,"0",""))&amp;""""))</f>
        <v>1/4"</v>
      </c>
      <c r="E54" s="45" t="n">
        <v>0.25</v>
      </c>
      <c r="F54" s="21" t="n">
        <f aca="false">IF(ISNUMBER(E54),E54*25.4,"")</f>
        <v>6.35</v>
      </c>
      <c r="G54" s="29" t="str">
        <f aca="false">IF(NOT(ISNUMBER(H54)),"",IF(H54&lt;=0,"",IF(ABS(H54*64-ROUND(H54*64,0))&gt;0.0005,"≈ ","")&amp;IF(INT(ROUND(H54*64,0)/64)&gt;0,INT(ROUND(H54*64,0)/64)&amp;IF(MOD(ROUND(H54*64,0),64)&gt;0," ",""),"")&amp;IF(MOD(ROUND(H54*64,0),64)&gt;0,MOD(ROUND(H54*64,0),64)/GCD(MOD(ROUND(H54*64,0),64),64)&amp;"/"&amp;64/GCD(MOD(ROUND(H54*64,0),64),64),IF(ROUND(H54*64,0)=0,"0",""))&amp;""""))</f>
        <v>1/2"</v>
      </c>
      <c r="H54" s="45" t="n">
        <v>0.5</v>
      </c>
      <c r="I54" s="21" t="n">
        <f aca="false">IF(ISNUMBER(H54),H54*25.4,"")</f>
        <v>12.7</v>
      </c>
      <c r="J54" s="29" t="s">
        <v>40</v>
      </c>
      <c r="K54" s="29" t="n">
        <v>3</v>
      </c>
      <c r="L54" s="45" t="n">
        <v>0.25</v>
      </c>
      <c r="M54" s="29"/>
      <c r="N54" s="29"/>
      <c r="O54" s="25" t="n">
        <v>88300209</v>
      </c>
      <c r="P54" s="25" t="s">
        <v>364</v>
      </c>
      <c r="Q54" s="25"/>
      <c r="R54" s="29" t="s">
        <v>373</v>
      </c>
      <c r="S54" s="29"/>
      <c r="T54" s="25"/>
      <c r="U54" s="29"/>
      <c r="V54" s="29"/>
      <c r="W54" s="29"/>
      <c r="X54" s="29"/>
      <c r="Y54" s="29"/>
      <c r="Z54" s="29"/>
      <c r="AA54" s="25" t="s">
        <v>181</v>
      </c>
      <c r="AB54" s="29" t="s">
        <v>374</v>
      </c>
      <c r="AC54" s="25" t="s">
        <v>375</v>
      </c>
      <c r="AD54" s="46" t="s">
        <v>152</v>
      </c>
    </row>
    <row r="55" customFormat="false" ht="45.75" hidden="false" customHeight="true" outlineLevel="0" collapsed="false">
      <c r="B55" s="44" t="s">
        <v>376</v>
      </c>
      <c r="C55" s="25" t="s">
        <v>285</v>
      </c>
      <c r="D55" s="29" t="str">
        <f aca="false">IF(NOT(ISNUMBER(E55)),"",IF(E55&lt;=0,"",IF(ABS(E55*64-ROUND(E55*64,0))&gt;0.0005,"≈ ","")&amp;IF(INT(ROUND(E55*64,0)/64)&gt;0,INT(ROUND(E55*64,0)/64)&amp;IF(MOD(ROUND(E55*64,0),64)&gt;0," ",""),"")&amp;IF(MOD(ROUND(E55*64,0),64)&gt;0,MOD(ROUND(E55*64,0),64)/GCD(MOD(ROUND(E55*64,0),64),64)&amp;"/"&amp;64/GCD(MOD(ROUND(E55*64,0),64),64),IF(ROUND(E55*64,0)=0,"0",""))&amp;""""))</f>
        <v>1/8"</v>
      </c>
      <c r="E55" s="45" t="n">
        <v>0.125</v>
      </c>
      <c r="F55" s="21" t="n">
        <f aca="false">IF(ISNUMBER(E55),E55*25.4,"")</f>
        <v>3.175</v>
      </c>
      <c r="G55" s="29" t="str">
        <f aca="false">IF(NOT(ISNUMBER(H55)),"",IF(H55&lt;=0,"",IF(ABS(H55*64-ROUND(H55*64,0))&gt;0.0005,"≈ ","")&amp;IF(INT(ROUND(H55*64,0)/64)&gt;0,INT(ROUND(H55*64,0)/64)&amp;IF(MOD(ROUND(H55*64,0),64)&gt;0," ",""),"")&amp;IF(MOD(ROUND(H55*64,0),64)&gt;0,MOD(ROUND(H55*64,0),64)/GCD(MOD(ROUND(H55*64,0),64),64)&amp;"/"&amp;64/GCD(MOD(ROUND(H55*64,0),64),64),IF(ROUND(H55*64,0)=0,"0",""))&amp;""""))</f>
        <v>3/8"</v>
      </c>
      <c r="H55" s="45" t="n">
        <v>0.375</v>
      </c>
      <c r="I55" s="21" t="n">
        <f aca="false">IF(ISNUMBER(H55),H55*25.4,"")</f>
        <v>9.525</v>
      </c>
      <c r="J55" s="29" t="s">
        <v>200</v>
      </c>
      <c r="K55" s="29" t="n">
        <v>1</v>
      </c>
      <c r="L55" s="45" t="n">
        <v>0.125</v>
      </c>
      <c r="M55" s="29"/>
      <c r="N55" s="29"/>
      <c r="O55" s="25" t="n">
        <v>709508</v>
      </c>
      <c r="P55" s="25" t="s">
        <v>361</v>
      </c>
      <c r="Q55" s="25" t="s">
        <v>157</v>
      </c>
      <c r="R55" s="29" t="s">
        <v>377</v>
      </c>
      <c r="S55" s="29"/>
      <c r="T55" s="25"/>
      <c r="U55" s="29"/>
      <c r="V55" s="29"/>
      <c r="W55" s="29"/>
      <c r="X55" s="29"/>
      <c r="Y55" s="29"/>
      <c r="Z55" s="29"/>
      <c r="AA55" s="25" t="s">
        <v>378</v>
      </c>
      <c r="AB55" s="29" t="s">
        <v>374</v>
      </c>
      <c r="AC55" s="25"/>
      <c r="AD55" s="46" t="s">
        <v>152</v>
      </c>
    </row>
    <row r="56" customFormat="false" ht="45.75" hidden="false" customHeight="true" outlineLevel="0" collapsed="false">
      <c r="B56" s="44" t="s">
        <v>379</v>
      </c>
      <c r="C56" s="25" t="s">
        <v>285</v>
      </c>
      <c r="D56" s="29" t="str">
        <f aca="false">IF(NOT(ISNUMBER(E56)),"",IF(E56&lt;=0,"",IF(ABS(E56*64-ROUND(E56*64,0))&gt;0.0005,"≈ ","")&amp;IF(INT(ROUND(E56*64,0)/64)&gt;0,INT(ROUND(E56*64,0)/64)&amp;IF(MOD(ROUND(E56*64,0),64)&gt;0," ",""),"")&amp;IF(MOD(ROUND(E56*64,0),64)&gt;0,MOD(ROUND(E56*64,0),64)/GCD(MOD(ROUND(E56*64,0),64),64)&amp;"/"&amp;64/GCD(MOD(ROUND(E56*64,0),64),64),IF(ROUND(E56*64,0)=0,"0",""))&amp;""""))</f>
        <v>1/2"</v>
      </c>
      <c r="E56" s="45" t="n">
        <v>0.5</v>
      </c>
      <c r="F56" s="21" t="n">
        <f aca="false">IF(ISNUMBER(E56),E56*25.4,"")</f>
        <v>12.7</v>
      </c>
      <c r="G56" s="29" t="str">
        <f aca="false">IF(NOT(ISNUMBER(H56)),"",IF(H56&lt;=0,"",IF(ABS(H56*64-ROUND(H56*64,0))&gt;0.0005,"≈ ","")&amp;IF(INT(ROUND(H56*64,0)/64)&gt;0,INT(ROUND(H56*64,0)/64)&amp;IF(MOD(ROUND(H56*64,0),64)&gt;0," ",""),"")&amp;IF(MOD(ROUND(H56*64,0),64)&gt;0,MOD(ROUND(H56*64,0),64)/GCD(MOD(ROUND(H56*64,0),64),64)&amp;"/"&amp;64/GCD(MOD(ROUND(H56*64,0),64),64),IF(ROUND(H56*64,0)=0,"0",""))&amp;""""))</f>
        <v>2 1/8"</v>
      </c>
      <c r="H56" s="45" t="n">
        <v>2.125</v>
      </c>
      <c r="I56" s="21" t="n">
        <f aca="false">IF(ISNUMBER(H56),H56*25.4,"")</f>
        <v>53.975</v>
      </c>
      <c r="J56" s="29" t="s">
        <v>40</v>
      </c>
      <c r="K56" s="29" t="n">
        <v>2</v>
      </c>
      <c r="L56" s="45" t="n">
        <v>0.5</v>
      </c>
      <c r="M56" s="29"/>
      <c r="N56" s="29"/>
      <c r="O56" s="25" t="s">
        <v>380</v>
      </c>
      <c r="P56" s="25" t="s">
        <v>297</v>
      </c>
      <c r="Q56" s="25" t="s">
        <v>297</v>
      </c>
      <c r="R56" s="29"/>
      <c r="S56" s="29"/>
      <c r="T56" s="25"/>
      <c r="U56" s="29"/>
      <c r="V56" s="29"/>
      <c r="W56" s="29"/>
      <c r="X56" s="29"/>
      <c r="Y56" s="29"/>
      <c r="Z56" s="29"/>
      <c r="AA56" s="25" t="s">
        <v>381</v>
      </c>
      <c r="AB56" s="29" t="s">
        <v>382</v>
      </c>
      <c r="AC56" s="25" t="s">
        <v>383</v>
      </c>
      <c r="AD56" s="46" t="s">
        <v>152</v>
      </c>
    </row>
    <row r="57" customFormat="false" ht="45.75" hidden="false" customHeight="true" outlineLevel="0" collapsed="false">
      <c r="B57" s="44" t="s">
        <v>384</v>
      </c>
      <c r="C57" s="25" t="s">
        <v>285</v>
      </c>
      <c r="D57" s="29" t="str">
        <f aca="false">IF(NOT(ISNUMBER(E57)),"",IF(E57&lt;=0,"",IF(ABS(E57*64-ROUND(E57*64,0))&gt;0.0005,"≈ ","")&amp;IF(INT(ROUND(E57*64,0)/64)&gt;0,INT(ROUND(E57*64,0)/64)&amp;IF(MOD(ROUND(E57*64,0),64)&gt;0," ",""),"")&amp;IF(MOD(ROUND(E57*64,0),64)&gt;0,MOD(ROUND(E57*64,0),64)/GCD(MOD(ROUND(E57*64,0),64),64)&amp;"/"&amp;64/GCD(MOD(ROUND(E57*64,0),64),64),IF(ROUND(E57*64,0)=0,"0",""))&amp;""""))</f>
        <v>1/2"</v>
      </c>
      <c r="E57" s="45" t="n">
        <v>0.5</v>
      </c>
      <c r="F57" s="21" t="n">
        <f aca="false">IF(ISNUMBER(E57),E57*25.4,"")</f>
        <v>12.7</v>
      </c>
      <c r="G57" s="29" t="str">
        <f aca="false">IF(NOT(ISNUMBER(H57)),"",IF(H57&lt;=0,"",IF(ABS(H57*64-ROUND(H57*64,0))&gt;0.0005,"≈ ","")&amp;IF(INT(ROUND(H57*64,0)/64)&gt;0,INT(ROUND(H57*64,0)/64)&amp;IF(MOD(ROUND(H57*64,0),64)&gt;0," ",""),"")&amp;IF(MOD(ROUND(H57*64,0),64)&gt;0,MOD(ROUND(H57*64,0),64)/GCD(MOD(ROUND(H57*64,0),64),64)&amp;"/"&amp;64/GCD(MOD(ROUND(H57*64,0),64),64),IF(ROUND(H57*64,0)=0,"0",""))&amp;""""))</f>
        <v>≈ 13/32"</v>
      </c>
      <c r="H57" s="45" t="n">
        <v>0.406</v>
      </c>
      <c r="I57" s="21" t="n">
        <f aca="false">IF(ISNUMBER(H57),H57*25.4,"")</f>
        <v>10.3124</v>
      </c>
      <c r="J57" s="29"/>
      <c r="K57" s="29" t="n">
        <v>2</v>
      </c>
      <c r="L57" s="45" t="n">
        <v>0.25</v>
      </c>
      <c r="M57" s="29"/>
      <c r="N57" s="29"/>
      <c r="O57" s="25" t="s">
        <v>385</v>
      </c>
      <c r="P57" s="25" t="s">
        <v>297</v>
      </c>
      <c r="Q57" s="25" t="s">
        <v>297</v>
      </c>
      <c r="R57" s="29"/>
      <c r="S57" s="29"/>
      <c r="T57" s="25"/>
      <c r="U57" s="29"/>
      <c r="V57" s="29"/>
      <c r="W57" s="29"/>
      <c r="X57" s="29"/>
      <c r="Y57" s="29"/>
      <c r="Z57" s="29"/>
      <c r="AA57" s="25" t="s">
        <v>386</v>
      </c>
      <c r="AB57" s="29" t="s">
        <v>387</v>
      </c>
      <c r="AC57" s="25" t="s">
        <v>388</v>
      </c>
      <c r="AD57" s="46" t="s">
        <v>152</v>
      </c>
    </row>
    <row r="58" customFormat="false" ht="45.75" hidden="false" customHeight="true" outlineLevel="0" collapsed="false">
      <c r="B58" s="44" t="s">
        <v>389</v>
      </c>
      <c r="C58" s="25" t="s">
        <v>285</v>
      </c>
      <c r="D58" s="29" t="str">
        <f aca="false">IF(NOT(ISNUMBER(E58)),"",IF(E58&lt;=0,"",IF(ABS(E58*64-ROUND(E58*64,0))&gt;0.0005,"≈ ","")&amp;IF(INT(ROUND(E58*64,0)/64)&gt;0,INT(ROUND(E58*64,0)/64)&amp;IF(MOD(ROUND(E58*64,0),64)&gt;0," ",""),"")&amp;IF(MOD(ROUND(E58*64,0),64)&gt;0,MOD(ROUND(E58*64,0),64)/GCD(MOD(ROUND(E58*64,0),64),64)&amp;"/"&amp;64/GCD(MOD(ROUND(E58*64,0),64),64),IF(ROUND(E58*64,0)=0,"0",""))&amp;""""))</f>
        <v>1/4"</v>
      </c>
      <c r="E58" s="45" t="n">
        <v>0.25</v>
      </c>
      <c r="F58" s="21" t="n">
        <f aca="false">IF(ISNUMBER(E58),E58*25.4,"")</f>
        <v>6.35</v>
      </c>
      <c r="G58" s="29" t="str">
        <f aca="false">IF(NOT(ISNUMBER(H58)),"",IF(H58&lt;=0,"",IF(ABS(H58*64-ROUND(H58*64,0))&gt;0.0005,"≈ ","")&amp;IF(INT(ROUND(H58*64,0)/64)&gt;0,INT(ROUND(H58*64,0)/64)&amp;IF(MOD(ROUND(H58*64,0),64)&gt;0," ",""),"")&amp;IF(MOD(ROUND(H58*64,0),64)&gt;0,MOD(ROUND(H58*64,0),64)/GCD(MOD(ROUND(H58*64,0),64),64)&amp;"/"&amp;64/GCD(MOD(ROUND(H58*64,0),64),64),IF(ROUND(H58*64,0)=0,"0",""))&amp;""""))</f>
        <v>7/8"</v>
      </c>
      <c r="H58" s="45" t="n">
        <v>0.875</v>
      </c>
      <c r="I58" s="21" t="n">
        <f aca="false">IF(ISNUMBER(H58),H58*25.4,"")</f>
        <v>22.225</v>
      </c>
      <c r="J58" s="29" t="s">
        <v>40</v>
      </c>
      <c r="K58" s="29" t="n">
        <v>2</v>
      </c>
      <c r="L58" s="45" t="n">
        <v>0.25</v>
      </c>
      <c r="M58" s="45" t="n">
        <v>0.125</v>
      </c>
      <c r="N58" s="29"/>
      <c r="O58" s="25" t="s">
        <v>390</v>
      </c>
      <c r="P58" s="25" t="s">
        <v>297</v>
      </c>
      <c r="Q58" s="25" t="s">
        <v>297</v>
      </c>
      <c r="R58" s="29"/>
      <c r="S58" s="29"/>
      <c r="T58" s="25"/>
      <c r="U58" s="29"/>
      <c r="V58" s="29"/>
      <c r="W58" s="29"/>
      <c r="X58" s="29"/>
      <c r="Y58" s="29"/>
      <c r="Z58" s="29"/>
      <c r="AA58" s="25" t="s">
        <v>391</v>
      </c>
      <c r="AB58" s="29" t="s">
        <v>392</v>
      </c>
      <c r="AC58" s="25" t="s">
        <v>393</v>
      </c>
      <c r="AD58" s="46" t="s">
        <v>152</v>
      </c>
    </row>
    <row r="59" customFormat="false" ht="45.75" hidden="false" customHeight="true" outlineLevel="0" collapsed="false">
      <c r="B59" s="44" t="s">
        <v>394</v>
      </c>
      <c r="C59" s="25" t="s">
        <v>285</v>
      </c>
      <c r="D59" s="29" t="str">
        <f aca="false">IF(NOT(ISNUMBER(E59)),"",IF(E59&lt;=0,"",IF(ABS(E59*64-ROUND(E59*64,0))&gt;0.0005,"≈ ","")&amp;IF(INT(ROUND(E59*64,0)/64)&gt;0,INT(ROUND(E59*64,0)/64)&amp;IF(MOD(ROUND(E59*64,0),64)&gt;0," ",""),"")&amp;IF(MOD(ROUND(E59*64,0),64)&gt;0,MOD(ROUND(E59*64,0),64)/GCD(MOD(ROUND(E59*64,0),64),64)&amp;"/"&amp;64/GCD(MOD(ROUND(E59*64,0),64),64),IF(ROUND(E59*64,0)=0,"0",""))&amp;""""))</f>
        <v>1/8"</v>
      </c>
      <c r="E59" s="45" t="n">
        <v>0.125</v>
      </c>
      <c r="F59" s="21" t="n">
        <f aca="false">IF(ISNUMBER(E59),E59*25.4,"")</f>
        <v>3.175</v>
      </c>
      <c r="G59" s="29" t="str">
        <f aca="false">IF(NOT(ISNUMBER(H59)),"",IF(H59&lt;=0,"",IF(ABS(H59*64-ROUND(H59*64,0))&gt;0.0005,"≈ ","")&amp;IF(INT(ROUND(H59*64,0)/64)&gt;0,INT(ROUND(H59*64,0)/64)&amp;IF(MOD(ROUND(H59*64,0),64)&gt;0," ",""),"")&amp;IF(MOD(ROUND(H59*64,0),64)&gt;0,MOD(ROUND(H59*64,0),64)/GCD(MOD(ROUND(H59*64,0),64),64)&amp;"/"&amp;64/GCD(MOD(ROUND(H59*64,0),64),64),IF(ROUND(H59*64,0)=0,"0",""))&amp;""""))</f>
        <v>1/2"</v>
      </c>
      <c r="H59" s="45" t="n">
        <v>0.5</v>
      </c>
      <c r="I59" s="21" t="n">
        <f aca="false">IF(ISNUMBER(H59),H59*25.4,"")</f>
        <v>12.7</v>
      </c>
      <c r="J59" s="29" t="s">
        <v>40</v>
      </c>
      <c r="K59" s="29" t="n">
        <v>2</v>
      </c>
      <c r="L59" s="45" t="n">
        <v>0.25</v>
      </c>
      <c r="M59" s="45" t="n">
        <v>0.0625</v>
      </c>
      <c r="N59" s="29"/>
      <c r="O59" s="25" t="s">
        <v>395</v>
      </c>
      <c r="P59" s="25" t="s">
        <v>297</v>
      </c>
      <c r="Q59" s="25" t="s">
        <v>297</v>
      </c>
      <c r="R59" s="29"/>
      <c r="S59" s="29"/>
      <c r="T59" s="25"/>
      <c r="U59" s="29"/>
      <c r="V59" s="29"/>
      <c r="W59" s="29"/>
      <c r="X59" s="29"/>
      <c r="Y59" s="29"/>
      <c r="Z59" s="29"/>
      <c r="AA59" s="25" t="s">
        <v>391</v>
      </c>
      <c r="AB59" s="29" t="s">
        <v>392</v>
      </c>
      <c r="AC59" s="25" t="s">
        <v>393</v>
      </c>
      <c r="AD59" s="46" t="s">
        <v>152</v>
      </c>
    </row>
    <row r="60" customFormat="false" ht="45.75" hidden="false" customHeight="true" outlineLevel="0" collapsed="false">
      <c r="B60" s="44" t="s">
        <v>396</v>
      </c>
      <c r="C60" s="25" t="s">
        <v>285</v>
      </c>
      <c r="D60" s="29" t="str">
        <f aca="false">IF(NOT(ISNUMBER(E60)),"",IF(E60&lt;=0,"",IF(ABS(E60*64-ROUND(E60*64,0))&gt;0.0005,"≈ ","")&amp;IF(INT(ROUND(E60*64,0)/64)&gt;0,INT(ROUND(E60*64,0)/64)&amp;IF(MOD(ROUND(E60*64,0),64)&gt;0," ",""),"")&amp;IF(MOD(ROUND(E60*64,0),64)&gt;0,MOD(ROUND(E60*64,0),64)/GCD(MOD(ROUND(E60*64,0),64),64)&amp;"/"&amp;64/GCD(MOD(ROUND(E60*64,0),64),64),IF(ROUND(E60*64,0)=0,"0",""))&amp;""""))</f>
        <v>1/4"</v>
      </c>
      <c r="E60" s="45" t="n">
        <v>0.25</v>
      </c>
      <c r="F60" s="21" t="n">
        <f aca="false">IF(ISNUMBER(E60),E60*25.4,"")</f>
        <v>6.35</v>
      </c>
      <c r="G60" s="29" t="str">
        <f aca="false">IF(NOT(ISNUMBER(H60)),"",IF(H60&lt;=0,"",IF(ABS(H60*64-ROUND(H60*64,0))&gt;0.0005,"≈ ","")&amp;IF(INT(ROUND(H60*64,0)/64)&gt;0,INT(ROUND(H60*64,0)/64)&amp;IF(MOD(ROUND(H60*64,0),64)&gt;0," ",""),"")&amp;IF(MOD(ROUND(H60*64,0),64)&gt;0,MOD(ROUND(H60*64,0),64)/GCD(MOD(ROUND(H60*64,0),64),64)&amp;"/"&amp;64/GCD(MOD(ROUND(H60*64,0),64),64),IF(ROUND(H60*64,0)=0,"0",""))&amp;""""))</f>
        <v>1/8"</v>
      </c>
      <c r="H60" s="45" t="n">
        <v>0.125</v>
      </c>
      <c r="I60" s="21" t="n">
        <f aca="false">IF(ISNUMBER(H60),H60*25.4,"")</f>
        <v>3.175</v>
      </c>
      <c r="J60" s="29"/>
      <c r="K60" s="29" t="n">
        <v>1</v>
      </c>
      <c r="L60" s="45" t="n">
        <v>0.25</v>
      </c>
      <c r="M60" s="29"/>
      <c r="N60" s="29"/>
      <c r="O60" s="25" t="n">
        <v>61025002</v>
      </c>
      <c r="P60" s="25" t="s">
        <v>397</v>
      </c>
      <c r="Q60" s="25"/>
      <c r="R60" s="29" t="s">
        <v>398</v>
      </c>
      <c r="S60" s="29"/>
      <c r="T60" s="25"/>
      <c r="U60" s="29"/>
      <c r="V60" s="29"/>
      <c r="W60" s="29"/>
      <c r="X60" s="29"/>
      <c r="Y60" s="29"/>
      <c r="Z60" s="29"/>
      <c r="AA60" s="25" t="s">
        <v>399</v>
      </c>
      <c r="AB60" s="29" t="s">
        <v>392</v>
      </c>
      <c r="AC60" s="25" t="s">
        <v>400</v>
      </c>
      <c r="AD60" s="46" t="s">
        <v>152</v>
      </c>
    </row>
    <row r="61" customFormat="false" ht="45.75" hidden="false" customHeight="true" outlineLevel="0" collapsed="false">
      <c r="B61" s="44" t="s">
        <v>401</v>
      </c>
      <c r="C61" s="25" t="s">
        <v>285</v>
      </c>
      <c r="D61" s="29" t="str">
        <f aca="false">IF(NOT(ISNUMBER(E61)),"",IF(E61&lt;=0,"",IF(ABS(E61*64-ROUND(E61*64,0))&gt;0.0005,"≈ ","")&amp;IF(INT(ROUND(E61*64,0)/64)&gt;0,INT(ROUND(E61*64,0)/64)&amp;IF(MOD(ROUND(E61*64,0),64)&gt;0," ",""),"")&amp;IF(MOD(ROUND(E61*64,0),64)&gt;0,MOD(ROUND(E61*64,0),64)/GCD(MOD(ROUND(E61*64,0),64),64)&amp;"/"&amp;64/GCD(MOD(ROUND(E61*64,0),64),64),IF(ROUND(E61*64,0)=0,"0",""))&amp;""""))</f>
        <v>1/8"</v>
      </c>
      <c r="E61" s="45" t="n">
        <v>0.125</v>
      </c>
      <c r="F61" s="21" t="n">
        <f aca="false">IF(ISNUMBER(E61),E61*25.4,"")</f>
        <v>3.175</v>
      </c>
      <c r="G61" s="29" t="str">
        <f aca="false">IF(NOT(ISNUMBER(H61)),"",IF(H61&lt;=0,"",IF(ABS(H61*64-ROUND(H61*64,0))&gt;0.0005,"≈ ","")&amp;IF(INT(ROUND(H61*64,0)/64)&gt;0,INT(ROUND(H61*64,0)/64)&amp;IF(MOD(ROUND(H61*64,0),64)&gt;0," ",""),"")&amp;IF(MOD(ROUND(H61*64,0),64)&gt;0,MOD(ROUND(H61*64,0),64)/GCD(MOD(ROUND(H61*64,0),64),64)&amp;"/"&amp;64/GCD(MOD(ROUND(H61*64,0),64),64),IF(ROUND(H61*64,0)=0,"0",""))&amp;""""))</f>
        <v/>
      </c>
      <c r="H61" s="29"/>
      <c r="I61" s="21" t="str">
        <f aca="false">IF(ISNUMBER(H61),H61*25.4,"")</f>
        <v/>
      </c>
      <c r="J61" s="29"/>
      <c r="K61" s="29" t="n">
        <v>1</v>
      </c>
      <c r="L61" s="45" t="n">
        <v>0.25</v>
      </c>
      <c r="M61" s="29"/>
      <c r="N61" s="29"/>
      <c r="O61" s="25" t="s">
        <v>402</v>
      </c>
      <c r="P61" s="25" t="s">
        <v>403</v>
      </c>
      <c r="Q61" s="25"/>
      <c r="R61" s="29"/>
      <c r="S61" s="29"/>
      <c r="T61" s="25"/>
      <c r="U61" s="29"/>
      <c r="V61" s="29"/>
      <c r="W61" s="29"/>
      <c r="X61" s="29"/>
      <c r="Y61" s="29"/>
      <c r="Z61" s="29"/>
      <c r="AA61" s="25" t="s">
        <v>335</v>
      </c>
      <c r="AB61" s="29" t="s">
        <v>392</v>
      </c>
      <c r="AC61" s="25" t="s">
        <v>404</v>
      </c>
      <c r="AD61" s="46" t="s">
        <v>152</v>
      </c>
    </row>
    <row r="62" customFormat="false" ht="45.75" hidden="false" customHeight="true" outlineLevel="0" collapsed="false">
      <c r="B62" s="44" t="s">
        <v>405</v>
      </c>
      <c r="C62" s="25" t="s">
        <v>285</v>
      </c>
      <c r="D62" s="29" t="str">
        <f aca="false">IF(NOT(ISNUMBER(E62)),"",IF(E62&lt;=0,"",IF(ABS(E62*64-ROUND(E62*64,0))&gt;0.0005,"≈ ","")&amp;IF(INT(ROUND(E62*64,0)/64)&gt;0,INT(ROUND(E62*64,0)/64)&amp;IF(MOD(ROUND(E62*64,0),64)&gt;0," ",""),"")&amp;IF(MOD(ROUND(E62*64,0),64)&gt;0,MOD(ROUND(E62*64,0),64)/GCD(MOD(ROUND(E62*64,0),64),64)&amp;"/"&amp;64/GCD(MOD(ROUND(E62*64,0),64),64),IF(ROUND(E62*64,0)=0,"0",""))&amp;""""))</f>
        <v>1/8"</v>
      </c>
      <c r="E62" s="45" t="n">
        <v>0.125</v>
      </c>
      <c r="F62" s="21" t="n">
        <f aca="false">IF(ISNUMBER(E62),E62*25.4,"")</f>
        <v>3.175</v>
      </c>
      <c r="G62" s="29" t="str">
        <f aca="false">IF(NOT(ISNUMBER(H62)),"",IF(H62&lt;=0,"",IF(ABS(H62*64-ROUND(H62*64,0))&gt;0.0005,"≈ ","")&amp;IF(INT(ROUND(H62*64,0)/64)&gt;0,INT(ROUND(H62*64,0)/64)&amp;IF(MOD(ROUND(H62*64,0),64)&gt;0," ",""),"")&amp;IF(MOD(ROUND(H62*64,0),64)&gt;0,MOD(ROUND(H62*64,0),64)/GCD(MOD(ROUND(H62*64,0),64),64)&amp;"/"&amp;64/GCD(MOD(ROUND(H62*64,0),64),64),IF(ROUND(H62*64,0)=0,"0",""))&amp;""""))</f>
        <v/>
      </c>
      <c r="H62" s="29"/>
      <c r="I62" s="21" t="str">
        <f aca="false">IF(ISNUMBER(H62),H62*25.4,"")</f>
        <v/>
      </c>
      <c r="J62" s="29" t="s">
        <v>40</v>
      </c>
      <c r="K62" s="29" t="n">
        <v>1</v>
      </c>
      <c r="L62" s="45" t="n">
        <v>0.125</v>
      </c>
      <c r="M62" s="29"/>
      <c r="N62" s="29"/>
      <c r="O62" s="25" t="s">
        <v>406</v>
      </c>
      <c r="P62" s="25" t="s">
        <v>364</v>
      </c>
      <c r="Q62" s="25"/>
      <c r="R62" s="29" t="s">
        <v>407</v>
      </c>
      <c r="S62" s="29"/>
      <c r="T62" s="25"/>
      <c r="U62" s="29"/>
      <c r="V62" s="29"/>
      <c r="W62" s="29"/>
      <c r="X62" s="29"/>
      <c r="Y62" s="29"/>
      <c r="Z62" s="29"/>
      <c r="AA62" s="25" t="s">
        <v>408</v>
      </c>
      <c r="AB62" s="29" t="s">
        <v>392</v>
      </c>
      <c r="AC62" s="25" t="s">
        <v>400</v>
      </c>
      <c r="AD62" s="46" t="s">
        <v>152</v>
      </c>
    </row>
    <row r="63" customFormat="false" ht="45.75" hidden="false" customHeight="true" outlineLevel="0" collapsed="false">
      <c r="B63" s="44" t="s">
        <v>409</v>
      </c>
      <c r="C63" s="25" t="s">
        <v>285</v>
      </c>
      <c r="D63" s="29" t="str">
        <f aca="false">IF(NOT(ISNUMBER(E63)),"",IF(E63&lt;=0,"",IF(ABS(E63*64-ROUND(E63*64,0))&gt;0.0005,"≈ ","")&amp;IF(INT(ROUND(E63*64,0)/64)&gt;0,INT(ROUND(E63*64,0)/64)&amp;IF(MOD(ROUND(E63*64,0),64)&gt;0," ",""),"")&amp;IF(MOD(ROUND(E63*64,0),64)&gt;0,MOD(ROUND(E63*64,0),64)/GCD(MOD(ROUND(E63*64,0),64),64)&amp;"/"&amp;64/GCD(MOD(ROUND(E63*64,0),64),64),IF(ROUND(E63*64,0)=0,"0",""))&amp;""""))</f>
        <v>1/2"</v>
      </c>
      <c r="E63" s="45" t="n">
        <v>0.5</v>
      </c>
      <c r="F63" s="21" t="n">
        <f aca="false">IF(ISNUMBER(E63),E63*25.4,"")</f>
        <v>12.7</v>
      </c>
      <c r="G63" s="29" t="str">
        <f aca="false">IF(NOT(ISNUMBER(H63)),"",IF(H63&lt;=0,"",IF(ABS(H63*64-ROUND(H63*64,0))&gt;0.0005,"≈ ","")&amp;IF(INT(ROUND(H63*64,0)/64)&gt;0,INT(ROUND(H63*64,0)/64)&amp;IF(MOD(ROUND(H63*64,0),64)&gt;0," ",""),"")&amp;IF(MOD(ROUND(H63*64,0),64)&gt;0,MOD(ROUND(H63*64,0),64)/GCD(MOD(ROUND(H63*64,0),64),64)&amp;"/"&amp;64/GCD(MOD(ROUND(H63*64,0),64),64),IF(ROUND(H63*64,0)=0,"0",""))&amp;""""))</f>
        <v>7/8"</v>
      </c>
      <c r="H63" s="45" t="n">
        <v>0.875</v>
      </c>
      <c r="I63" s="21" t="n">
        <f aca="false">IF(ISNUMBER(H63),H63*25.4,"")</f>
        <v>22.225</v>
      </c>
      <c r="J63" s="29" t="s">
        <v>410</v>
      </c>
      <c r="K63" s="29" t="n">
        <v>2</v>
      </c>
      <c r="L63" s="45" t="n">
        <v>0.5</v>
      </c>
      <c r="M63" s="29"/>
      <c r="N63" s="29"/>
      <c r="O63" s="25" t="s">
        <v>411</v>
      </c>
      <c r="P63" s="25" t="s">
        <v>297</v>
      </c>
      <c r="Q63" s="25" t="s">
        <v>297</v>
      </c>
      <c r="R63" s="29"/>
      <c r="S63" s="29"/>
      <c r="T63" s="25"/>
      <c r="U63" s="29"/>
      <c r="V63" s="29"/>
      <c r="W63" s="29"/>
      <c r="X63" s="29"/>
      <c r="Y63" s="29"/>
      <c r="Z63" s="29"/>
      <c r="AA63" s="25" t="s">
        <v>412</v>
      </c>
      <c r="AB63" s="29" t="s">
        <v>413</v>
      </c>
      <c r="AC63" s="25" t="s">
        <v>414</v>
      </c>
      <c r="AD63" s="46" t="s">
        <v>152</v>
      </c>
    </row>
    <row r="64" customFormat="false" ht="45.75" hidden="false" customHeight="true" outlineLevel="0" collapsed="false">
      <c r="B64" s="44" t="s">
        <v>415</v>
      </c>
      <c r="C64" s="25" t="s">
        <v>285</v>
      </c>
      <c r="D64" s="29" t="str">
        <f aca="false">IF(NOT(ISNUMBER(E64)),"",IF(E64&lt;=0,"",IF(ABS(E64*64-ROUND(E64*64,0))&gt;0.0005,"≈ ","")&amp;IF(INT(ROUND(E64*64,0)/64)&gt;0,INT(ROUND(E64*64,0)/64)&amp;IF(MOD(ROUND(E64*64,0),64)&gt;0," ",""),"")&amp;IF(MOD(ROUND(E64*64,0),64)&gt;0,MOD(ROUND(E64*64,0),64)/GCD(MOD(ROUND(E64*64,0),64),64)&amp;"/"&amp;64/GCD(MOD(ROUND(E64*64,0),64),64),IF(ROUND(E64*64,0)=0,"0",""))&amp;""""))</f>
        <v>3/4"</v>
      </c>
      <c r="E64" s="45" t="n">
        <v>0.75</v>
      </c>
      <c r="F64" s="21" t="n">
        <f aca="false">IF(ISNUMBER(E64),E64*25.4,"")</f>
        <v>19.05</v>
      </c>
      <c r="G64" s="29" t="str">
        <f aca="false">IF(NOT(ISNUMBER(H64)),"",IF(H64&lt;=0,"",IF(ABS(H64*64-ROUND(H64*64,0))&gt;0.0005,"≈ ","")&amp;IF(INT(ROUND(H64*64,0)/64)&gt;0,INT(ROUND(H64*64,0)/64)&amp;IF(MOD(ROUND(H64*64,0),64)&gt;0," ",""),"")&amp;IF(MOD(ROUND(H64*64,0),64)&gt;0,MOD(ROUND(H64*64,0),64)/GCD(MOD(ROUND(H64*64,0),64),64)&amp;"/"&amp;64/GCD(MOD(ROUND(H64*64,0),64),64),IF(ROUND(H64*64,0)=0,"0",""))&amp;""""))</f>
        <v>≈ 15/64"</v>
      </c>
      <c r="H64" s="45" t="n">
        <v>0.24</v>
      </c>
      <c r="I64" s="21" t="n">
        <f aca="false">IF(ISNUMBER(H64),H64*25.4,"")</f>
        <v>6.096</v>
      </c>
      <c r="J64" s="29"/>
      <c r="K64" s="29" t="n">
        <v>10</v>
      </c>
      <c r="L64" s="45" t="n">
        <v>0.25</v>
      </c>
      <c r="M64" s="29"/>
      <c r="N64" s="29"/>
      <c r="O64" s="25" t="n">
        <v>899840</v>
      </c>
      <c r="P64" s="25" t="s">
        <v>361</v>
      </c>
      <c r="Q64" s="25" t="s">
        <v>157</v>
      </c>
      <c r="R64" s="29"/>
      <c r="S64" s="29"/>
      <c r="T64" s="25"/>
      <c r="U64" s="29"/>
      <c r="V64" s="29"/>
      <c r="W64" s="29"/>
      <c r="X64" s="29"/>
      <c r="Y64" s="29"/>
      <c r="Z64" s="29"/>
      <c r="AA64" s="25" t="s">
        <v>335</v>
      </c>
      <c r="AB64" s="29" t="s">
        <v>413</v>
      </c>
      <c r="AC64" s="25" t="s">
        <v>416</v>
      </c>
      <c r="AD64" s="46" t="s">
        <v>152</v>
      </c>
    </row>
    <row r="65" customFormat="false" ht="45.75" hidden="false" customHeight="true" outlineLevel="0" collapsed="false">
      <c r="B65" s="44" t="s">
        <v>417</v>
      </c>
      <c r="C65" s="25" t="s">
        <v>285</v>
      </c>
      <c r="D65" s="29" t="str">
        <f aca="false">IF(NOT(ISNUMBER(E65)),"",IF(E65&lt;=0,"",IF(ABS(E65*64-ROUND(E65*64,0))&gt;0.0005,"≈ ","")&amp;IF(INT(ROUND(E65*64,0)/64)&gt;0,INT(ROUND(E65*64,0)/64)&amp;IF(MOD(ROUND(E65*64,0),64)&gt;0," ",""),"")&amp;IF(MOD(ROUND(E65*64,0),64)&gt;0,MOD(ROUND(E65*64,0),64)/GCD(MOD(ROUND(E65*64,0),64),64)&amp;"/"&amp;64/GCD(MOD(ROUND(E65*64,0),64),64),IF(ROUND(E65*64,0)=0,"0",""))&amp;""""))</f>
        <v>≈ 3/32"</v>
      </c>
      <c r="E65" s="45" t="n">
        <v>0.098</v>
      </c>
      <c r="F65" s="21" t="n">
        <f aca="false">IF(ISNUMBER(E65),E65*25.4,"")</f>
        <v>2.4892</v>
      </c>
      <c r="G65" s="29" t="str">
        <f aca="false">IF(NOT(ISNUMBER(H65)),"",IF(H65&lt;=0,"",IF(ABS(H65*64-ROUND(H65*64,0))&gt;0.0005,"≈ ","")&amp;IF(INT(ROUND(H65*64,0)/64)&gt;0,INT(ROUND(H65*64,0)/64)&amp;IF(MOD(ROUND(H65*64,0),64)&gt;0," ",""),"")&amp;IF(MOD(ROUND(H65*64,0),64)&gt;0,MOD(ROUND(H65*64,0),64)/GCD(MOD(ROUND(H65*64,0),64),64)&amp;"/"&amp;64/GCD(MOD(ROUND(H65*64,0),64),64),IF(ROUND(H65*64,0)=0,"0",""))&amp;""""))</f>
        <v>1/4"</v>
      </c>
      <c r="H65" s="45" t="n">
        <v>0.25</v>
      </c>
      <c r="I65" s="21" t="n">
        <f aca="false">IF(ISNUMBER(H65),H65*25.4,"")</f>
        <v>6.35</v>
      </c>
      <c r="J65" s="29" t="s">
        <v>200</v>
      </c>
      <c r="K65" s="29" t="n">
        <v>4</v>
      </c>
      <c r="L65" s="45" t="n">
        <v>0.1875</v>
      </c>
      <c r="M65" s="29"/>
      <c r="N65" s="29"/>
      <c r="O65" s="25" t="s">
        <v>418</v>
      </c>
      <c r="P65" s="25" t="s">
        <v>361</v>
      </c>
      <c r="Q65" s="25" t="s">
        <v>157</v>
      </c>
      <c r="R65" s="29" t="s">
        <v>419</v>
      </c>
      <c r="S65" s="29"/>
      <c r="T65" s="25"/>
      <c r="U65" s="29"/>
      <c r="V65" s="29"/>
      <c r="W65" s="29"/>
      <c r="X65" s="29"/>
      <c r="Y65" s="29"/>
      <c r="Z65" s="29"/>
      <c r="AA65" s="25" t="s">
        <v>420</v>
      </c>
      <c r="AB65" s="29" t="s">
        <v>421</v>
      </c>
      <c r="AC65" s="25" t="s">
        <v>422</v>
      </c>
      <c r="AD65" s="46" t="s">
        <v>152</v>
      </c>
    </row>
    <row r="66" customFormat="false" ht="45.75" hidden="false" customHeight="true" outlineLevel="0" collapsed="false">
      <c r="B66" s="44" t="s">
        <v>423</v>
      </c>
      <c r="C66" s="25" t="s">
        <v>285</v>
      </c>
      <c r="D66" s="29" t="str">
        <f aca="false">IF(NOT(ISNUMBER(E66)),"",IF(E66&lt;=0,"",IF(ABS(E66*64-ROUND(E66*64,0))&gt;0.0005,"≈ ","")&amp;IF(INT(ROUND(E66*64,0)/64)&gt;0,INT(ROUND(E66*64,0)/64)&amp;IF(MOD(ROUND(E66*64,0),64)&gt;0," ",""),"")&amp;IF(MOD(ROUND(E66*64,0),64)&gt;0,MOD(ROUND(E66*64,0),64)/GCD(MOD(ROUND(E66*64,0),64),64)&amp;"/"&amp;64/GCD(MOD(ROUND(E66*64,0),64),64),IF(ROUND(E66*64,0)=0,"0",""))&amp;""""))</f>
        <v>≈ 3/16"</v>
      </c>
      <c r="E66" s="45" t="n">
        <v>0.18</v>
      </c>
      <c r="F66" s="21" t="n">
        <f aca="false">IF(ISNUMBER(E66),E66*25.4,"")</f>
        <v>4.572</v>
      </c>
      <c r="G66" s="29" t="str">
        <f aca="false">IF(NOT(ISNUMBER(H66)),"",IF(H66&lt;=0,"",IF(ABS(H66*64-ROUND(H66*64,0))&gt;0.0005,"≈ ","")&amp;IF(INT(ROUND(H66*64,0)/64)&gt;0,INT(ROUND(H66*64,0)/64)&amp;IF(MOD(ROUND(H66*64,0),64)&gt;0," ",""),"")&amp;IF(MOD(ROUND(H66*64,0),64)&gt;0,MOD(ROUND(H66*64,0),64)/GCD(MOD(ROUND(H66*64,0),64),64)&amp;"/"&amp;64/GCD(MOD(ROUND(H66*64,0),64),64),IF(ROUND(H66*64,0)=0,"0",""))&amp;""""))</f>
        <v>1/2"</v>
      </c>
      <c r="H66" s="45" t="n">
        <v>0.5</v>
      </c>
      <c r="I66" s="21" t="n">
        <f aca="false">IF(ISNUMBER(H66),H66*25.4,"")</f>
        <v>12.7</v>
      </c>
      <c r="J66" s="29" t="s">
        <v>200</v>
      </c>
      <c r="K66" s="29" t="n">
        <v>4</v>
      </c>
      <c r="L66" s="45" t="n">
        <v>0.25</v>
      </c>
      <c r="M66" s="29"/>
      <c r="N66" s="29"/>
      <c r="O66" s="25" t="n">
        <v>71050</v>
      </c>
      <c r="P66" s="25" t="s">
        <v>361</v>
      </c>
      <c r="Q66" s="25" t="s">
        <v>157</v>
      </c>
      <c r="R66" s="29" t="s">
        <v>424</v>
      </c>
      <c r="S66" s="29"/>
      <c r="T66" s="25"/>
      <c r="U66" s="29"/>
      <c r="V66" s="29"/>
      <c r="W66" s="29"/>
      <c r="X66" s="29"/>
      <c r="Y66" s="29"/>
      <c r="Z66" s="29"/>
      <c r="AA66" s="25" t="s">
        <v>425</v>
      </c>
      <c r="AB66" s="29" t="s">
        <v>421</v>
      </c>
      <c r="AC66" s="25" t="s">
        <v>426</v>
      </c>
      <c r="AD66" s="46" t="s">
        <v>152</v>
      </c>
    </row>
    <row r="67" customFormat="false" ht="45.75" hidden="false" customHeight="true" outlineLevel="0" collapsed="false">
      <c r="B67" s="44" t="s">
        <v>427</v>
      </c>
      <c r="C67" s="25" t="s">
        <v>285</v>
      </c>
      <c r="D67" s="29" t="str">
        <f aca="false">IF(NOT(ISNUMBER(E67)),"",IF(E67&lt;=0,"",IF(ABS(E67*64-ROUND(E67*64,0))&gt;0.0005,"≈ ","")&amp;IF(INT(ROUND(E67*64,0)/64)&gt;0,INT(ROUND(E67*64,0)/64)&amp;IF(MOD(ROUND(E67*64,0),64)&gt;0," ",""),"")&amp;IF(MOD(ROUND(E67*64,0),64)&gt;0,MOD(ROUND(E67*64,0),64)/GCD(MOD(ROUND(E67*64,0),64),64)&amp;"/"&amp;64/GCD(MOD(ROUND(E67*64,0),64),64),IF(ROUND(E67*64,0)=0,"0",""))&amp;""""))</f>
        <v>3/8"</v>
      </c>
      <c r="E67" s="45" t="n">
        <v>0.375</v>
      </c>
      <c r="F67" s="21" t="n">
        <f aca="false">IF(ISNUMBER(E67),E67*25.4,"")</f>
        <v>9.525</v>
      </c>
      <c r="G67" s="29" t="str">
        <f aca="false">IF(NOT(ISNUMBER(H67)),"",IF(H67&lt;=0,"",IF(ABS(H67*64-ROUND(H67*64,0))&gt;0.0005,"≈ ","")&amp;IF(INT(ROUND(H67*64,0)/64)&gt;0,INT(ROUND(H67*64,0)/64)&amp;IF(MOD(ROUND(H67*64,0),64)&gt;0," ",""),"")&amp;IF(MOD(ROUND(H67*64,0),64)&gt;0,MOD(ROUND(H67*64,0),64)/GCD(MOD(ROUND(H67*64,0),64),64)&amp;"/"&amp;64/GCD(MOD(ROUND(H67*64,0),64),64),IF(ROUND(H67*64,0)=0,"0",""))&amp;""""))</f>
        <v>1/2"</v>
      </c>
      <c r="H67" s="45" t="n">
        <v>0.5</v>
      </c>
      <c r="I67" s="21" t="n">
        <f aca="false">IF(ISNUMBER(H67),H67*25.4,"")</f>
        <v>12.7</v>
      </c>
      <c r="J67" s="29" t="s">
        <v>428</v>
      </c>
      <c r="K67" s="29" t="n">
        <v>2</v>
      </c>
      <c r="L67" s="45" t="n">
        <v>0.375</v>
      </c>
      <c r="M67" s="45" t="n">
        <v>0.375</v>
      </c>
      <c r="N67" s="29"/>
      <c r="O67" s="25" t="s">
        <v>429</v>
      </c>
      <c r="P67" s="25" t="s">
        <v>297</v>
      </c>
      <c r="Q67" s="25" t="s">
        <v>297</v>
      </c>
      <c r="R67" s="29"/>
      <c r="S67" s="29"/>
      <c r="T67" s="25"/>
      <c r="U67" s="29"/>
      <c r="V67" s="29"/>
      <c r="W67" s="29"/>
      <c r="X67" s="29"/>
      <c r="Y67" s="29"/>
      <c r="Z67" s="29"/>
      <c r="AA67" s="25" t="s">
        <v>430</v>
      </c>
      <c r="AB67" s="29" t="s">
        <v>421</v>
      </c>
      <c r="AC67" s="25"/>
      <c r="AD67" s="46" t="s">
        <v>152</v>
      </c>
    </row>
    <row r="68" customFormat="false" ht="45.75" hidden="false" customHeight="true" outlineLevel="0" collapsed="false">
      <c r="B68" s="44" t="s">
        <v>431</v>
      </c>
      <c r="C68" s="25" t="s">
        <v>285</v>
      </c>
      <c r="D68" s="29" t="str">
        <f aca="false">IF(NOT(ISNUMBER(E68)),"",IF(E68&lt;=0,"",IF(ABS(E68*64-ROUND(E68*64,0))&gt;0.0005,"≈ ","")&amp;IF(INT(ROUND(E68*64,0)/64)&gt;0,INT(ROUND(E68*64,0)/64)&amp;IF(MOD(ROUND(E68*64,0),64)&gt;0," ",""),"")&amp;IF(MOD(ROUND(E68*64,0),64)&gt;0,MOD(ROUND(E68*64,0),64)/GCD(MOD(ROUND(E68*64,0),64),64)&amp;"/"&amp;64/GCD(MOD(ROUND(E68*64,0),64),64),IF(ROUND(E68*64,0)=0,"0",""))&amp;""""))</f>
        <v>1 1/2"</v>
      </c>
      <c r="E68" s="45" t="n">
        <v>1.5</v>
      </c>
      <c r="F68" s="21" t="n">
        <f aca="false">IF(ISNUMBER(E68),E68*25.4,"")</f>
        <v>38.1</v>
      </c>
      <c r="G68" s="29" t="str">
        <f aca="false">IF(NOT(ISNUMBER(H68)),"",IF(H68&lt;=0,"",IF(ABS(H68*64-ROUND(H68*64,0))&gt;0.0005,"≈ ","")&amp;IF(INT(ROUND(H68*64,0)/64)&gt;0,INT(ROUND(H68*64,0)/64)&amp;IF(MOD(ROUND(H68*64,0),64)&gt;0," ",""),"")&amp;IF(MOD(ROUND(H68*64,0),64)&gt;0,MOD(ROUND(H68*64,0),64)/GCD(MOD(ROUND(H68*64,0),64),64)&amp;"/"&amp;64/GCD(MOD(ROUND(H68*64,0),64),64),IF(ROUND(H68*64,0)=0,"0",""))&amp;""""))</f>
        <v>1/8"</v>
      </c>
      <c r="H68" s="45" t="n">
        <v>0.125</v>
      </c>
      <c r="I68" s="21" t="n">
        <f aca="false">IF(ISNUMBER(H68),H68*25.4,"")</f>
        <v>3.175</v>
      </c>
      <c r="J68" s="29"/>
      <c r="K68" s="29" t="n">
        <v>16</v>
      </c>
      <c r="L68" s="45" t="n">
        <v>0.5</v>
      </c>
      <c r="M68" s="29"/>
      <c r="N68" s="29"/>
      <c r="O68" s="25" t="n">
        <v>887050</v>
      </c>
      <c r="P68" s="25" t="s">
        <v>361</v>
      </c>
      <c r="Q68" s="25" t="s">
        <v>157</v>
      </c>
      <c r="R68" s="29" t="s">
        <v>424</v>
      </c>
      <c r="S68" s="29"/>
      <c r="T68" s="25"/>
      <c r="U68" s="29"/>
      <c r="V68" s="29"/>
      <c r="W68" s="29"/>
      <c r="X68" s="29"/>
      <c r="Y68" s="29"/>
      <c r="Z68" s="29"/>
      <c r="AA68" s="25" t="s">
        <v>432</v>
      </c>
      <c r="AB68" s="29" t="s">
        <v>433</v>
      </c>
      <c r="AC68" s="25" t="s">
        <v>416</v>
      </c>
      <c r="AD68" s="46" t="s">
        <v>152</v>
      </c>
    </row>
    <row r="69" customFormat="false" ht="45.75" hidden="false" customHeight="true" outlineLevel="0" collapsed="false">
      <c r="B69" s="44" t="s">
        <v>434</v>
      </c>
      <c r="C69" s="25" t="s">
        <v>285</v>
      </c>
      <c r="D69" s="29" t="str">
        <f aca="false">IF(NOT(ISNUMBER(E69)),"",IF(E69&lt;=0,"",IF(ABS(E69*64-ROUND(E69*64,0))&gt;0.0005,"≈ ","")&amp;IF(INT(ROUND(E69*64,0)/64)&gt;0,INT(ROUND(E69*64,0)/64)&amp;IF(MOD(ROUND(E69*64,0),64)&gt;0," ",""),"")&amp;IF(MOD(ROUND(E69*64,0),64)&gt;0,MOD(ROUND(E69*64,0),64)/GCD(MOD(ROUND(E69*64,0),64),64)&amp;"/"&amp;64/GCD(MOD(ROUND(E69*64,0),64),64),IF(ROUND(E69*64,0)=0,"0",""))&amp;""""))</f>
        <v>3/8"</v>
      </c>
      <c r="E69" s="45" t="n">
        <v>0.375</v>
      </c>
      <c r="F69" s="21" t="n">
        <f aca="false">IF(ISNUMBER(E69),E69*25.4,"")</f>
        <v>9.525</v>
      </c>
      <c r="G69" s="29" t="str">
        <f aca="false">IF(NOT(ISNUMBER(H69)),"",IF(H69&lt;=0,"",IF(ABS(H69*64-ROUND(H69*64,0))&gt;0.0005,"≈ ","")&amp;IF(INT(ROUND(H69*64,0)/64)&gt;0,INT(ROUND(H69*64,0)/64)&amp;IF(MOD(ROUND(H69*64,0),64)&gt;0," ",""),"")&amp;IF(MOD(ROUND(H69*64,0),64)&gt;0,MOD(ROUND(H69*64,0),64)/GCD(MOD(ROUND(H69*64,0),64),64)&amp;"/"&amp;64/GCD(MOD(ROUND(H69*64,0),64),64),IF(ROUND(H69*64,0)=0,"0",""))&amp;""""))</f>
        <v>1 1/8"</v>
      </c>
      <c r="H69" s="45" t="n">
        <v>1.125</v>
      </c>
      <c r="I69" s="21" t="n">
        <f aca="false">IF(ISNUMBER(H69),H69*25.4,"")</f>
        <v>28.575</v>
      </c>
      <c r="J69" s="29" t="s">
        <v>40</v>
      </c>
      <c r="K69" s="29" t="n">
        <v>1</v>
      </c>
      <c r="L69" s="45" t="n">
        <v>0.375</v>
      </c>
      <c r="M69" s="29"/>
      <c r="N69" s="29"/>
      <c r="O69" s="25" t="s">
        <v>435</v>
      </c>
      <c r="P69" s="25" t="s">
        <v>297</v>
      </c>
      <c r="Q69" s="25" t="s">
        <v>297</v>
      </c>
      <c r="R69" s="29"/>
      <c r="S69" s="29"/>
      <c r="T69" s="25"/>
      <c r="U69" s="29"/>
      <c r="V69" s="29"/>
      <c r="W69" s="29"/>
      <c r="X69" s="29"/>
      <c r="Y69" s="29"/>
      <c r="Z69" s="29"/>
      <c r="AA69" s="25" t="s">
        <v>436</v>
      </c>
      <c r="AB69" s="29" t="s">
        <v>437</v>
      </c>
      <c r="AC69" s="25"/>
      <c r="AD69" s="46" t="s">
        <v>152</v>
      </c>
    </row>
    <row r="70" customFormat="false" ht="45.75" hidden="false" customHeight="true" outlineLevel="0" collapsed="false">
      <c r="B70" s="44" t="s">
        <v>438</v>
      </c>
      <c r="C70" s="25" t="s">
        <v>285</v>
      </c>
      <c r="D70" s="29" t="str">
        <f aca="false">IF(NOT(ISNUMBER(E70)),"",IF(E70&lt;=0,"",IF(ABS(E70*64-ROUND(E70*64,0))&gt;0.0005,"≈ ","")&amp;IF(INT(ROUND(E70*64,0)/64)&gt;0,INT(ROUND(E70*64,0)/64)&amp;IF(MOD(ROUND(E70*64,0),64)&gt;0," ",""),"")&amp;IF(MOD(ROUND(E70*64,0),64)&gt;0,MOD(ROUND(E70*64,0),64)/GCD(MOD(ROUND(E70*64,0),64),64)&amp;"/"&amp;64/GCD(MOD(ROUND(E70*64,0),64),64),IF(ROUND(E70*64,0)=0,"0",""))&amp;""""))</f>
        <v>3/8"</v>
      </c>
      <c r="E70" s="45" t="n">
        <v>0.375</v>
      </c>
      <c r="F70" s="21" t="n">
        <f aca="false">IF(ISNUMBER(E70),E70*25.4,"")</f>
        <v>9.525</v>
      </c>
      <c r="G70" s="29" t="str">
        <f aca="false">IF(NOT(ISNUMBER(H70)),"",IF(H70&lt;=0,"",IF(ABS(H70*64-ROUND(H70*64,0))&gt;0.0005,"≈ ","")&amp;IF(INT(ROUND(H70*64,0)/64)&gt;0,INT(ROUND(H70*64,0)/64)&amp;IF(MOD(ROUND(H70*64,0),64)&gt;0," ",""),"")&amp;IF(MOD(ROUND(H70*64,0),64)&gt;0,MOD(ROUND(H70*64,0),64)/GCD(MOD(ROUND(H70*64,0),64),64)&amp;"/"&amp;64/GCD(MOD(ROUND(H70*64,0),64),64),IF(ROUND(H70*64,0)=0,"0",""))&amp;""""))</f>
        <v>1 5/8"</v>
      </c>
      <c r="H70" s="45" t="n">
        <v>1.625</v>
      </c>
      <c r="I70" s="21" t="n">
        <f aca="false">IF(ISNUMBER(H70),H70*25.4,"")</f>
        <v>41.275</v>
      </c>
      <c r="J70" s="29" t="s">
        <v>40</v>
      </c>
      <c r="K70" s="29" t="n">
        <v>1</v>
      </c>
      <c r="L70" s="45" t="n">
        <v>0.375</v>
      </c>
      <c r="M70" s="29"/>
      <c r="N70" s="29"/>
      <c r="O70" s="25" t="s">
        <v>439</v>
      </c>
      <c r="P70" s="25" t="s">
        <v>297</v>
      </c>
      <c r="Q70" s="25" t="s">
        <v>297</v>
      </c>
      <c r="R70" s="29"/>
      <c r="S70" s="29"/>
      <c r="T70" s="25"/>
      <c r="U70" s="29"/>
      <c r="V70" s="29"/>
      <c r="W70" s="29"/>
      <c r="X70" s="29"/>
      <c r="Y70" s="29"/>
      <c r="Z70" s="29"/>
      <c r="AA70" s="25" t="s">
        <v>306</v>
      </c>
      <c r="AB70" s="29" t="s">
        <v>440</v>
      </c>
      <c r="AC70" s="25"/>
      <c r="AD70" s="46" t="s">
        <v>152</v>
      </c>
    </row>
    <row r="71" customFormat="false" ht="45.75" hidden="false" customHeight="true" outlineLevel="0" collapsed="false">
      <c r="B71" s="44" t="s">
        <v>441</v>
      </c>
      <c r="C71" s="25" t="s">
        <v>285</v>
      </c>
      <c r="D71" s="29" t="str">
        <f aca="false">IF(NOT(ISNUMBER(E71)),"",IF(E71&lt;=0,"",IF(ABS(E71*64-ROUND(E71*64,0))&gt;0.0005,"≈ ","")&amp;IF(INT(ROUND(E71*64,0)/64)&gt;0,INT(ROUND(E71*64,0)/64)&amp;IF(MOD(ROUND(E71*64,0),64)&gt;0," ",""),"")&amp;IF(MOD(ROUND(E71*64,0),64)&gt;0,MOD(ROUND(E71*64,0),64)/GCD(MOD(ROUND(E71*64,0),64),64)&amp;"/"&amp;64/GCD(MOD(ROUND(E71*64,0),64),64),IF(ROUND(E71*64,0)=0,"0",""))&amp;""""))</f>
        <v>1/16"</v>
      </c>
      <c r="E71" s="45" t="n">
        <v>0.0625</v>
      </c>
      <c r="F71" s="21" t="n">
        <f aca="false">IF(ISNUMBER(E71),E71*25.4,"")</f>
        <v>1.5875</v>
      </c>
      <c r="G71" s="29" t="str">
        <f aca="false">IF(NOT(ISNUMBER(H71)),"",IF(H71&lt;=0,"",IF(ABS(H71*64-ROUND(H71*64,0))&gt;0.0005,"≈ ","")&amp;IF(INT(ROUND(H71*64,0)/64)&gt;0,INT(ROUND(H71*64,0)/64)&amp;IF(MOD(ROUND(H71*64,0),64)&gt;0," ",""),"")&amp;IF(MOD(ROUND(H71*64,0),64)&gt;0,MOD(ROUND(H71*64,0),64)/GCD(MOD(ROUND(H71*64,0),64),64)&amp;"/"&amp;64/GCD(MOD(ROUND(H71*64,0),64),64),IF(ROUND(H71*64,0)=0,"0",""))&amp;""""))</f>
        <v>1/4"</v>
      </c>
      <c r="H71" s="45" t="n">
        <v>0.25</v>
      </c>
      <c r="I71" s="21" t="n">
        <f aca="false">IF(ISNUMBER(H71),H71*25.4,"")</f>
        <v>6.35</v>
      </c>
      <c r="J71" s="29" t="s">
        <v>40</v>
      </c>
      <c r="K71" s="29" t="n">
        <v>1</v>
      </c>
      <c r="L71" s="45" t="n">
        <v>0.125</v>
      </c>
      <c r="M71" s="29"/>
      <c r="N71" s="29"/>
      <c r="O71" s="25" t="s">
        <v>442</v>
      </c>
      <c r="P71" s="25" t="s">
        <v>297</v>
      </c>
      <c r="Q71" s="25" t="s">
        <v>297</v>
      </c>
      <c r="R71" s="29"/>
      <c r="S71" s="29"/>
      <c r="T71" s="25"/>
      <c r="U71" s="29"/>
      <c r="V71" s="29"/>
      <c r="W71" s="29"/>
      <c r="X71" s="29"/>
      <c r="Y71" s="29"/>
      <c r="Z71" s="29"/>
      <c r="AA71" s="25" t="s">
        <v>306</v>
      </c>
      <c r="AB71" s="29" t="s">
        <v>443</v>
      </c>
      <c r="AC71" s="25"/>
      <c r="AD71" s="46" t="s">
        <v>152</v>
      </c>
    </row>
    <row r="72" customFormat="false" ht="45.75" hidden="false" customHeight="true" outlineLevel="0" collapsed="false">
      <c r="B72" s="44" t="s">
        <v>444</v>
      </c>
      <c r="C72" s="25" t="s">
        <v>285</v>
      </c>
      <c r="D72" s="29" t="str">
        <f aca="false">IF(NOT(ISNUMBER(E72)),"",IF(E72&lt;=0,"",IF(ABS(E72*64-ROUND(E72*64,0))&gt;0.0005,"≈ ","")&amp;IF(INT(ROUND(E72*64,0)/64)&gt;0,INT(ROUND(E72*64,0)/64)&amp;IF(MOD(ROUND(E72*64,0),64)&gt;0," ",""),"")&amp;IF(MOD(ROUND(E72*64,0),64)&gt;0,MOD(ROUND(E72*64,0),64)/GCD(MOD(ROUND(E72*64,0),64),64)&amp;"/"&amp;64/GCD(MOD(ROUND(E72*64,0),64),64),IF(ROUND(E72*64,0)=0,"0",""))&amp;""""))</f>
        <v>1/2"</v>
      </c>
      <c r="E72" s="45" t="n">
        <v>0.5</v>
      </c>
      <c r="F72" s="21" t="n">
        <f aca="false">IF(ISNUMBER(E72),E72*25.4,"")</f>
        <v>12.7</v>
      </c>
      <c r="G72" s="29" t="str">
        <f aca="false">IF(NOT(ISNUMBER(H72)),"",IF(H72&lt;=0,"",IF(ABS(H72*64-ROUND(H72*64,0))&gt;0.0005,"≈ ","")&amp;IF(INT(ROUND(H72*64,0)/64)&gt;0,INT(ROUND(H72*64,0)/64)&amp;IF(MOD(ROUND(H72*64,0),64)&gt;0," ",""),"")&amp;IF(MOD(ROUND(H72*64,0),64)&gt;0,MOD(ROUND(H72*64,0),64)/GCD(MOD(ROUND(H72*64,0),64),64)&amp;"/"&amp;64/GCD(MOD(ROUND(H72*64,0),64),64),IF(ROUND(H72*64,0)=0,"0",""))&amp;""""))</f>
        <v>7/8"</v>
      </c>
      <c r="H72" s="45" t="n">
        <v>0.875</v>
      </c>
      <c r="I72" s="21" t="n">
        <f aca="false">IF(ISNUMBER(H72),H72*25.4,"")</f>
        <v>22.225</v>
      </c>
      <c r="J72" s="29" t="s">
        <v>40</v>
      </c>
      <c r="K72" s="29" t="n">
        <v>2</v>
      </c>
      <c r="L72" s="45" t="n">
        <v>0.5</v>
      </c>
      <c r="M72" s="45" t="n">
        <v>0.002</v>
      </c>
      <c r="N72" s="29"/>
      <c r="O72" s="25" t="s">
        <v>445</v>
      </c>
      <c r="P72" s="25" t="s">
        <v>297</v>
      </c>
      <c r="Q72" s="25" t="s">
        <v>297</v>
      </c>
      <c r="R72" s="29"/>
      <c r="S72" s="29"/>
      <c r="T72" s="25"/>
      <c r="U72" s="29"/>
      <c r="V72" s="29"/>
      <c r="W72" s="29"/>
      <c r="X72" s="29"/>
      <c r="Y72" s="29"/>
      <c r="Z72" s="29"/>
      <c r="AA72" s="25" t="s">
        <v>327</v>
      </c>
      <c r="AB72" s="29" t="s">
        <v>446</v>
      </c>
      <c r="AC72" s="25"/>
      <c r="AD72" s="46" t="s">
        <v>152</v>
      </c>
    </row>
    <row r="73" customFormat="false" ht="45.75" hidden="false" customHeight="true" outlineLevel="0" collapsed="false">
      <c r="B73" s="44" t="s">
        <v>447</v>
      </c>
      <c r="C73" s="25" t="s">
        <v>285</v>
      </c>
      <c r="D73" s="29" t="str">
        <f aca="false">IF(NOT(ISNUMBER(E73)),"",IF(E73&lt;=0,"",IF(ABS(E73*64-ROUND(E73*64,0))&gt;0.0005,"≈ ","")&amp;IF(INT(ROUND(E73*64,0)/64)&gt;0,INT(ROUND(E73*64,0)/64)&amp;IF(MOD(ROUND(E73*64,0),64)&gt;0," ",""),"")&amp;IF(MOD(ROUND(E73*64,0),64)&gt;0,MOD(ROUND(E73*64,0),64)/GCD(MOD(ROUND(E73*64,0),64),64)&amp;"/"&amp;64/GCD(MOD(ROUND(E73*64,0),64),64),IF(ROUND(E73*64,0)=0,"0",""))&amp;""""))</f>
        <v>1/2"</v>
      </c>
      <c r="E73" s="45" t="n">
        <v>0.5</v>
      </c>
      <c r="F73" s="21" t="n">
        <f aca="false">IF(ISNUMBER(E73),E73*25.4,"")</f>
        <v>12.7</v>
      </c>
      <c r="G73" s="29" t="str">
        <f aca="false">IF(NOT(ISNUMBER(H73)),"",IF(H73&lt;=0,"",IF(ABS(H73*64-ROUND(H73*64,0))&gt;0.0005,"≈ ","")&amp;IF(INT(ROUND(H73*64,0)/64)&gt;0,INT(ROUND(H73*64,0)/64)&amp;IF(MOD(ROUND(H73*64,0),64)&gt;0," ",""),"")&amp;IF(MOD(ROUND(H73*64,0),64)&gt;0,MOD(ROUND(H73*64,0),64)/GCD(MOD(ROUND(H73*64,0),64),64)&amp;"/"&amp;64/GCD(MOD(ROUND(H73*64,0),64),64),IF(ROUND(H73*64,0)=0,"0",""))&amp;""""))</f>
        <v>1 3/4"</v>
      </c>
      <c r="H73" s="45" t="n">
        <v>1.75</v>
      </c>
      <c r="I73" s="21" t="n">
        <f aca="false">IF(ISNUMBER(H73),H73*25.4,"")</f>
        <v>44.45</v>
      </c>
      <c r="J73" s="29" t="s">
        <v>40</v>
      </c>
      <c r="K73" s="29" t="n">
        <v>2</v>
      </c>
      <c r="L73" s="45" t="n">
        <v>0.5</v>
      </c>
      <c r="M73" s="29"/>
      <c r="N73" s="29"/>
      <c r="O73" s="25" t="s">
        <v>448</v>
      </c>
      <c r="P73" s="25" t="s">
        <v>297</v>
      </c>
      <c r="Q73" s="25" t="s">
        <v>297</v>
      </c>
      <c r="R73" s="29"/>
      <c r="S73" s="29"/>
      <c r="T73" s="25"/>
      <c r="U73" s="29"/>
      <c r="V73" s="29"/>
      <c r="W73" s="29"/>
      <c r="X73" s="29"/>
      <c r="Y73" s="29"/>
      <c r="Z73" s="29"/>
      <c r="AA73" s="25" t="s">
        <v>381</v>
      </c>
      <c r="AB73" s="29" t="s">
        <v>449</v>
      </c>
      <c r="AC73" s="25"/>
      <c r="AD73" s="46" t="s">
        <v>152</v>
      </c>
    </row>
    <row r="74" customFormat="false" ht="45.75" hidden="false" customHeight="true" outlineLevel="0" collapsed="false">
      <c r="B74" s="44" t="s">
        <v>450</v>
      </c>
      <c r="C74" s="25" t="s">
        <v>285</v>
      </c>
      <c r="D74" s="29" t="str">
        <f aca="false">IF(NOT(ISNUMBER(E74)),"",IF(E74&lt;=0,"",IF(ABS(E74*64-ROUND(E74*64,0))&gt;0.0005,"≈ ","")&amp;IF(INT(ROUND(E74*64,0)/64)&gt;0,INT(ROUND(E74*64,0)/64)&amp;IF(MOD(ROUND(E74*64,0),64)&gt;0," ",""),"")&amp;IF(MOD(ROUND(E74*64,0),64)&gt;0,MOD(ROUND(E74*64,0),64)/GCD(MOD(ROUND(E74*64,0),64),64)&amp;"/"&amp;64/GCD(MOD(ROUND(E74*64,0),64),64),IF(ROUND(E74*64,0)=0,"0",""))&amp;""""))</f>
        <v>1/2"</v>
      </c>
      <c r="E74" s="45" t="n">
        <v>0.5</v>
      </c>
      <c r="F74" s="21" t="n">
        <f aca="false">IF(ISNUMBER(E74),E74*25.4,"")</f>
        <v>12.7</v>
      </c>
      <c r="G74" s="29" t="str">
        <f aca="false">IF(NOT(ISNUMBER(H74)),"",IF(H74&lt;=0,"",IF(ABS(H74*64-ROUND(H74*64,0))&gt;0.0005,"≈ ","")&amp;IF(INT(ROUND(H74*64,0)/64)&gt;0,INT(ROUND(H74*64,0)/64)&amp;IF(MOD(ROUND(H74*64,0),64)&gt;0," ",""),"")&amp;IF(MOD(ROUND(H74*64,0),64)&gt;0,MOD(ROUND(H74*64,0),64)/GCD(MOD(ROUND(H74*64,0),64),64)&amp;"/"&amp;64/GCD(MOD(ROUND(H74*64,0),64),64),IF(ROUND(H74*64,0)=0,"0",""))&amp;""""))</f>
        <v/>
      </c>
      <c r="H74" s="29"/>
      <c r="I74" s="21" t="str">
        <f aca="false">IF(ISNUMBER(H74),H74*25.4,"")</f>
        <v/>
      </c>
      <c r="J74" s="29" t="s">
        <v>200</v>
      </c>
      <c r="K74" s="29" t="n">
        <v>1</v>
      </c>
      <c r="L74" s="45" t="n">
        <v>0.25</v>
      </c>
      <c r="M74" s="29"/>
      <c r="N74" s="29"/>
      <c r="O74" s="25" t="s">
        <v>451</v>
      </c>
      <c r="P74" s="25" t="s">
        <v>364</v>
      </c>
      <c r="Q74" s="25"/>
      <c r="R74" s="29" t="s">
        <v>407</v>
      </c>
      <c r="S74" s="29"/>
      <c r="T74" s="25"/>
      <c r="U74" s="29"/>
      <c r="V74" s="29"/>
      <c r="W74" s="29"/>
      <c r="X74" s="29"/>
      <c r="Y74" s="29"/>
      <c r="Z74" s="29"/>
      <c r="AA74" s="25" t="s">
        <v>408</v>
      </c>
      <c r="AB74" s="29" t="s">
        <v>387</v>
      </c>
      <c r="AC74" s="25" t="s">
        <v>452</v>
      </c>
      <c r="AD74" s="46" t="s">
        <v>152</v>
      </c>
    </row>
    <row r="75" customFormat="false" ht="45.75" hidden="false" customHeight="true" outlineLevel="0" collapsed="false">
      <c r="B75" s="44" t="s">
        <v>453</v>
      </c>
      <c r="C75" s="25" t="s">
        <v>285</v>
      </c>
      <c r="D75" s="29" t="str">
        <f aca="false">IF(NOT(ISNUMBER(E75)),"",IF(E75&lt;=0,"",IF(ABS(E75*64-ROUND(E75*64,0))&gt;0.0005,"≈ ","")&amp;IF(INT(ROUND(E75*64,0)/64)&gt;0,INT(ROUND(E75*64,0)/64)&amp;IF(MOD(ROUND(E75*64,0),64)&gt;0," ",""),"")&amp;IF(MOD(ROUND(E75*64,0),64)&gt;0,MOD(ROUND(E75*64,0),64)/GCD(MOD(ROUND(E75*64,0),64),64)&amp;"/"&amp;64/GCD(MOD(ROUND(E75*64,0),64),64),IF(ROUND(E75*64,0)=0,"0",""))&amp;""""))</f>
        <v>1/2"</v>
      </c>
      <c r="E75" s="45" t="n">
        <v>0.5</v>
      </c>
      <c r="F75" s="21" t="n">
        <f aca="false">IF(ISNUMBER(E75),E75*25.4,"")</f>
        <v>12.7</v>
      </c>
      <c r="G75" s="29" t="str">
        <f aca="false">IF(NOT(ISNUMBER(H75)),"",IF(H75&lt;=0,"",IF(ABS(H75*64-ROUND(H75*64,0))&gt;0.0005,"≈ ","")&amp;IF(INT(ROUND(H75*64,0)/64)&gt;0,INT(ROUND(H75*64,0)/64)&amp;IF(MOD(ROUND(H75*64,0),64)&gt;0," ",""),"")&amp;IF(MOD(ROUND(H75*64,0),64)&gt;0,MOD(ROUND(H75*64,0),64)/GCD(MOD(ROUND(H75*64,0),64),64)&amp;"/"&amp;64/GCD(MOD(ROUND(H75*64,0),64),64),IF(ROUND(H75*64,0)=0,"0",""))&amp;""""))</f>
        <v/>
      </c>
      <c r="H75" s="29"/>
      <c r="I75" s="21" t="str">
        <f aca="false">IF(ISNUMBER(H75),H75*25.4,"")</f>
        <v/>
      </c>
      <c r="J75" s="29" t="s">
        <v>200</v>
      </c>
      <c r="K75" s="29" t="n">
        <v>1</v>
      </c>
      <c r="L75" s="45" t="n">
        <v>0.25</v>
      </c>
      <c r="M75" s="29"/>
      <c r="N75" s="29"/>
      <c r="O75" s="25" t="s">
        <v>454</v>
      </c>
      <c r="P75" s="25" t="s">
        <v>364</v>
      </c>
      <c r="Q75" s="25"/>
      <c r="R75" s="29" t="s">
        <v>407</v>
      </c>
      <c r="S75" s="29"/>
      <c r="T75" s="25"/>
      <c r="U75" s="29"/>
      <c r="V75" s="29"/>
      <c r="W75" s="29"/>
      <c r="X75" s="29"/>
      <c r="Y75" s="29"/>
      <c r="Z75" s="29"/>
      <c r="AA75" s="25" t="s">
        <v>408</v>
      </c>
      <c r="AB75" s="29" t="s">
        <v>387</v>
      </c>
      <c r="AC75" s="25" t="s">
        <v>400</v>
      </c>
      <c r="AD75" s="46" t="s">
        <v>152</v>
      </c>
    </row>
    <row r="76" customFormat="false" ht="45.75" hidden="false" customHeight="true" outlineLevel="0" collapsed="false">
      <c r="B76" s="44" t="s">
        <v>455</v>
      </c>
      <c r="C76" s="25" t="s">
        <v>285</v>
      </c>
      <c r="D76" s="29" t="str">
        <f aca="false">IF(NOT(ISNUMBER(E76)),"",IF(E76&lt;=0,"",IF(ABS(E76*64-ROUND(E76*64,0))&gt;0.0005,"≈ ","")&amp;IF(INT(ROUND(E76*64,0)/64)&gt;0,INT(ROUND(E76*64,0)/64)&amp;IF(MOD(ROUND(E76*64,0),64)&gt;0," ",""),"")&amp;IF(MOD(ROUND(E76*64,0),64)&gt;0,MOD(ROUND(E76*64,0),64)/GCD(MOD(ROUND(E76*64,0),64),64)&amp;"/"&amp;64/GCD(MOD(ROUND(E76*64,0),64),64),IF(ROUND(E76*64,0)=0,"0",""))&amp;""""))</f>
        <v>1/8"</v>
      </c>
      <c r="E76" s="45" t="n">
        <v>0.125</v>
      </c>
      <c r="F76" s="21" t="n">
        <f aca="false">IF(ISNUMBER(E76),E76*25.4,"")</f>
        <v>3.175</v>
      </c>
      <c r="G76" s="29" t="str">
        <f aca="false">IF(NOT(ISNUMBER(H76)),"",IF(H76&lt;=0,"",IF(ABS(H76*64-ROUND(H76*64,0))&gt;0.0005,"≈ ","")&amp;IF(INT(ROUND(H76*64,0)/64)&gt;0,INT(ROUND(H76*64,0)/64)&amp;IF(MOD(ROUND(H76*64,0),64)&gt;0," ",""),"")&amp;IF(MOD(ROUND(H76*64,0),64)&gt;0,MOD(ROUND(H76*64,0),64)/GCD(MOD(ROUND(H76*64,0),64),64)&amp;"/"&amp;64/GCD(MOD(ROUND(H76*64,0),64),64),IF(ROUND(H76*64,0)=0,"0",""))&amp;""""))</f>
        <v>1/2"</v>
      </c>
      <c r="H76" s="45" t="n">
        <v>0.5</v>
      </c>
      <c r="I76" s="21" t="n">
        <f aca="false">IF(ISNUMBER(H76),H76*25.4,"")</f>
        <v>12.7</v>
      </c>
      <c r="J76" s="29" t="s">
        <v>40</v>
      </c>
      <c r="K76" s="29" t="n">
        <v>1</v>
      </c>
      <c r="L76" s="45" t="n">
        <v>0.25</v>
      </c>
      <c r="M76" s="29"/>
      <c r="N76" s="29"/>
      <c r="O76" s="25" t="s">
        <v>456</v>
      </c>
      <c r="P76" s="25" t="s">
        <v>297</v>
      </c>
      <c r="Q76" s="25" t="s">
        <v>297</v>
      </c>
      <c r="R76" s="29"/>
      <c r="S76" s="29"/>
      <c r="T76" s="25"/>
      <c r="U76" s="29"/>
      <c r="V76" s="29"/>
      <c r="W76" s="29"/>
      <c r="X76" s="29"/>
      <c r="Y76" s="29"/>
      <c r="Z76" s="29"/>
      <c r="AA76" s="25" t="s">
        <v>436</v>
      </c>
      <c r="AB76" s="29" t="s">
        <v>307</v>
      </c>
      <c r="AC76" s="25"/>
      <c r="AD76" s="46" t="s">
        <v>152</v>
      </c>
    </row>
    <row r="77" customFormat="false" ht="45.75" hidden="false" customHeight="true" outlineLevel="0" collapsed="false">
      <c r="B77" s="44" t="s">
        <v>457</v>
      </c>
      <c r="C77" s="25" t="s">
        <v>285</v>
      </c>
      <c r="D77" s="29" t="str">
        <f aca="false">IF(NOT(ISNUMBER(E77)),"",IF(E77&lt;=0,"",IF(ABS(E77*64-ROUND(E77*64,0))&gt;0.0005,"≈ ","")&amp;IF(INT(ROUND(E77*64,0)/64)&gt;0,INT(ROUND(E77*64,0)/64)&amp;IF(MOD(ROUND(E77*64,0),64)&gt;0," ",""),"")&amp;IF(MOD(ROUND(E77*64,0),64)&gt;0,MOD(ROUND(E77*64,0),64)/GCD(MOD(ROUND(E77*64,0),64),64)&amp;"/"&amp;64/GCD(MOD(ROUND(E77*64,0),64),64),IF(ROUND(E77*64,0)=0,"0",""))&amp;""""))</f>
        <v>1/2"</v>
      </c>
      <c r="E77" s="45" t="n">
        <v>0.5</v>
      </c>
      <c r="F77" s="21" t="n">
        <f aca="false">IF(ISNUMBER(E77),E77*25.4,"")</f>
        <v>12.7</v>
      </c>
      <c r="G77" s="29" t="str">
        <f aca="false">IF(NOT(ISNUMBER(H77)),"",IF(H77&lt;=0,"",IF(ABS(H77*64-ROUND(H77*64,0))&gt;0.0005,"≈ ","")&amp;IF(INT(ROUND(H77*64,0)/64)&gt;0,INT(ROUND(H77*64,0)/64)&amp;IF(MOD(ROUND(H77*64,0),64)&gt;0," ",""),"")&amp;IF(MOD(ROUND(H77*64,0),64)&gt;0,MOD(ROUND(H77*64,0),64)/GCD(MOD(ROUND(H77*64,0),64),64)&amp;"/"&amp;64/GCD(MOD(ROUND(H77*64,0),64),64),IF(ROUND(H77*64,0)=0,"0",""))&amp;""""))</f>
        <v>≈ 13/64"</v>
      </c>
      <c r="H77" s="45" t="n">
        <v>0.197</v>
      </c>
      <c r="I77" s="21" t="n">
        <f aca="false">IF(ISNUMBER(H77),H77*25.4,"")</f>
        <v>5.0038</v>
      </c>
      <c r="J77" s="29"/>
      <c r="K77" s="29" t="n">
        <v>2</v>
      </c>
      <c r="L77" s="45" t="n">
        <v>0.5</v>
      </c>
      <c r="M77" s="45" t="n">
        <v>0.197</v>
      </c>
      <c r="N77" s="29"/>
      <c r="O77" s="25" t="n">
        <v>17197</v>
      </c>
      <c r="P77" s="25" t="s">
        <v>361</v>
      </c>
      <c r="Q77" s="25" t="s">
        <v>157</v>
      </c>
      <c r="R77" s="29" t="s">
        <v>424</v>
      </c>
      <c r="S77" s="29"/>
      <c r="T77" s="25"/>
      <c r="U77" s="29"/>
      <c r="V77" s="29"/>
      <c r="W77" s="29"/>
      <c r="X77" s="29"/>
      <c r="Y77" s="29"/>
      <c r="Z77" s="29"/>
      <c r="AA77" s="25" t="s">
        <v>432</v>
      </c>
      <c r="AB77" s="29" t="s">
        <v>458</v>
      </c>
      <c r="AC77" s="25" t="s">
        <v>459</v>
      </c>
      <c r="AD77" s="46" t="s">
        <v>152</v>
      </c>
    </row>
    <row r="78" customFormat="false" ht="45.75" hidden="false" customHeight="true" outlineLevel="0" collapsed="false">
      <c r="B78" s="44" t="s">
        <v>460</v>
      </c>
      <c r="C78" s="25" t="s">
        <v>285</v>
      </c>
      <c r="D78" s="29" t="str">
        <f aca="false">IF(NOT(ISNUMBER(E78)),"",IF(E78&lt;=0,"",IF(ABS(E78*64-ROUND(E78*64,0))&gt;0.0005,"≈ ","")&amp;IF(INT(ROUND(E78*64,0)/64)&gt;0,INT(ROUND(E78*64,0)/64)&amp;IF(MOD(ROUND(E78*64,0),64)&gt;0," ",""),"")&amp;IF(MOD(ROUND(E78*64,0),64)&gt;0,MOD(ROUND(E78*64,0),64)/GCD(MOD(ROUND(E78*64,0),64),64)&amp;"/"&amp;64/GCD(MOD(ROUND(E78*64,0),64),64),IF(ROUND(E78*64,0)=0,"0",""))&amp;""""))</f>
        <v>3/16"</v>
      </c>
      <c r="E78" s="45" t="n">
        <v>0.1875</v>
      </c>
      <c r="F78" s="21" t="n">
        <f aca="false">IF(ISNUMBER(E78),E78*25.4,"")</f>
        <v>4.7625</v>
      </c>
      <c r="G78" s="29" t="str">
        <f aca="false">IF(NOT(ISNUMBER(H78)),"",IF(H78&lt;=0,"",IF(ABS(H78*64-ROUND(H78*64,0))&gt;0.0005,"≈ ","")&amp;IF(INT(ROUND(H78*64,0)/64)&gt;0,INT(ROUND(H78*64,0)/64)&amp;IF(MOD(ROUND(H78*64,0),64)&gt;0," ",""),"")&amp;IF(MOD(ROUND(H78*64,0),64)&gt;0,MOD(ROUND(H78*64,0),64)/GCD(MOD(ROUND(H78*64,0),64),64)&amp;"/"&amp;64/GCD(MOD(ROUND(H78*64,0),64),64),IF(ROUND(H78*64,0)=0,"0",""))&amp;""""))</f>
        <v>1 1/4"</v>
      </c>
      <c r="H78" s="45" t="n">
        <v>1.25</v>
      </c>
      <c r="I78" s="21" t="n">
        <f aca="false">IF(ISNUMBER(H78),H78*25.4,"")</f>
        <v>31.75</v>
      </c>
      <c r="J78" s="29" t="s">
        <v>40</v>
      </c>
      <c r="K78" s="29" t="n">
        <v>1</v>
      </c>
      <c r="L78" s="45" t="n">
        <v>0.25</v>
      </c>
      <c r="M78" s="29"/>
      <c r="N78" s="29"/>
      <c r="O78" s="25" t="s">
        <v>461</v>
      </c>
      <c r="P78" s="25" t="s">
        <v>297</v>
      </c>
      <c r="Q78" s="25" t="s">
        <v>297</v>
      </c>
      <c r="R78" s="29"/>
      <c r="S78" s="29"/>
      <c r="T78" s="25"/>
      <c r="U78" s="29"/>
      <c r="V78" s="29"/>
      <c r="W78" s="29"/>
      <c r="X78" s="29"/>
      <c r="Y78" s="29"/>
      <c r="Z78" s="29"/>
      <c r="AA78" s="25" t="s">
        <v>462</v>
      </c>
      <c r="AB78" s="29" t="s">
        <v>321</v>
      </c>
      <c r="AC78" s="25" t="s">
        <v>383</v>
      </c>
      <c r="AD78" s="46" t="s">
        <v>152</v>
      </c>
    </row>
    <row r="79" customFormat="false" ht="45.75" hidden="false" customHeight="true" outlineLevel="0" collapsed="false">
      <c r="B79" s="44" t="s">
        <v>463</v>
      </c>
      <c r="C79" s="25" t="s">
        <v>285</v>
      </c>
      <c r="D79" s="29" t="str">
        <f aca="false">IF(NOT(ISNUMBER(E79)),"",IF(E79&lt;=0,"",IF(ABS(E79*64-ROUND(E79*64,0))&gt;0.0005,"≈ ","")&amp;IF(INT(ROUND(E79*64,0)/64)&gt;0,INT(ROUND(E79*64,0)/64)&amp;IF(MOD(ROUND(E79*64,0),64)&gt;0," ",""),"")&amp;IF(MOD(ROUND(E79*64,0),64)&gt;0,MOD(ROUND(E79*64,0),64)/GCD(MOD(ROUND(E79*64,0),64),64)&amp;"/"&amp;64/GCD(MOD(ROUND(E79*64,0),64),64),IF(ROUND(E79*64,0)=0,"0",""))&amp;""""))</f>
        <v>1/4"</v>
      </c>
      <c r="E79" s="45" t="n">
        <v>0.25</v>
      </c>
      <c r="F79" s="21" t="n">
        <f aca="false">IF(ISNUMBER(E79),E79*25.4,"")</f>
        <v>6.35</v>
      </c>
      <c r="G79" s="29" t="str">
        <f aca="false">IF(NOT(ISNUMBER(H79)),"",IF(H79&lt;=0,"",IF(ABS(H79*64-ROUND(H79*64,0))&gt;0.0005,"≈ ","")&amp;IF(INT(ROUND(H79*64,0)/64)&gt;0,INT(ROUND(H79*64,0)/64)&amp;IF(MOD(ROUND(H79*64,0),64)&gt;0," ",""),"")&amp;IF(MOD(ROUND(H79*64,0),64)&gt;0,MOD(ROUND(H79*64,0),64)/GCD(MOD(ROUND(H79*64,0),64),64)&amp;"/"&amp;64/GCD(MOD(ROUND(H79*64,0),64),64),IF(ROUND(H79*64,0)=0,"0",""))&amp;""""))</f>
        <v>3/4"</v>
      </c>
      <c r="H79" s="45" t="n">
        <v>0.75</v>
      </c>
      <c r="I79" s="21" t="n">
        <f aca="false">IF(ISNUMBER(H79),H79*25.4,"")</f>
        <v>19.05</v>
      </c>
      <c r="J79" s="29" t="s">
        <v>40</v>
      </c>
      <c r="K79" s="29" t="n">
        <v>3</v>
      </c>
      <c r="L79" s="45" t="n">
        <v>0.375</v>
      </c>
      <c r="M79" s="29"/>
      <c r="N79" s="29"/>
      <c r="O79" s="25" t="n">
        <v>86300409</v>
      </c>
      <c r="P79" s="25" t="s">
        <v>364</v>
      </c>
      <c r="Q79" s="25"/>
      <c r="R79" s="29" t="s">
        <v>365</v>
      </c>
      <c r="S79" s="29"/>
      <c r="T79" s="25"/>
      <c r="U79" s="29"/>
      <c r="V79" s="29"/>
      <c r="W79" s="29"/>
      <c r="X79" s="29"/>
      <c r="Y79" s="29"/>
      <c r="Z79" s="29"/>
      <c r="AA79" s="25" t="s">
        <v>181</v>
      </c>
      <c r="AB79" s="29" t="s">
        <v>366</v>
      </c>
      <c r="AC79" s="25"/>
      <c r="AD79" s="46" t="s">
        <v>152</v>
      </c>
    </row>
    <row r="80" customFormat="false" ht="45.75" hidden="false" customHeight="true" outlineLevel="0" collapsed="false">
      <c r="B80" s="44" t="s">
        <v>464</v>
      </c>
      <c r="C80" s="25" t="s">
        <v>285</v>
      </c>
      <c r="D80" s="29" t="str">
        <f aca="false">IF(NOT(ISNUMBER(E80)),"",IF(E80&lt;=0,"",IF(ABS(E80*64-ROUND(E80*64,0))&gt;0.0005,"≈ ","")&amp;IF(INT(ROUND(E80*64,0)/64)&gt;0,INT(ROUND(E80*64,0)/64)&amp;IF(MOD(ROUND(E80*64,0),64)&gt;0," ",""),"")&amp;IF(MOD(ROUND(E80*64,0),64)&gt;0,MOD(ROUND(E80*64,0),64)/GCD(MOD(ROUND(E80*64,0),64),64)&amp;"/"&amp;64/GCD(MOD(ROUND(E80*64,0),64),64),IF(ROUND(E80*64,0)=0,"0",""))&amp;""""))</f>
        <v>1/16"</v>
      </c>
      <c r="E80" s="45" t="n">
        <v>0.0625</v>
      </c>
      <c r="F80" s="21" t="n">
        <f aca="false">IF(ISNUMBER(E80),E80*25.4,"")</f>
        <v>1.5875</v>
      </c>
      <c r="G80" s="29" t="str">
        <f aca="false">IF(NOT(ISNUMBER(H80)),"",IF(H80&lt;=0,"",IF(ABS(H80*64-ROUND(H80*64,0))&gt;0.0005,"≈ ","")&amp;IF(INT(ROUND(H80*64,0)/64)&gt;0,INT(ROUND(H80*64,0)/64)&amp;IF(MOD(ROUND(H80*64,0),64)&gt;0," ",""),"")&amp;IF(MOD(ROUND(H80*64,0),64)&gt;0,MOD(ROUND(H80*64,0),64)/GCD(MOD(ROUND(H80*64,0),64),64)&amp;"/"&amp;64/GCD(MOD(ROUND(H80*64,0),64),64),IF(ROUND(H80*64,0)=0,"0",""))&amp;""""))</f>
        <v>1/4"</v>
      </c>
      <c r="H80" s="45" t="n">
        <v>0.25</v>
      </c>
      <c r="I80" s="21" t="n">
        <f aca="false">IF(ISNUMBER(H80),H80*25.4,"")</f>
        <v>6.35</v>
      </c>
      <c r="J80" s="29" t="s">
        <v>40</v>
      </c>
      <c r="K80" s="29" t="n">
        <v>1</v>
      </c>
      <c r="L80" s="45" t="n">
        <v>0.25</v>
      </c>
      <c r="M80" s="29"/>
      <c r="N80" s="29"/>
      <c r="O80" s="25" t="s">
        <v>465</v>
      </c>
      <c r="P80" s="25" t="s">
        <v>297</v>
      </c>
      <c r="Q80" s="25" t="s">
        <v>297</v>
      </c>
      <c r="R80" s="29"/>
      <c r="S80" s="29"/>
      <c r="T80" s="25"/>
      <c r="U80" s="29"/>
      <c r="V80" s="29"/>
      <c r="W80" s="29"/>
      <c r="X80" s="29"/>
      <c r="Y80" s="29"/>
      <c r="Z80" s="29"/>
      <c r="AA80" s="25" t="s">
        <v>306</v>
      </c>
      <c r="AB80" s="29" t="s">
        <v>443</v>
      </c>
      <c r="AC80" s="25"/>
      <c r="AD80" s="46" t="s">
        <v>152</v>
      </c>
    </row>
    <row r="81" customFormat="false" ht="45.75" hidden="false" customHeight="true" outlineLevel="0" collapsed="false">
      <c r="B81" s="44" t="s">
        <v>466</v>
      </c>
      <c r="C81" s="25" t="s">
        <v>467</v>
      </c>
      <c r="D81" s="29" t="str">
        <f aca="false">IF(NOT(ISNUMBER(E81)),"",IF(E81&lt;=0,"",IF(ABS(E81*64-ROUND(E81*64,0))&gt;0.0005,"≈ ","")&amp;IF(INT(ROUND(E81*64,0)/64)&gt;0,INT(ROUND(E81*64,0)/64)&amp;IF(MOD(ROUND(E81*64,0),64)&gt;0," ",""),"")&amp;IF(MOD(ROUND(E81*64,0),64)&gt;0,MOD(ROUND(E81*64,0),64)/GCD(MOD(ROUND(E81*64,0),64),64)&amp;"/"&amp;64/GCD(MOD(ROUND(E81*64,0),64),64),IF(ROUND(E81*64,0)=0,"0",""))&amp;""""))</f>
        <v>≈ 13/64"</v>
      </c>
      <c r="E81" s="45" t="n">
        <v>0.2012</v>
      </c>
      <c r="F81" s="21" t="n">
        <f aca="false">IF(ISNUMBER(E81),E81*25.4,"")</f>
        <v>5.11048</v>
      </c>
      <c r="G81" s="29" t="str">
        <f aca="false">IF(NOT(ISNUMBER(H81)),"",IF(H81&lt;=0,"",IF(ABS(H81*64-ROUND(H81*64,0))&gt;0.0005,"≈ ","")&amp;IF(INT(ROUND(H81*64,0)/64)&gt;0,INT(ROUND(H81*64,0)/64)&amp;IF(MOD(ROUND(H81*64,0),64)&gt;0," ",""),"")&amp;IF(MOD(ROUND(H81*64,0),64)&gt;0,MOD(ROUND(H81*64,0),64)/GCD(MOD(ROUND(H81*64,0),64),64)&amp;"/"&amp;64/GCD(MOD(ROUND(H81*64,0),64),64),IF(ROUND(H81*64,0)=0,"0",""))&amp;""""))</f>
        <v>≈ 2 3/64"</v>
      </c>
      <c r="H81" s="45" t="n">
        <v>2.0472</v>
      </c>
      <c r="I81" s="21" t="n">
        <f aca="false">IF(ISNUMBER(H81),H81*25.4,"")</f>
        <v>51.99888</v>
      </c>
      <c r="J81" s="29"/>
      <c r="K81" s="29" t="n">
        <v>2</v>
      </c>
      <c r="L81" s="45" t="n">
        <v>0.2362</v>
      </c>
      <c r="M81" s="29"/>
      <c r="N81" s="29"/>
      <c r="O81" s="25" t="n">
        <v>8597511</v>
      </c>
      <c r="P81" s="25" t="s">
        <v>364</v>
      </c>
      <c r="Q81" s="25"/>
      <c r="R81" s="29" t="s">
        <v>468</v>
      </c>
      <c r="S81" s="29"/>
      <c r="T81" s="25"/>
      <c r="U81" s="29"/>
      <c r="V81" s="29"/>
      <c r="W81" s="29"/>
      <c r="X81" s="29"/>
      <c r="Y81" s="29"/>
      <c r="Z81" s="29"/>
      <c r="AA81" s="25" t="s">
        <v>469</v>
      </c>
      <c r="AB81" s="29" t="s">
        <v>470</v>
      </c>
      <c r="AC81" s="25"/>
      <c r="AD81" s="46" t="s">
        <v>152</v>
      </c>
    </row>
    <row r="82" customFormat="false" ht="45.75" hidden="false" customHeight="true" outlineLevel="0" collapsed="false">
      <c r="B82" s="44" t="s">
        <v>471</v>
      </c>
      <c r="C82" s="25" t="s">
        <v>467</v>
      </c>
      <c r="D82" s="29" t="str">
        <f aca="false">IF(NOT(ISNUMBER(E82)),"",IF(E82&lt;=0,"",IF(ABS(E82*64-ROUND(E82*64,0))&gt;0.0005,"≈ ","")&amp;IF(INT(ROUND(E82*64,0)/64)&gt;0,INT(ROUND(E82*64,0)/64)&amp;IF(MOD(ROUND(E82*64,0),64)&gt;0," ",""),"")&amp;IF(MOD(ROUND(E82*64,0),64)&gt;0,MOD(ROUND(E82*64,0),64)/GCD(MOD(ROUND(E82*64,0),64),64)&amp;"/"&amp;64/GCD(MOD(ROUND(E82*64,0),64),64),IF(ROUND(E82*64,0)=0,"0",""))&amp;""""))</f>
        <v/>
      </c>
      <c r="E82" s="29"/>
      <c r="F82" s="21" t="str">
        <f aca="false">IF(ISNUMBER(E82),E82*25.4,"")</f>
        <v/>
      </c>
      <c r="G82" s="29" t="str">
        <f aca="false">IF(NOT(ISNUMBER(H82)),"",IF(H82&lt;=0,"",IF(ABS(H82*64-ROUND(H82*64,0))&gt;0.0005,"≈ ","")&amp;IF(INT(ROUND(H82*64,0)/64)&gt;0,INT(ROUND(H82*64,0)/64)&amp;IF(MOD(ROUND(H82*64,0),64)&gt;0," ",""),"")&amp;IF(MOD(ROUND(H82*64,0),64)&gt;0,MOD(ROUND(H82*64,0),64)/GCD(MOD(ROUND(H82*64,0),64),64)&amp;"/"&amp;64/GCD(MOD(ROUND(H82*64,0),64),64),IF(ROUND(H82*64,0)=0,"0",""))&amp;""""))</f>
        <v/>
      </c>
      <c r="H82" s="29"/>
      <c r="I82" s="21" t="str">
        <f aca="false">IF(ISNUMBER(H82),H82*25.4,"")</f>
        <v/>
      </c>
      <c r="J82" s="29"/>
      <c r="K82" s="29"/>
      <c r="L82" s="29"/>
      <c r="M82" s="29"/>
      <c r="N82" s="29"/>
      <c r="O82" s="25" t="s">
        <v>472</v>
      </c>
      <c r="P82" s="25" t="s">
        <v>473</v>
      </c>
      <c r="Q82" s="25" t="s">
        <v>474</v>
      </c>
      <c r="R82" s="29" t="s">
        <v>289</v>
      </c>
      <c r="S82" s="29" t="s">
        <v>289</v>
      </c>
      <c r="T82" s="25"/>
      <c r="U82" s="29"/>
      <c r="V82" s="29"/>
      <c r="W82" s="29"/>
      <c r="X82" s="29"/>
      <c r="Y82" s="29"/>
      <c r="Z82" s="29"/>
      <c r="AA82" s="25"/>
      <c r="AB82" s="29"/>
      <c r="AC82" s="25"/>
    </row>
    <row r="83" customFormat="false" ht="45.75" hidden="false" customHeight="true" outlineLevel="0" collapsed="false">
      <c r="B83" s="44" t="s">
        <v>475</v>
      </c>
      <c r="C83" s="25" t="s">
        <v>467</v>
      </c>
      <c r="D83" s="29" t="str">
        <f aca="false">IF(NOT(ISNUMBER(E83)),"",IF(E83&lt;=0,"",IF(ABS(E83*64-ROUND(E83*64,0))&gt;0.0005,"≈ ","")&amp;IF(INT(ROUND(E83*64,0)/64)&gt;0,INT(ROUND(E83*64,0)/64)&amp;IF(MOD(ROUND(E83*64,0),64)&gt;0," ",""),"")&amp;IF(MOD(ROUND(E83*64,0),64)&gt;0,MOD(ROUND(E83*64,0),64)/GCD(MOD(ROUND(E83*64,0),64),64)&amp;"/"&amp;64/GCD(MOD(ROUND(E83*64,0),64),64),IF(ROUND(E83*64,0)=0,"0",""))&amp;""""))</f>
        <v>≈ 5/32"</v>
      </c>
      <c r="E83" s="45" t="n">
        <v>0.1575</v>
      </c>
      <c r="F83" s="21" t="n">
        <f aca="false">IF(ISNUMBER(E83),E83*25.4,"")</f>
        <v>4.0005</v>
      </c>
      <c r="G83" s="29" t="str">
        <f aca="false">IF(NOT(ISNUMBER(H83)),"",IF(H83&lt;=0,"",IF(ABS(H83*64-ROUND(H83*64,0))&gt;0.0005,"≈ ","")&amp;IF(INT(ROUND(H83*64,0)/64)&gt;0,INT(ROUND(H83*64,0)/64)&amp;IF(MOD(ROUND(H83*64,0),64)&gt;0," ",""),"")&amp;IF(MOD(ROUND(H83*64,0),64)&gt;0,MOD(ROUND(H83*64,0),64)/GCD(MOD(ROUND(H83*64,0),64),64)&amp;"/"&amp;64/GCD(MOD(ROUND(H83*64,0),64),64),IF(ROUND(H83*64,0)=0,"0",""))&amp;""""))</f>
        <v>≈ 1 27/64"</v>
      </c>
      <c r="H83" s="45" t="n">
        <v>1.4173</v>
      </c>
      <c r="I83" s="21" t="n">
        <f aca="false">IF(ISNUMBER(H83),H83*25.4,"")</f>
        <v>35.99942</v>
      </c>
      <c r="J83" s="29"/>
      <c r="K83" s="29" t="n">
        <v>2</v>
      </c>
      <c r="L83" s="45" t="n">
        <v>0.2362</v>
      </c>
      <c r="M83" s="29"/>
      <c r="N83" s="29"/>
      <c r="O83" s="25" t="s">
        <v>476</v>
      </c>
      <c r="P83" s="25" t="s">
        <v>191</v>
      </c>
      <c r="Q83" s="25" t="s">
        <v>157</v>
      </c>
      <c r="R83" s="29" t="s">
        <v>477</v>
      </c>
      <c r="S83" s="29" t="s">
        <v>478</v>
      </c>
      <c r="T83" s="25"/>
      <c r="U83" s="29"/>
      <c r="V83" s="29"/>
      <c r="W83" s="29"/>
      <c r="X83" s="29"/>
      <c r="Y83" s="29"/>
      <c r="Z83" s="29"/>
      <c r="AA83" s="25" t="s">
        <v>149</v>
      </c>
      <c r="AB83" s="29" t="s">
        <v>479</v>
      </c>
      <c r="AC83" s="25"/>
      <c r="AD83" s="46" t="s">
        <v>152</v>
      </c>
    </row>
    <row r="84" customFormat="false" ht="45.75" hidden="false" customHeight="true" outlineLevel="0" collapsed="false">
      <c r="B84" s="44" t="s">
        <v>480</v>
      </c>
      <c r="C84" s="25" t="s">
        <v>481</v>
      </c>
      <c r="D84" s="29" t="str">
        <f aca="false">IF(NOT(ISNUMBER(E84)),"",IF(E84&lt;=0,"",IF(ABS(E84*64-ROUND(E84*64,0))&gt;0.0005,"≈ ","")&amp;IF(INT(ROUND(E84*64,0)/64)&gt;0,INT(ROUND(E84*64,0)/64)&amp;IF(MOD(ROUND(E84*64,0),64)&gt;0," ",""),"")&amp;IF(MOD(ROUND(E84*64,0),64)&gt;0,MOD(ROUND(E84*64,0),64)/GCD(MOD(ROUND(E84*64,0),64),64)&amp;"/"&amp;64/GCD(MOD(ROUND(E84*64,0),64),64),IF(ROUND(E84*64,0)=0,"0",""))&amp;""""))</f>
        <v/>
      </c>
      <c r="E84" s="29"/>
      <c r="F84" s="21" t="str">
        <f aca="false">IF(ISNUMBER(E84),E84*25.4,"")</f>
        <v/>
      </c>
      <c r="G84" s="29" t="str">
        <f aca="false">IF(NOT(ISNUMBER(H84)),"",IF(H84&lt;=0,"",IF(ABS(H84*64-ROUND(H84*64,0))&gt;0.0005,"≈ ","")&amp;IF(INT(ROUND(H84*64,0)/64)&gt;0,INT(ROUND(H84*64,0)/64)&amp;IF(MOD(ROUND(H84*64,0),64)&gt;0," ",""),"")&amp;IF(MOD(ROUND(H84*64,0),64)&gt;0,MOD(ROUND(H84*64,0),64)/GCD(MOD(ROUND(H84*64,0),64),64)&amp;"/"&amp;64/GCD(MOD(ROUND(H84*64,0),64),64),IF(ROUND(H84*64,0)=0,"0",""))&amp;""""))</f>
        <v/>
      </c>
      <c r="H84" s="29"/>
      <c r="I84" s="21" t="str">
        <f aca="false">IF(ISNUMBER(H84),H84*25.4,"")</f>
        <v/>
      </c>
      <c r="J84" s="29" t="s">
        <v>200</v>
      </c>
      <c r="K84" s="29"/>
      <c r="L84" s="29"/>
      <c r="M84" s="29"/>
      <c r="N84" s="29"/>
      <c r="O84" s="25" t="s">
        <v>482</v>
      </c>
      <c r="P84" s="25" t="s">
        <v>170</v>
      </c>
      <c r="Q84" s="25" t="s">
        <v>157</v>
      </c>
      <c r="R84" s="29"/>
      <c r="S84" s="29"/>
      <c r="T84" s="25" t="s">
        <v>483</v>
      </c>
      <c r="U84" s="29"/>
      <c r="V84" s="29"/>
      <c r="W84" s="29"/>
      <c r="X84" s="29"/>
      <c r="Y84" s="29"/>
      <c r="Z84" s="29"/>
      <c r="AA84" s="25" t="s">
        <v>181</v>
      </c>
      <c r="AB84" s="29" t="s">
        <v>484</v>
      </c>
      <c r="AC84" s="25"/>
      <c r="AD84" s="46" t="s">
        <v>152</v>
      </c>
    </row>
    <row r="85" customFormat="false" ht="45.75" hidden="false" customHeight="true" outlineLevel="0" collapsed="false">
      <c r="B85" s="44" t="s">
        <v>485</v>
      </c>
      <c r="C85" s="25" t="s">
        <v>481</v>
      </c>
      <c r="D85" s="29" t="str">
        <f aca="false">IF(NOT(ISNUMBER(E85)),"",IF(E85&lt;=0,"",IF(ABS(E85*64-ROUND(E85*64,0))&gt;0.0005,"≈ ","")&amp;IF(INT(ROUND(E85*64,0)/64)&gt;0,INT(ROUND(E85*64,0)/64)&amp;IF(MOD(ROUND(E85*64,0),64)&gt;0," ",""),"")&amp;IF(MOD(ROUND(E85*64,0),64)&gt;0,MOD(ROUND(E85*64,0),64)/GCD(MOD(ROUND(E85*64,0),64),64)&amp;"/"&amp;64/GCD(MOD(ROUND(E85*64,0),64),64),IF(ROUND(E85*64,0)=0,"0",""))&amp;""""))</f>
        <v/>
      </c>
      <c r="E85" s="29"/>
      <c r="F85" s="21" t="str">
        <f aca="false">IF(ISNUMBER(E85),E85*25.4,"")</f>
        <v/>
      </c>
      <c r="G85" s="29" t="str">
        <f aca="false">IF(NOT(ISNUMBER(H85)),"",IF(H85&lt;=0,"",IF(ABS(H85*64-ROUND(H85*64,0))&gt;0.0005,"≈ ","")&amp;IF(INT(ROUND(H85*64,0)/64)&gt;0,INT(ROUND(H85*64,0)/64)&amp;IF(MOD(ROUND(H85*64,0),64)&gt;0," ",""),"")&amp;IF(MOD(ROUND(H85*64,0),64)&gt;0,MOD(ROUND(H85*64,0),64)/GCD(MOD(ROUND(H85*64,0),64),64)&amp;"/"&amp;64/GCD(MOD(ROUND(H85*64,0),64),64),IF(ROUND(H85*64,0)=0,"0",""))&amp;""""))</f>
        <v/>
      </c>
      <c r="H85" s="29"/>
      <c r="I85" s="21" t="str">
        <f aca="false">IF(ISNUMBER(H85),H85*25.4,"")</f>
        <v/>
      </c>
      <c r="J85" s="29" t="s">
        <v>200</v>
      </c>
      <c r="K85" s="29"/>
      <c r="L85" s="29"/>
      <c r="M85" s="29"/>
      <c r="N85" s="29"/>
      <c r="O85" s="25" t="s">
        <v>486</v>
      </c>
      <c r="P85" s="25" t="s">
        <v>145</v>
      </c>
      <c r="Q85" s="25" t="s">
        <v>146</v>
      </c>
      <c r="R85" s="29"/>
      <c r="S85" s="29"/>
      <c r="T85" s="25" t="s">
        <v>487</v>
      </c>
      <c r="U85" s="29"/>
      <c r="V85" s="29"/>
      <c r="W85" s="29"/>
      <c r="X85" s="29"/>
      <c r="Y85" s="29"/>
      <c r="Z85" s="29"/>
      <c r="AA85" s="25"/>
      <c r="AB85" s="29" t="s">
        <v>488</v>
      </c>
      <c r="AC85" s="25"/>
      <c r="AD85" s="46" t="s">
        <v>152</v>
      </c>
    </row>
    <row r="86" customFormat="false" ht="45.75" hidden="false" customHeight="true" outlineLevel="0" collapsed="false">
      <c r="B86" s="44" t="s">
        <v>489</v>
      </c>
      <c r="C86" s="25" t="s">
        <v>481</v>
      </c>
      <c r="D86" s="29" t="str">
        <f aca="false">IF(NOT(ISNUMBER(E86)),"",IF(E86&lt;=0,"",IF(ABS(E86*64-ROUND(E86*64,0))&gt;0.0005,"≈ ","")&amp;IF(INT(ROUND(E86*64,0)/64)&gt;0,INT(ROUND(E86*64,0)/64)&amp;IF(MOD(ROUND(E86*64,0),64)&gt;0," ",""),"")&amp;IF(MOD(ROUND(E86*64,0),64)&gt;0,MOD(ROUND(E86*64,0),64)/GCD(MOD(ROUND(E86*64,0),64),64)&amp;"/"&amp;64/GCD(MOD(ROUND(E86*64,0),64),64),IF(ROUND(E86*64,0)=0,"0",""))&amp;""""))</f>
        <v/>
      </c>
      <c r="E86" s="29"/>
      <c r="F86" s="21" t="str">
        <f aca="false">IF(ISNUMBER(E86),E86*25.4,"")</f>
        <v/>
      </c>
      <c r="G86" s="29" t="str">
        <f aca="false">IF(NOT(ISNUMBER(H86)),"",IF(H86&lt;=0,"",IF(ABS(H86*64-ROUND(H86*64,0))&gt;0.0005,"≈ ","")&amp;IF(INT(ROUND(H86*64,0)/64)&gt;0,INT(ROUND(H86*64,0)/64)&amp;IF(MOD(ROUND(H86*64,0),64)&gt;0," ",""),"")&amp;IF(MOD(ROUND(H86*64,0),64)&gt;0,MOD(ROUND(H86*64,0),64)/GCD(MOD(ROUND(H86*64,0),64),64)&amp;"/"&amp;64/GCD(MOD(ROUND(H86*64,0),64),64),IF(ROUND(H86*64,0)=0,"0",""))&amp;""""))</f>
        <v/>
      </c>
      <c r="H86" s="29"/>
      <c r="I86" s="21" t="str">
        <f aca="false">IF(ISNUMBER(H86),H86*25.4,"")</f>
        <v/>
      </c>
      <c r="J86" s="29"/>
      <c r="K86" s="29"/>
      <c r="L86" s="29"/>
      <c r="M86" s="29"/>
      <c r="N86" s="29"/>
      <c r="O86" s="25" t="s">
        <v>490</v>
      </c>
      <c r="P86" s="25" t="s">
        <v>191</v>
      </c>
      <c r="Q86" s="25" t="s">
        <v>165</v>
      </c>
      <c r="R86" s="29" t="s">
        <v>289</v>
      </c>
      <c r="S86" s="29" t="s">
        <v>289</v>
      </c>
      <c r="T86" s="25" t="s">
        <v>175</v>
      </c>
      <c r="U86" s="29"/>
      <c r="V86" s="29"/>
      <c r="W86" s="29"/>
      <c r="X86" s="29"/>
      <c r="Y86" s="29"/>
      <c r="Z86" s="29"/>
      <c r="AA86" s="25"/>
      <c r="AB86" s="29" t="s">
        <v>491</v>
      </c>
      <c r="AC86" s="25"/>
    </row>
    <row r="87" customFormat="false" ht="45.75" hidden="false" customHeight="true" outlineLevel="0" collapsed="false">
      <c r="B87" s="44" t="s">
        <v>492</v>
      </c>
      <c r="C87" s="25" t="s">
        <v>481</v>
      </c>
      <c r="D87" s="29" t="str">
        <f aca="false">IF(NOT(ISNUMBER(E87)),"",IF(E87&lt;=0,"",IF(ABS(E87*64-ROUND(E87*64,0))&gt;0.0005,"≈ ","")&amp;IF(INT(ROUND(E87*64,0)/64)&gt;0,INT(ROUND(E87*64,0)/64)&amp;IF(MOD(ROUND(E87*64,0),64)&gt;0," ",""),"")&amp;IF(MOD(ROUND(E87*64,0),64)&gt;0,MOD(ROUND(E87*64,0),64)/GCD(MOD(ROUND(E87*64,0),64),64)&amp;"/"&amp;64/GCD(MOD(ROUND(E87*64,0),64),64),IF(ROUND(E87*64,0)=0,"0",""))&amp;""""))</f>
        <v/>
      </c>
      <c r="E87" s="29"/>
      <c r="F87" s="21" t="str">
        <f aca="false">IF(ISNUMBER(E87),E87*25.4,"")</f>
        <v/>
      </c>
      <c r="G87" s="29" t="str">
        <f aca="false">IF(NOT(ISNUMBER(H87)),"",IF(H87&lt;=0,"",IF(ABS(H87*64-ROUND(H87*64,0))&gt;0.0005,"≈ ","")&amp;IF(INT(ROUND(H87*64,0)/64)&gt;0,INT(ROUND(H87*64,0)/64)&amp;IF(MOD(ROUND(H87*64,0),64)&gt;0," ",""),"")&amp;IF(MOD(ROUND(H87*64,0),64)&gt;0,MOD(ROUND(H87*64,0),64)/GCD(MOD(ROUND(H87*64,0),64),64)&amp;"/"&amp;64/GCD(MOD(ROUND(H87*64,0),64),64),IF(ROUND(H87*64,0)=0,"0",""))&amp;""""))</f>
        <v/>
      </c>
      <c r="H87" s="29"/>
      <c r="I87" s="21" t="str">
        <f aca="false">IF(ISNUMBER(H87),H87*25.4,"")</f>
        <v/>
      </c>
      <c r="J87" s="29"/>
      <c r="K87" s="29"/>
      <c r="L87" s="29"/>
      <c r="M87" s="29"/>
      <c r="N87" s="29"/>
      <c r="O87" s="25" t="s">
        <v>493</v>
      </c>
      <c r="P87" s="25" t="s">
        <v>494</v>
      </c>
      <c r="Q87" s="25" t="s">
        <v>157</v>
      </c>
      <c r="R87" s="29" t="s">
        <v>289</v>
      </c>
      <c r="S87" s="29" t="s">
        <v>289</v>
      </c>
      <c r="T87" s="25" t="s">
        <v>153</v>
      </c>
      <c r="U87" s="29"/>
      <c r="V87" s="29"/>
      <c r="W87" s="29"/>
      <c r="X87" s="29"/>
      <c r="Y87" s="29"/>
      <c r="Z87" s="29"/>
      <c r="AA87" s="25"/>
      <c r="AB87" s="29" t="s">
        <v>495</v>
      </c>
      <c r="AC87" s="25"/>
      <c r="AD87" s="46" t="s">
        <v>152</v>
      </c>
    </row>
    <row r="88" customFormat="false" ht="45.75" hidden="false" customHeight="true" outlineLevel="0" collapsed="false">
      <c r="B88" s="44" t="s">
        <v>496</v>
      </c>
      <c r="C88" s="25" t="s">
        <v>481</v>
      </c>
      <c r="D88" s="29" t="str">
        <f aca="false">IF(NOT(ISNUMBER(E88)),"",IF(E88&lt;=0,"",IF(ABS(E88*64-ROUND(E88*64,0))&gt;0.0005,"≈ ","")&amp;IF(INT(ROUND(E88*64,0)/64)&gt;0,INT(ROUND(E88*64,0)/64)&amp;IF(MOD(ROUND(E88*64,0),64)&gt;0," ",""),"")&amp;IF(MOD(ROUND(E88*64,0),64)&gt;0,MOD(ROUND(E88*64,0),64)/GCD(MOD(ROUND(E88*64,0),64),64)&amp;"/"&amp;64/GCD(MOD(ROUND(E88*64,0),64),64),IF(ROUND(E88*64,0)=0,"0",""))&amp;""""))</f>
        <v/>
      </c>
      <c r="E88" s="29"/>
      <c r="F88" s="21" t="str">
        <f aca="false">IF(ISNUMBER(E88),E88*25.4,"")</f>
        <v/>
      </c>
      <c r="G88" s="29" t="str">
        <f aca="false">IF(NOT(ISNUMBER(H88)),"",IF(H88&lt;=0,"",IF(ABS(H88*64-ROUND(H88*64,0))&gt;0.0005,"≈ ","")&amp;IF(INT(ROUND(H88*64,0)/64)&gt;0,INT(ROUND(H88*64,0)/64)&amp;IF(MOD(ROUND(H88*64,0),64)&gt;0," ",""),"")&amp;IF(MOD(ROUND(H88*64,0),64)&gt;0,MOD(ROUND(H88*64,0),64)/GCD(MOD(ROUND(H88*64,0),64),64)&amp;"/"&amp;64/GCD(MOD(ROUND(H88*64,0),64),64),IF(ROUND(H88*64,0)=0,"0",""))&amp;""""))</f>
        <v/>
      </c>
      <c r="H88" s="29"/>
      <c r="I88" s="21" t="str">
        <f aca="false">IF(ISNUMBER(H88),H88*25.4,"")</f>
        <v/>
      </c>
      <c r="J88" s="29" t="s">
        <v>200</v>
      </c>
      <c r="K88" s="29"/>
      <c r="L88" s="29"/>
      <c r="M88" s="29"/>
      <c r="N88" s="29"/>
      <c r="O88" s="25" t="s">
        <v>497</v>
      </c>
      <c r="P88" s="25" t="s">
        <v>170</v>
      </c>
      <c r="Q88" s="25" t="s">
        <v>157</v>
      </c>
      <c r="R88" s="29"/>
      <c r="S88" s="29"/>
      <c r="T88" s="25" t="s">
        <v>498</v>
      </c>
      <c r="U88" s="29"/>
      <c r="V88" s="29"/>
      <c r="W88" s="29"/>
      <c r="X88" s="29"/>
      <c r="Y88" s="29"/>
      <c r="Z88" s="29"/>
      <c r="AA88" s="25" t="s">
        <v>181</v>
      </c>
      <c r="AB88" s="29" t="s">
        <v>499</v>
      </c>
      <c r="AC88" s="25"/>
      <c r="AD88" s="46" t="s">
        <v>152</v>
      </c>
    </row>
    <row r="89" customFormat="false" ht="45.75" hidden="false" customHeight="true" outlineLevel="0" collapsed="false">
      <c r="B89" s="44" t="s">
        <v>500</v>
      </c>
      <c r="C89" s="25" t="s">
        <v>481</v>
      </c>
      <c r="D89" s="29" t="str">
        <f aca="false">IF(NOT(ISNUMBER(E89)),"",IF(E89&lt;=0,"",IF(ABS(E89*64-ROUND(E89*64,0))&gt;0.0005,"≈ ","")&amp;IF(INT(ROUND(E89*64,0)/64)&gt;0,INT(ROUND(E89*64,0)/64)&amp;IF(MOD(ROUND(E89*64,0),64)&gt;0," ",""),"")&amp;IF(MOD(ROUND(E89*64,0),64)&gt;0,MOD(ROUND(E89*64,0),64)/GCD(MOD(ROUND(E89*64,0),64),64)&amp;"/"&amp;64/GCD(MOD(ROUND(E89*64,0),64),64),IF(ROUND(E89*64,0)=0,"0",""))&amp;""""))</f>
        <v/>
      </c>
      <c r="E89" s="29"/>
      <c r="F89" s="21" t="str">
        <f aca="false">IF(ISNUMBER(E89),E89*25.4,"")</f>
        <v/>
      </c>
      <c r="G89" s="29" t="str">
        <f aca="false">IF(NOT(ISNUMBER(H89)),"",IF(H89&lt;=0,"",IF(ABS(H89*64-ROUND(H89*64,0))&gt;0.0005,"≈ ","")&amp;IF(INT(ROUND(H89*64,0)/64)&gt;0,INT(ROUND(H89*64,0)/64)&amp;IF(MOD(ROUND(H89*64,0),64)&gt;0," ",""),"")&amp;IF(MOD(ROUND(H89*64,0),64)&gt;0,MOD(ROUND(H89*64,0),64)/GCD(MOD(ROUND(H89*64,0),64),64)&amp;"/"&amp;64/GCD(MOD(ROUND(H89*64,0),64),64),IF(ROUND(H89*64,0)=0,"0",""))&amp;""""))</f>
        <v/>
      </c>
      <c r="H89" s="29"/>
      <c r="I89" s="21" t="str">
        <f aca="false">IF(ISNUMBER(H89),H89*25.4,"")</f>
        <v/>
      </c>
      <c r="J89" s="29" t="s">
        <v>200</v>
      </c>
      <c r="K89" s="29"/>
      <c r="L89" s="29"/>
      <c r="M89" s="29"/>
      <c r="N89" s="29"/>
      <c r="O89" s="25" t="s">
        <v>501</v>
      </c>
      <c r="P89" s="25" t="s">
        <v>191</v>
      </c>
      <c r="Q89" s="25" t="s">
        <v>157</v>
      </c>
      <c r="R89" s="29"/>
      <c r="S89" s="29"/>
      <c r="T89" s="25" t="s">
        <v>502</v>
      </c>
      <c r="U89" s="29"/>
      <c r="V89" s="29"/>
      <c r="W89" s="29"/>
      <c r="X89" s="29"/>
      <c r="Y89" s="29"/>
      <c r="Z89" s="29"/>
      <c r="AA89" s="25"/>
      <c r="AB89" s="29" t="s">
        <v>503</v>
      </c>
      <c r="AC89" s="25"/>
      <c r="AD89" s="46" t="s">
        <v>152</v>
      </c>
    </row>
    <row r="90" customFormat="false" ht="45.75" hidden="false" customHeight="true" outlineLevel="0" collapsed="false">
      <c r="B90" s="44" t="s">
        <v>504</v>
      </c>
      <c r="C90" s="25" t="s">
        <v>481</v>
      </c>
      <c r="D90" s="29" t="str">
        <f aca="false">IF(NOT(ISNUMBER(E90)),"",IF(E90&lt;=0,"",IF(ABS(E90*64-ROUND(E90*64,0))&gt;0.0005,"≈ ","")&amp;IF(INT(ROUND(E90*64,0)/64)&gt;0,INT(ROUND(E90*64,0)/64)&amp;IF(MOD(ROUND(E90*64,0),64)&gt;0," ",""),"")&amp;IF(MOD(ROUND(E90*64,0),64)&gt;0,MOD(ROUND(E90*64,0),64)/GCD(MOD(ROUND(E90*64,0),64),64)&amp;"/"&amp;64/GCD(MOD(ROUND(E90*64,0),64),64),IF(ROUND(E90*64,0)=0,"0",""))&amp;""""))</f>
        <v>≈ 3/16"</v>
      </c>
      <c r="E90" s="45" t="n">
        <v>0.189</v>
      </c>
      <c r="F90" s="21" t="n">
        <f aca="false">IF(ISNUMBER(E90),E90*25.4,"")</f>
        <v>4.8006</v>
      </c>
      <c r="G90" s="29" t="str">
        <f aca="false">IF(NOT(ISNUMBER(H90)),"",IF(H90&lt;=0,"",IF(ABS(H90*64-ROUND(H90*64,0))&gt;0.0005,"≈ ","")&amp;IF(INT(ROUND(H90*64,0)/64)&gt;0,INT(ROUND(H90*64,0)/64)&amp;IF(MOD(ROUND(H90*64,0),64)&gt;0," ",""),"")&amp;IF(MOD(ROUND(H90*64,0),64)&gt;0,MOD(ROUND(H90*64,0),64)/GCD(MOD(ROUND(H90*64,0),64),64)&amp;"/"&amp;64/GCD(MOD(ROUND(H90*64,0),64),64),IF(ROUND(H90*64,0)=0,"0",""))&amp;""""))</f>
        <v/>
      </c>
      <c r="H90" s="29"/>
      <c r="I90" s="21" t="str">
        <f aca="false">IF(ISNUMBER(H90),H90*25.4,"")</f>
        <v/>
      </c>
      <c r="J90" s="29" t="s">
        <v>200</v>
      </c>
      <c r="K90" s="29"/>
      <c r="L90" s="45" t="n">
        <v>1</v>
      </c>
      <c r="M90" s="29"/>
      <c r="N90" s="29"/>
      <c r="O90" s="25" t="s">
        <v>505</v>
      </c>
      <c r="P90" s="25" t="s">
        <v>494</v>
      </c>
      <c r="Q90" s="25" t="s">
        <v>157</v>
      </c>
      <c r="R90" s="29"/>
      <c r="S90" s="29"/>
      <c r="T90" s="25" t="s">
        <v>506</v>
      </c>
      <c r="U90" s="29"/>
      <c r="V90" s="29"/>
      <c r="W90" s="29"/>
      <c r="X90" s="29"/>
      <c r="Y90" s="29"/>
      <c r="Z90" s="29"/>
      <c r="AA90" s="25"/>
      <c r="AB90" s="29" t="s">
        <v>507</v>
      </c>
      <c r="AC90" s="25"/>
      <c r="AD90" s="46" t="s">
        <v>152</v>
      </c>
    </row>
    <row r="91" customFormat="false" ht="45.75" hidden="false" customHeight="true" outlineLevel="0" collapsed="false">
      <c r="B91" s="44" t="s">
        <v>508</v>
      </c>
      <c r="C91" s="25" t="s">
        <v>481</v>
      </c>
      <c r="D91" s="29" t="str">
        <f aca="false">IF(NOT(ISNUMBER(E91)),"",IF(E91&lt;=0,"",IF(ABS(E91*64-ROUND(E91*64,0))&gt;0.0005,"≈ ","")&amp;IF(INT(ROUND(E91*64,0)/64)&gt;0,INT(ROUND(E91*64,0)/64)&amp;IF(MOD(ROUND(E91*64,0),64)&gt;0," ",""),"")&amp;IF(MOD(ROUND(E91*64,0),64)&gt;0,MOD(ROUND(E91*64,0),64)/GCD(MOD(ROUND(E91*64,0),64),64)&amp;"/"&amp;64/GCD(MOD(ROUND(E91*64,0),64),64),IF(ROUND(E91*64,0)=0,"0",""))&amp;""""))</f>
        <v/>
      </c>
      <c r="E91" s="29"/>
      <c r="F91" s="21" t="str">
        <f aca="false">IF(ISNUMBER(E91),E91*25.4,"")</f>
        <v/>
      </c>
      <c r="G91" s="29" t="str">
        <f aca="false">IF(NOT(ISNUMBER(H91)),"",IF(H91&lt;=0,"",IF(ABS(H91*64-ROUND(H91*64,0))&gt;0.0005,"≈ ","")&amp;IF(INT(ROUND(H91*64,0)/64)&gt;0,INT(ROUND(H91*64,0)/64)&amp;IF(MOD(ROUND(H91*64,0),64)&gt;0," ",""),"")&amp;IF(MOD(ROUND(H91*64,0),64)&gt;0,MOD(ROUND(H91*64,0),64)/GCD(MOD(ROUND(H91*64,0),64),64)&amp;"/"&amp;64/GCD(MOD(ROUND(H91*64,0),64),64),IF(ROUND(H91*64,0)=0,"0",""))&amp;""""))</f>
        <v/>
      </c>
      <c r="H91" s="29"/>
      <c r="I91" s="21" t="str">
        <f aca="false">IF(ISNUMBER(H91),H91*25.4,"")</f>
        <v/>
      </c>
      <c r="J91" s="29"/>
      <c r="K91" s="29"/>
      <c r="L91" s="29"/>
      <c r="M91" s="29"/>
      <c r="N91" s="29"/>
      <c r="O91" s="25" t="s">
        <v>509</v>
      </c>
      <c r="P91" s="25" t="s">
        <v>145</v>
      </c>
      <c r="Q91" s="25" t="s">
        <v>146</v>
      </c>
      <c r="R91" s="29" t="s">
        <v>289</v>
      </c>
      <c r="S91" s="29" t="s">
        <v>289</v>
      </c>
      <c r="T91" s="25"/>
      <c r="U91" s="29"/>
      <c r="V91" s="29"/>
      <c r="W91" s="29"/>
      <c r="X91" s="29"/>
      <c r="Y91" s="29"/>
      <c r="Z91" s="29"/>
      <c r="AA91" s="25"/>
      <c r="AB91" s="29" t="s">
        <v>510</v>
      </c>
      <c r="AC91" s="25"/>
      <c r="AD91" s="46" t="s">
        <v>152</v>
      </c>
    </row>
    <row r="92" customFormat="false" ht="45.75" hidden="false" customHeight="true" outlineLevel="0" collapsed="false">
      <c r="B92" s="44" t="s">
        <v>511</v>
      </c>
      <c r="C92" s="25" t="s">
        <v>481</v>
      </c>
      <c r="D92" s="29" t="str">
        <f aca="false">IF(NOT(ISNUMBER(E92)),"",IF(E92&lt;=0,"",IF(ABS(E92*64-ROUND(E92*64,0))&gt;0.0005,"≈ ","")&amp;IF(INT(ROUND(E92*64,0)/64)&gt;0,INT(ROUND(E92*64,0)/64)&amp;IF(MOD(ROUND(E92*64,0),64)&gt;0," ",""),"")&amp;IF(MOD(ROUND(E92*64,0),64)&gt;0,MOD(ROUND(E92*64,0),64)/GCD(MOD(ROUND(E92*64,0),64),64)&amp;"/"&amp;64/GCD(MOD(ROUND(E92*64,0),64),64),IF(ROUND(E92*64,0)=0,"0",""))&amp;""""))</f>
        <v/>
      </c>
      <c r="E92" s="29"/>
      <c r="F92" s="21" t="str">
        <f aca="false">IF(ISNUMBER(E92),E92*25.4,"")</f>
        <v/>
      </c>
      <c r="G92" s="29" t="str">
        <f aca="false">IF(NOT(ISNUMBER(H92)),"",IF(H92&lt;=0,"",IF(ABS(H92*64-ROUND(H92*64,0))&gt;0.0005,"≈ ","")&amp;IF(INT(ROUND(H92*64,0)/64)&gt;0,INT(ROUND(H92*64,0)/64)&amp;IF(MOD(ROUND(H92*64,0),64)&gt;0," ",""),"")&amp;IF(MOD(ROUND(H92*64,0),64)&gt;0,MOD(ROUND(H92*64,0),64)/GCD(MOD(ROUND(H92*64,0),64),64)&amp;"/"&amp;64/GCD(MOD(ROUND(H92*64,0),64),64),IF(ROUND(H92*64,0)=0,"0",""))&amp;""""))</f>
        <v/>
      </c>
      <c r="H92" s="29"/>
      <c r="I92" s="21" t="str">
        <f aca="false">IF(ISNUMBER(H92),H92*25.4,"")</f>
        <v/>
      </c>
      <c r="J92" s="29"/>
      <c r="K92" s="29"/>
      <c r="L92" s="29"/>
      <c r="M92" s="29"/>
      <c r="N92" s="29"/>
      <c r="O92" s="25" t="s">
        <v>512</v>
      </c>
      <c r="P92" s="25" t="s">
        <v>191</v>
      </c>
      <c r="Q92" s="25" t="s">
        <v>157</v>
      </c>
      <c r="R92" s="29" t="s">
        <v>289</v>
      </c>
      <c r="S92" s="29" t="s">
        <v>289</v>
      </c>
      <c r="T92" s="25"/>
      <c r="U92" s="29"/>
      <c r="V92" s="29"/>
      <c r="W92" s="29"/>
      <c r="X92" s="29"/>
      <c r="Y92" s="29"/>
      <c r="Z92" s="29"/>
      <c r="AA92" s="25"/>
      <c r="AB92" s="29" t="s">
        <v>513</v>
      </c>
      <c r="AC92" s="25"/>
    </row>
    <row r="93" customFormat="false" ht="45.75" hidden="false" customHeight="true" outlineLevel="0" collapsed="false">
      <c r="B93" s="44" t="s">
        <v>514</v>
      </c>
      <c r="C93" s="25" t="s">
        <v>481</v>
      </c>
      <c r="D93" s="29" t="str">
        <f aca="false">IF(NOT(ISNUMBER(E93)),"",IF(E93&lt;=0,"",IF(ABS(E93*64-ROUND(E93*64,0))&gt;0.0005,"≈ ","")&amp;IF(INT(ROUND(E93*64,0)/64)&gt;0,INT(ROUND(E93*64,0)/64)&amp;IF(MOD(ROUND(E93*64,0),64)&gt;0," ",""),"")&amp;IF(MOD(ROUND(E93*64,0),64)&gt;0,MOD(ROUND(E93*64,0),64)/GCD(MOD(ROUND(E93*64,0),64),64)&amp;"/"&amp;64/GCD(MOD(ROUND(E93*64,0),64),64),IF(ROUND(E93*64,0)=0,"0",""))&amp;""""))</f>
        <v>≈ 27/64"</v>
      </c>
      <c r="E93" s="45" t="n">
        <v>0.415</v>
      </c>
      <c r="F93" s="21" t="n">
        <f aca="false">IF(ISNUMBER(E93),E93*25.4,"")</f>
        <v>10.541</v>
      </c>
      <c r="G93" s="29" t="str">
        <f aca="false">IF(NOT(ISNUMBER(H93)),"",IF(H93&lt;=0,"",IF(ABS(H93*64-ROUND(H93*64,0))&gt;0.0005,"≈ ","")&amp;IF(INT(ROUND(H93*64,0)/64)&gt;0,INT(ROUND(H93*64,0)/64)&amp;IF(MOD(ROUND(H93*64,0),64)&gt;0," ",""),"")&amp;IF(MOD(ROUND(H93*64,0),64)&gt;0,MOD(ROUND(H93*64,0),64)/GCD(MOD(ROUND(H93*64,0),64),64)&amp;"/"&amp;64/GCD(MOD(ROUND(H93*64,0),64),64),IF(ROUND(H93*64,0)=0,"0",""))&amp;""""))</f>
        <v/>
      </c>
      <c r="H93" s="29"/>
      <c r="I93" s="21" t="str">
        <f aca="false">IF(ISNUMBER(H93),H93*25.4,"")</f>
        <v/>
      </c>
      <c r="J93" s="29"/>
      <c r="K93" s="29"/>
      <c r="L93" s="45" t="n">
        <v>0.3125</v>
      </c>
      <c r="M93" s="29"/>
      <c r="N93" s="29"/>
      <c r="O93" s="25" t="s">
        <v>515</v>
      </c>
      <c r="P93" s="25" t="s">
        <v>272</v>
      </c>
      <c r="Q93" s="25" t="s">
        <v>272</v>
      </c>
      <c r="R93" s="29"/>
      <c r="S93" s="29"/>
      <c r="T93" s="25" t="s">
        <v>516</v>
      </c>
      <c r="U93" s="29"/>
      <c r="V93" s="29"/>
      <c r="W93" s="29"/>
      <c r="X93" s="29" t="s">
        <v>517</v>
      </c>
      <c r="Y93" s="29"/>
      <c r="Z93" s="29"/>
      <c r="AA93" s="25" t="s">
        <v>518</v>
      </c>
      <c r="AB93" s="29" t="s">
        <v>519</v>
      </c>
      <c r="AC93" s="25" t="s">
        <v>520</v>
      </c>
      <c r="AD93" s="46" t="s">
        <v>152</v>
      </c>
    </row>
    <row r="94" customFormat="false" ht="45.75" hidden="false" customHeight="true" outlineLevel="0" collapsed="false">
      <c r="B94" s="44" t="s">
        <v>521</v>
      </c>
      <c r="C94" s="25" t="s">
        <v>481</v>
      </c>
      <c r="D94" s="29" t="str">
        <f aca="false">IF(NOT(ISNUMBER(E94)),"",IF(E94&lt;=0,"",IF(ABS(E94*64-ROUND(E94*64,0))&gt;0.0005,"≈ ","")&amp;IF(INT(ROUND(E94*64,0)/64)&gt;0,INT(ROUND(E94*64,0)/64)&amp;IF(MOD(ROUND(E94*64,0),64)&gt;0," ",""),"")&amp;IF(MOD(ROUND(E94*64,0),64)&gt;0,MOD(ROUND(E94*64,0),64)/GCD(MOD(ROUND(E94*64,0),64),64)&amp;"/"&amp;64/GCD(MOD(ROUND(E94*64,0),64),64),IF(ROUND(E94*64,0)=0,"0",""))&amp;""""))</f>
        <v/>
      </c>
      <c r="E94" s="29"/>
      <c r="F94" s="21" t="str">
        <f aca="false">IF(ISNUMBER(E94),E94*25.4,"")</f>
        <v/>
      </c>
      <c r="G94" s="29" t="str">
        <f aca="false">IF(NOT(ISNUMBER(H94)),"",IF(H94&lt;=0,"",IF(ABS(H94*64-ROUND(H94*64,0))&gt;0.0005,"≈ ","")&amp;IF(INT(ROUND(H94*64,0)/64)&gt;0,INT(ROUND(H94*64,0)/64)&amp;IF(MOD(ROUND(H94*64,0),64)&gt;0," ",""),"")&amp;IF(MOD(ROUND(H94*64,0),64)&gt;0,MOD(ROUND(H94*64,0),64)/GCD(MOD(ROUND(H94*64,0),64),64)&amp;"/"&amp;64/GCD(MOD(ROUND(H94*64,0),64),64),IF(ROUND(H94*64,0)=0,"0",""))&amp;""""))</f>
        <v/>
      </c>
      <c r="H94" s="29"/>
      <c r="I94" s="21" t="str">
        <f aca="false">IF(ISNUMBER(H94),H94*25.4,"")</f>
        <v/>
      </c>
      <c r="J94" s="29" t="s">
        <v>200</v>
      </c>
      <c r="K94" s="29"/>
      <c r="L94" s="29"/>
      <c r="M94" s="29"/>
      <c r="N94" s="29"/>
      <c r="O94" s="25" t="s">
        <v>522</v>
      </c>
      <c r="P94" s="25" t="s">
        <v>145</v>
      </c>
      <c r="Q94" s="25" t="s">
        <v>146</v>
      </c>
      <c r="R94" s="29"/>
      <c r="S94" s="29"/>
      <c r="T94" s="25" t="s">
        <v>213</v>
      </c>
      <c r="U94" s="29"/>
      <c r="V94" s="29"/>
      <c r="W94" s="29"/>
      <c r="X94" s="29"/>
      <c r="Y94" s="29"/>
      <c r="Z94" s="29"/>
      <c r="AA94" s="25"/>
      <c r="AB94" s="29" t="s">
        <v>523</v>
      </c>
      <c r="AC94" s="25"/>
      <c r="AD94" s="46" t="s">
        <v>152</v>
      </c>
    </row>
    <row r="95" customFormat="false" ht="45.75" hidden="false" customHeight="true" outlineLevel="0" collapsed="false">
      <c r="B95" s="44" t="s">
        <v>524</v>
      </c>
      <c r="C95" s="25" t="s">
        <v>481</v>
      </c>
      <c r="D95" s="29" t="str">
        <f aca="false">IF(NOT(ISNUMBER(E95)),"",IF(E95&lt;=0,"",IF(ABS(E95*64-ROUND(E95*64,0))&gt;0.0005,"≈ ","")&amp;IF(INT(ROUND(E95*64,0)/64)&gt;0,INT(ROUND(E95*64,0)/64)&amp;IF(MOD(ROUND(E95*64,0),64)&gt;0," ",""),"")&amp;IF(MOD(ROUND(E95*64,0),64)&gt;0,MOD(ROUND(E95*64,0),64)/GCD(MOD(ROUND(E95*64,0),64),64)&amp;"/"&amp;64/GCD(MOD(ROUND(E95*64,0),64),64),IF(ROUND(E95*64,0)=0,"0",""))&amp;""""))</f>
        <v>≈ 35/64"</v>
      </c>
      <c r="E95" s="45" t="n">
        <v>0.5512</v>
      </c>
      <c r="F95" s="21" t="n">
        <f aca="false">IF(ISNUMBER(E95),E95*25.4,"")</f>
        <v>14.00048</v>
      </c>
      <c r="G95" s="29" t="str">
        <f aca="false">IF(NOT(ISNUMBER(H95)),"",IF(H95&lt;=0,"",IF(ABS(H95*64-ROUND(H95*64,0))&gt;0.0005,"≈ ","")&amp;IF(INT(ROUND(H95*64,0)/64)&gt;0,INT(ROUND(H95*64,0)/64)&amp;IF(MOD(ROUND(H95*64,0),64)&gt;0," ",""),"")&amp;IF(MOD(ROUND(H95*64,0),64)&gt;0,MOD(ROUND(H95*64,0),64)/GCD(MOD(ROUND(H95*64,0),64),64)&amp;"/"&amp;64/GCD(MOD(ROUND(H95*64,0),64),64),IF(ROUND(H95*64,0)=0,"0",""))&amp;""""))</f>
        <v/>
      </c>
      <c r="H95" s="29"/>
      <c r="I95" s="21" t="str">
        <f aca="false">IF(ISNUMBER(H95),H95*25.4,"")</f>
        <v/>
      </c>
      <c r="J95" s="29"/>
      <c r="K95" s="29"/>
      <c r="L95" s="45" t="n">
        <v>0.625</v>
      </c>
      <c r="M95" s="29"/>
      <c r="N95" s="29"/>
      <c r="O95" s="25" t="s">
        <v>525</v>
      </c>
      <c r="P95" s="25" t="s">
        <v>191</v>
      </c>
      <c r="Q95" s="25" t="s">
        <v>157</v>
      </c>
      <c r="R95" s="29"/>
      <c r="S95" s="29"/>
      <c r="T95" s="25" t="s">
        <v>218</v>
      </c>
      <c r="U95" s="29"/>
      <c r="V95" s="29"/>
      <c r="W95" s="29"/>
      <c r="X95" s="29"/>
      <c r="Y95" s="29"/>
      <c r="Z95" s="29"/>
      <c r="AA95" s="25"/>
      <c r="AB95" s="29" t="s">
        <v>526</v>
      </c>
      <c r="AC95" s="25"/>
      <c r="AD95" s="46" t="s">
        <v>152</v>
      </c>
    </row>
    <row r="96" customFormat="false" ht="45.75" hidden="false" customHeight="true" outlineLevel="0" collapsed="false">
      <c r="B96" s="44" t="s">
        <v>527</v>
      </c>
      <c r="C96" s="25" t="s">
        <v>481</v>
      </c>
      <c r="D96" s="29" t="str">
        <f aca="false">IF(NOT(ISNUMBER(E96)),"",IF(E96&lt;=0,"",IF(ABS(E96*64-ROUND(E96*64,0))&gt;0.0005,"≈ ","")&amp;IF(INT(ROUND(E96*64,0)/64)&gt;0,INT(ROUND(E96*64,0)/64)&amp;IF(MOD(ROUND(E96*64,0),64)&gt;0," ",""),"")&amp;IF(MOD(ROUND(E96*64,0),64)&gt;0,MOD(ROUND(E96*64,0),64)/GCD(MOD(ROUND(E96*64,0),64),64)&amp;"/"&amp;64/GCD(MOD(ROUND(E96*64,0),64),64),IF(ROUND(E96*64,0)=0,"0",""))&amp;""""))</f>
        <v/>
      </c>
      <c r="E96" s="29"/>
      <c r="F96" s="21" t="str">
        <f aca="false">IF(ISNUMBER(E96),E96*25.4,"")</f>
        <v/>
      </c>
      <c r="G96" s="29" t="str">
        <f aca="false">IF(NOT(ISNUMBER(H96)),"",IF(H96&lt;=0,"",IF(ABS(H96*64-ROUND(H96*64,0))&gt;0.0005,"≈ ","")&amp;IF(INT(ROUND(H96*64,0)/64)&gt;0,INT(ROUND(H96*64,0)/64)&amp;IF(MOD(ROUND(H96*64,0),64)&gt;0," ",""),"")&amp;IF(MOD(ROUND(H96*64,0),64)&gt;0,MOD(ROUND(H96*64,0),64)/GCD(MOD(ROUND(H96*64,0),64),64)&amp;"/"&amp;64/GCD(MOD(ROUND(H96*64,0),64),64),IF(ROUND(H96*64,0)=0,"0",""))&amp;""""))</f>
        <v/>
      </c>
      <c r="H96" s="29"/>
      <c r="I96" s="21" t="str">
        <f aca="false">IF(ISNUMBER(H96),H96*25.4,"")</f>
        <v/>
      </c>
      <c r="J96" s="29"/>
      <c r="K96" s="29"/>
      <c r="L96" s="29"/>
      <c r="M96" s="29"/>
      <c r="N96" s="29"/>
      <c r="O96" s="25" t="s">
        <v>528</v>
      </c>
      <c r="P96" s="25" t="s">
        <v>191</v>
      </c>
      <c r="Q96" s="25" t="s">
        <v>157</v>
      </c>
      <c r="R96" s="29" t="s">
        <v>289</v>
      </c>
      <c r="S96" s="29" t="s">
        <v>289</v>
      </c>
      <c r="T96" s="25"/>
      <c r="U96" s="29"/>
      <c r="V96" s="29"/>
      <c r="W96" s="29"/>
      <c r="X96" s="29"/>
      <c r="Y96" s="29"/>
      <c r="Z96" s="29"/>
      <c r="AA96" s="25"/>
      <c r="AB96" s="29" t="s">
        <v>529</v>
      </c>
      <c r="AC96" s="25"/>
    </row>
    <row r="97" customFormat="false" ht="45.75" hidden="false" customHeight="true" outlineLevel="0" collapsed="false">
      <c r="B97" s="44" t="s">
        <v>530</v>
      </c>
      <c r="C97" s="25" t="s">
        <v>481</v>
      </c>
      <c r="D97" s="29" t="str">
        <f aca="false">IF(NOT(ISNUMBER(E97)),"",IF(E97&lt;=0,"",IF(ABS(E97*64-ROUND(E97*64,0))&gt;0.0005,"≈ ","")&amp;IF(INT(ROUND(E97*64,0)/64)&gt;0,INT(ROUND(E97*64,0)/64)&amp;IF(MOD(ROUND(E97*64,0),64)&gt;0," ",""),"")&amp;IF(MOD(ROUND(E97*64,0),64)&gt;0,MOD(ROUND(E97*64,0),64)/GCD(MOD(ROUND(E97*64,0),64),64)&amp;"/"&amp;64/GCD(MOD(ROUND(E97*64,0),64),64),IF(ROUND(E97*64,0)=0,"0",""))&amp;""""))</f>
        <v>1/2"</v>
      </c>
      <c r="E97" s="45" t="n">
        <v>0.5</v>
      </c>
      <c r="F97" s="21" t="n">
        <f aca="false">IF(ISNUMBER(E97),E97*25.4,"")</f>
        <v>12.7</v>
      </c>
      <c r="G97" s="29" t="str">
        <f aca="false">IF(NOT(ISNUMBER(H97)),"",IF(H97&lt;=0,"",IF(ABS(H97*64-ROUND(H97*64,0))&gt;0.0005,"≈ ","")&amp;IF(INT(ROUND(H97*64,0)/64)&gt;0,INT(ROUND(H97*64,0)/64)&amp;IF(MOD(ROUND(H97*64,0),64)&gt;0," ",""),"")&amp;IF(MOD(ROUND(H97*64,0),64)&gt;0,MOD(ROUND(H97*64,0),64)/GCD(MOD(ROUND(H97*64,0),64),64)&amp;"/"&amp;64/GCD(MOD(ROUND(H97*64,0),64),64),IF(ROUND(H97*64,0)=0,"0",""))&amp;""""))</f>
        <v/>
      </c>
      <c r="H97" s="29"/>
      <c r="I97" s="21" t="str">
        <f aca="false">IF(ISNUMBER(H97),H97*25.4,"")</f>
        <v/>
      </c>
      <c r="J97" s="29" t="s">
        <v>200</v>
      </c>
      <c r="K97" s="29"/>
      <c r="L97" s="29"/>
      <c r="M97" s="29"/>
      <c r="N97" s="29"/>
      <c r="O97" s="25" t="s">
        <v>531</v>
      </c>
      <c r="P97" s="25" t="s">
        <v>191</v>
      </c>
      <c r="Q97" s="25" t="s">
        <v>157</v>
      </c>
      <c r="R97" s="29"/>
      <c r="S97" s="29"/>
      <c r="T97" s="25" t="s">
        <v>532</v>
      </c>
      <c r="U97" s="29"/>
      <c r="V97" s="29"/>
      <c r="W97" s="29"/>
      <c r="X97" s="29"/>
      <c r="Y97" s="29"/>
      <c r="Z97" s="29"/>
      <c r="AA97" s="25"/>
      <c r="AB97" s="29" t="s">
        <v>533</v>
      </c>
      <c r="AC97" s="25"/>
    </row>
    <row r="98" customFormat="false" ht="45.75" hidden="false" customHeight="true" outlineLevel="0" collapsed="false">
      <c r="B98" s="44" t="s">
        <v>534</v>
      </c>
      <c r="C98" s="25" t="s">
        <v>481</v>
      </c>
      <c r="D98" s="29" t="str">
        <f aca="false">IF(NOT(ISNUMBER(E98)),"",IF(E98&lt;=0,"",IF(ABS(E98*64-ROUND(E98*64,0))&gt;0.0005,"≈ ","")&amp;IF(INT(ROUND(E98*64,0)/64)&gt;0,INT(ROUND(E98*64,0)/64)&amp;IF(MOD(ROUND(E98*64,0),64)&gt;0," ",""),"")&amp;IF(MOD(ROUND(E98*64,0),64)&gt;0,MOD(ROUND(E98*64,0),64)/GCD(MOD(ROUND(E98*64,0),64),64)&amp;"/"&amp;64/GCD(MOD(ROUND(E98*64,0),64),64),IF(ROUND(E98*64,0)=0,"0",""))&amp;""""))</f>
        <v>≈ 55/64"</v>
      </c>
      <c r="E98" s="45" t="n">
        <v>0.867</v>
      </c>
      <c r="F98" s="21" t="n">
        <f aca="false">IF(ISNUMBER(E98),E98*25.4,"")</f>
        <v>22.0218</v>
      </c>
      <c r="G98" s="29" t="str">
        <f aca="false">IF(NOT(ISNUMBER(H98)),"",IF(H98&lt;=0,"",IF(ABS(H98*64-ROUND(H98*64,0))&gt;0.0005,"≈ ","")&amp;IF(INT(ROUND(H98*64,0)/64)&gt;0,INT(ROUND(H98*64,0)/64)&amp;IF(MOD(ROUND(H98*64,0),64)&gt;0," ",""),"")&amp;IF(MOD(ROUND(H98*64,0),64)&gt;0,MOD(ROUND(H98*64,0),64)/GCD(MOD(ROUND(H98*64,0),64),64)&amp;"/"&amp;64/GCD(MOD(ROUND(H98*64,0),64),64),IF(ROUND(H98*64,0)=0,"0",""))&amp;""""))</f>
        <v>7"</v>
      </c>
      <c r="H98" s="45" t="n">
        <v>7</v>
      </c>
      <c r="I98" s="21" t="n">
        <f aca="false">IF(ISNUMBER(H98),H98*25.4,"")</f>
        <v>177.8</v>
      </c>
      <c r="J98" s="29" t="s">
        <v>200</v>
      </c>
      <c r="K98" s="29" t="n">
        <v>2</v>
      </c>
      <c r="L98" s="45" t="n">
        <v>1</v>
      </c>
      <c r="M98" s="45" t="n">
        <v>0.4335</v>
      </c>
      <c r="N98" s="29"/>
      <c r="O98" s="25" t="s">
        <v>535</v>
      </c>
      <c r="P98" s="25" t="s">
        <v>536</v>
      </c>
      <c r="Q98" s="25" t="s">
        <v>240</v>
      </c>
      <c r="R98" s="29"/>
      <c r="S98" s="29"/>
      <c r="T98" s="25" t="s">
        <v>256</v>
      </c>
      <c r="U98" s="29"/>
      <c r="V98" s="29"/>
      <c r="W98" s="29"/>
      <c r="X98" s="29"/>
      <c r="Y98" s="29"/>
      <c r="Z98" s="29"/>
      <c r="AA98" s="25"/>
      <c r="AB98" s="29" t="s">
        <v>537</v>
      </c>
      <c r="AC98" s="25" t="s">
        <v>538</v>
      </c>
    </row>
    <row r="99" customFormat="false" ht="45.75" hidden="false" customHeight="true" outlineLevel="0" collapsed="false">
      <c r="B99" s="44" t="s">
        <v>539</v>
      </c>
      <c r="C99" s="25" t="s">
        <v>481</v>
      </c>
      <c r="D99" s="29" t="str">
        <f aca="false">IF(NOT(ISNUMBER(E99)),"",IF(E99&lt;=0,"",IF(ABS(E99*64-ROUND(E99*64,0))&gt;0.0005,"≈ ","")&amp;IF(INT(ROUND(E99*64,0)/64)&gt;0,INT(ROUND(E99*64,0)/64)&amp;IF(MOD(ROUND(E99*64,0),64)&gt;0," ",""),"")&amp;IF(MOD(ROUND(E99*64,0),64)&gt;0,MOD(ROUND(E99*64,0),64)/GCD(MOD(ROUND(E99*64,0),64),64)&amp;"/"&amp;64/GCD(MOD(ROUND(E99*64,0),64),64),IF(ROUND(E99*64,0)=0,"0",""))&amp;""""))</f>
        <v>≈ 43/64"</v>
      </c>
      <c r="E99" s="45" t="n">
        <v>0.675</v>
      </c>
      <c r="F99" s="21" t="n">
        <f aca="false">IF(ISNUMBER(E99),E99*25.4,"")</f>
        <v>17.145</v>
      </c>
      <c r="G99" s="29" t="str">
        <f aca="false">IF(NOT(ISNUMBER(H99)),"",IF(H99&lt;=0,"",IF(ABS(H99*64-ROUND(H99*64,0))&gt;0.0005,"≈ ","")&amp;IF(INT(ROUND(H99*64,0)/64)&gt;0,INT(ROUND(H99*64,0)/64)&amp;IF(MOD(ROUND(H99*64,0),64)&gt;0," ",""),"")&amp;IF(MOD(ROUND(H99*64,0),64)&gt;0,MOD(ROUND(H99*64,0),64)/GCD(MOD(ROUND(H99*64,0),64),64)&amp;"/"&amp;64/GCD(MOD(ROUND(H99*64,0),64),64),IF(ROUND(H99*64,0)=0,"0",""))&amp;""""))</f>
        <v>1 7/8"</v>
      </c>
      <c r="H99" s="45" t="n">
        <v>1.875</v>
      </c>
      <c r="I99" s="21" t="n">
        <f aca="false">IF(ISNUMBER(H99),H99*25.4,"")</f>
        <v>47.625</v>
      </c>
      <c r="J99" s="29" t="s">
        <v>200</v>
      </c>
      <c r="K99" s="29" t="n">
        <v>2</v>
      </c>
      <c r="L99" s="45" t="n">
        <v>0.75</v>
      </c>
      <c r="M99" s="29"/>
      <c r="N99" s="29"/>
      <c r="O99" s="25" t="s">
        <v>540</v>
      </c>
      <c r="P99" s="25" t="s">
        <v>536</v>
      </c>
      <c r="Q99" s="25" t="s">
        <v>240</v>
      </c>
      <c r="R99" s="29"/>
      <c r="S99" s="29"/>
      <c r="T99" s="25" t="s">
        <v>541</v>
      </c>
      <c r="U99" s="29"/>
      <c r="V99" s="29"/>
      <c r="W99" s="29"/>
      <c r="X99" s="29"/>
      <c r="Y99" s="29"/>
      <c r="Z99" s="29"/>
      <c r="AA99" s="25"/>
      <c r="AB99" s="29" t="s">
        <v>542</v>
      </c>
      <c r="AC99" s="25" t="s">
        <v>543</v>
      </c>
    </row>
    <row r="100" customFormat="false" ht="45.75" hidden="false" customHeight="true" outlineLevel="0" collapsed="false">
      <c r="B100" s="44" t="s">
        <v>544</v>
      </c>
      <c r="C100" s="25" t="s">
        <v>545</v>
      </c>
      <c r="D100" s="29" t="str">
        <f aca="false">IF(NOT(ISNUMBER(E100)),"",IF(E100&lt;=0,"",IF(ABS(E100*64-ROUND(E100*64,0))&gt;0.0005,"≈ ","")&amp;IF(INT(ROUND(E100*64,0)/64)&gt;0,INT(ROUND(E100*64,0)/64)&amp;IF(MOD(ROUND(E100*64,0),64)&gt;0," ",""),"")&amp;IF(MOD(ROUND(E100*64,0),64)&gt;0,MOD(ROUND(E100*64,0),64)/GCD(MOD(ROUND(E100*64,0),64),64)&amp;"/"&amp;64/GCD(MOD(ROUND(E100*64,0),64),64),IF(ROUND(E100*64,0)=0,"0",""))&amp;""""))</f>
        <v>≈ 1 17/64"</v>
      </c>
      <c r="E100" s="45" t="n">
        <v>1.2598</v>
      </c>
      <c r="F100" s="21" t="n">
        <f aca="false">IF(ISNUMBER(E100),E100*25.4,"")</f>
        <v>31.99892</v>
      </c>
      <c r="G100" s="29" t="str">
        <f aca="false">IF(NOT(ISNUMBER(H100)),"",IF(H100&lt;=0,"",IF(ABS(H100*64-ROUND(H100*64,0))&gt;0.0005,"≈ ","")&amp;IF(INT(ROUND(H100*64,0)/64)&gt;0,INT(ROUND(H100*64,0)/64)&amp;IF(MOD(ROUND(H100*64,0),64)&gt;0," ",""),"")&amp;IF(MOD(ROUND(H100*64,0),64)&gt;0,MOD(ROUND(H100*64,0),64)/GCD(MOD(ROUND(H100*64,0),64),64)&amp;"/"&amp;64/GCD(MOD(ROUND(H100*64,0),64),64),IF(ROUND(H100*64,0)=0,"0",""))&amp;""""))</f>
        <v/>
      </c>
      <c r="H100" s="29"/>
      <c r="I100" s="21" t="str">
        <f aca="false">IF(ISNUMBER(H100),H100*25.4,"")</f>
        <v/>
      </c>
      <c r="J100" s="29"/>
      <c r="K100" s="29"/>
      <c r="L100" s="45" t="n">
        <v>1</v>
      </c>
      <c r="M100" s="29"/>
      <c r="N100" s="29"/>
      <c r="O100" s="25" t="s">
        <v>546</v>
      </c>
      <c r="P100" s="25" t="s">
        <v>191</v>
      </c>
      <c r="Q100" s="25" t="s">
        <v>157</v>
      </c>
      <c r="R100" s="29"/>
      <c r="S100" s="29"/>
      <c r="T100" s="25"/>
      <c r="U100" s="29"/>
      <c r="V100" s="29"/>
      <c r="W100" s="29"/>
      <c r="X100" s="29"/>
      <c r="Y100" s="29"/>
      <c r="Z100" s="29"/>
      <c r="AA100" s="25"/>
      <c r="AB100" s="29" t="s">
        <v>547</v>
      </c>
      <c r="AC100" s="25"/>
      <c r="AD100" s="46" t="s">
        <v>152</v>
      </c>
    </row>
    <row r="101" customFormat="false" ht="45.75" hidden="false" customHeight="true" outlineLevel="0" collapsed="false">
      <c r="B101" s="44" t="s">
        <v>548</v>
      </c>
      <c r="C101" s="25" t="s">
        <v>549</v>
      </c>
      <c r="D101" s="29" t="str">
        <f aca="false">IF(NOT(ISNUMBER(E101)),"",IF(E101&lt;=0,"",IF(ABS(E101*64-ROUND(E101*64,0))&gt;0.0005,"≈ ","")&amp;IF(INT(ROUND(E101*64,0)/64)&gt;0,INT(ROUND(E101*64,0)/64)&amp;IF(MOD(ROUND(E101*64,0),64)&gt;0," ",""),"")&amp;IF(MOD(ROUND(E101*64,0),64)&gt;0,MOD(ROUND(E101*64,0),64)/GCD(MOD(ROUND(E101*64,0),64),64)&amp;"/"&amp;64/GCD(MOD(ROUND(E101*64,0),64),64),IF(ROUND(E101*64,0)=0,"0",""))&amp;""""))</f>
        <v/>
      </c>
      <c r="E101" s="29"/>
      <c r="F101" s="21" t="str">
        <f aca="false">IF(ISNUMBER(E101),E101*25.4,"")</f>
        <v/>
      </c>
      <c r="G101" s="29" t="str">
        <f aca="false">IF(NOT(ISNUMBER(H101)),"",IF(H101&lt;=0,"",IF(ABS(H101*64-ROUND(H101*64,0))&gt;0.0005,"≈ ","")&amp;IF(INT(ROUND(H101*64,0)/64)&gt;0,INT(ROUND(H101*64,0)/64)&amp;IF(MOD(ROUND(H101*64,0),64)&gt;0," ",""),"")&amp;IF(MOD(ROUND(H101*64,0),64)&gt;0,MOD(ROUND(H101*64,0),64)/GCD(MOD(ROUND(H101*64,0),64),64)&amp;"/"&amp;64/GCD(MOD(ROUND(H101*64,0),64),64),IF(ROUND(H101*64,0)=0,"0",""))&amp;""""))</f>
        <v/>
      </c>
      <c r="H101" s="29"/>
      <c r="I101" s="21" t="str">
        <f aca="false">IF(ISNUMBER(H101),H101*25.4,"")</f>
        <v/>
      </c>
      <c r="J101" s="29"/>
      <c r="K101" s="29"/>
      <c r="L101" s="29"/>
      <c r="M101" s="29"/>
      <c r="N101" s="29"/>
      <c r="O101" s="25" t="s">
        <v>550</v>
      </c>
      <c r="P101" s="25"/>
      <c r="Q101" s="25"/>
      <c r="R101" s="29"/>
      <c r="S101" s="29"/>
      <c r="T101" s="25"/>
      <c r="U101" s="29"/>
      <c r="V101" s="29"/>
      <c r="W101" s="29"/>
      <c r="X101" s="29"/>
      <c r="Y101" s="29"/>
      <c r="Z101" s="29"/>
      <c r="AA101" s="25"/>
      <c r="AB101" s="29"/>
      <c r="AC101" s="25"/>
    </row>
    <row r="102" customFormat="false" ht="45.75" hidden="false" customHeight="true" outlineLevel="0" collapsed="false">
      <c r="B102" s="44" t="s">
        <v>551</v>
      </c>
      <c r="C102" s="25" t="s">
        <v>552</v>
      </c>
      <c r="D102" s="29" t="str">
        <f aca="false">IF(NOT(ISNUMBER(E102)),"",IF(E102&lt;=0,"",IF(ABS(E102*64-ROUND(E102*64,0))&gt;0.0005,"≈ ","")&amp;IF(INT(ROUND(E102*64,0)/64)&gt;0,INT(ROUND(E102*64,0)/64)&amp;IF(MOD(ROUND(E102*64,0),64)&gt;0," ",""),"")&amp;IF(MOD(ROUND(E102*64,0),64)&gt;0,MOD(ROUND(E102*64,0),64)/GCD(MOD(ROUND(E102*64,0),64),64)&amp;"/"&amp;64/GCD(MOD(ROUND(E102*64,0),64),64),IF(ROUND(E102*64,0)=0,"0",""))&amp;""""))</f>
        <v>1 1/2"</v>
      </c>
      <c r="E102" s="45" t="n">
        <v>1.5</v>
      </c>
      <c r="F102" s="21" t="n">
        <f aca="false">IF(ISNUMBER(E102),E102*25.4,"")</f>
        <v>38.1</v>
      </c>
      <c r="G102" s="29" t="str">
        <f aca="false">IF(NOT(ISNUMBER(H102)),"",IF(H102&lt;=0,"",IF(ABS(H102*64-ROUND(H102*64,0))&gt;0.0005,"≈ ","")&amp;IF(INT(ROUND(H102*64,0)/64)&gt;0,INT(ROUND(H102*64,0)/64)&amp;IF(MOD(ROUND(H102*64,0),64)&gt;0," ",""),"")&amp;IF(MOD(ROUND(H102*64,0),64)&gt;0,MOD(ROUND(H102*64,0),64)/GCD(MOD(ROUND(H102*64,0),64),64)&amp;"/"&amp;64/GCD(MOD(ROUND(H102*64,0),64),64),IF(ROUND(H102*64,0)=0,"0",""))&amp;""""))</f>
        <v/>
      </c>
      <c r="H102" s="29"/>
      <c r="I102" s="21" t="str">
        <f aca="false">IF(ISNUMBER(H102),H102*25.4,"")</f>
        <v/>
      </c>
      <c r="J102" s="29"/>
      <c r="K102" s="29"/>
      <c r="L102" s="45" t="n">
        <v>1</v>
      </c>
      <c r="M102" s="29"/>
      <c r="N102" s="29"/>
      <c r="O102" s="25" t="s">
        <v>553</v>
      </c>
      <c r="P102" s="25" t="s">
        <v>554</v>
      </c>
      <c r="Q102" s="25"/>
      <c r="R102" s="29"/>
      <c r="S102" s="29"/>
      <c r="T102" s="25"/>
      <c r="U102" s="29"/>
      <c r="V102" s="29"/>
      <c r="W102" s="29"/>
      <c r="X102" s="29"/>
      <c r="Y102" s="29"/>
      <c r="Z102" s="29"/>
      <c r="AA102" s="25"/>
      <c r="AB102" s="29" t="s">
        <v>555</v>
      </c>
      <c r="AC102" s="25"/>
      <c r="AD102" s="46" t="s">
        <v>152</v>
      </c>
    </row>
    <row r="103" customFormat="false" ht="45.75" hidden="false" customHeight="true" outlineLevel="0" collapsed="false">
      <c r="B103" s="44" t="s">
        <v>556</v>
      </c>
      <c r="C103" s="25" t="s">
        <v>557</v>
      </c>
      <c r="D103" s="29" t="str">
        <f aca="false">IF(NOT(ISNUMBER(E103)),"",IF(E103&lt;=0,"",IF(ABS(E103*64-ROUND(E103*64,0))&gt;0.0005,"≈ ","")&amp;IF(INT(ROUND(E103*64,0)/64)&gt;0,INT(ROUND(E103*64,0)/64)&amp;IF(MOD(ROUND(E103*64,0),64)&gt;0," ",""),"")&amp;IF(MOD(ROUND(E103*64,0),64)&gt;0,MOD(ROUND(E103*64,0),64)/GCD(MOD(ROUND(E103*64,0),64),64)&amp;"/"&amp;64/GCD(MOD(ROUND(E103*64,0),64),64),IF(ROUND(E103*64,0)=0,"0",""))&amp;""""))</f>
        <v/>
      </c>
      <c r="E103" s="29"/>
      <c r="F103" s="21" t="str">
        <f aca="false">IF(ISNUMBER(E103),E103*25.4,"")</f>
        <v/>
      </c>
      <c r="G103" s="29" t="str">
        <f aca="false">IF(NOT(ISNUMBER(H103)),"",IF(H103&lt;=0,"",IF(ABS(H103*64-ROUND(H103*64,0))&gt;0.0005,"≈ ","")&amp;IF(INT(ROUND(H103*64,0)/64)&gt;0,INT(ROUND(H103*64,0)/64)&amp;IF(MOD(ROUND(H103*64,0),64)&gt;0," ",""),"")&amp;IF(MOD(ROUND(H103*64,0),64)&gt;0,MOD(ROUND(H103*64,0),64)/GCD(MOD(ROUND(H103*64,0),64),64)&amp;"/"&amp;64/GCD(MOD(ROUND(H103*64,0),64),64),IF(ROUND(H103*64,0)=0,"0",""))&amp;""""))</f>
        <v/>
      </c>
      <c r="H103" s="29"/>
      <c r="I103" s="21" t="str">
        <f aca="false">IF(ISNUMBER(H103),H103*25.4,"")</f>
        <v/>
      </c>
      <c r="J103" s="29"/>
      <c r="K103" s="29"/>
      <c r="L103" s="29"/>
      <c r="M103" s="29"/>
      <c r="N103" s="29"/>
      <c r="O103" s="25" t="s">
        <v>558</v>
      </c>
      <c r="P103" s="25" t="s">
        <v>191</v>
      </c>
      <c r="Q103" s="25"/>
      <c r="R103" s="29" t="s">
        <v>289</v>
      </c>
      <c r="S103" s="29" t="s">
        <v>289</v>
      </c>
      <c r="T103" s="25"/>
      <c r="U103" s="29"/>
      <c r="V103" s="29"/>
      <c r="W103" s="29"/>
      <c r="X103" s="29"/>
      <c r="Y103" s="29"/>
      <c r="Z103" s="29"/>
      <c r="AA103" s="25"/>
      <c r="AB103" s="29"/>
      <c r="AC103" s="25"/>
    </row>
    <row r="104" customFormat="false" ht="45.75" hidden="false" customHeight="true" outlineLevel="0" collapsed="false">
      <c r="B104" s="44" t="s">
        <v>559</v>
      </c>
      <c r="C104" s="25" t="s">
        <v>557</v>
      </c>
      <c r="D104" s="29" t="str">
        <f aca="false">IF(NOT(ISNUMBER(E104)),"",IF(E104&lt;=0,"",IF(ABS(E104*64-ROUND(E104*64,0))&gt;0.0005,"≈ ","")&amp;IF(INT(ROUND(E104*64,0)/64)&gt;0,INT(ROUND(E104*64,0)/64)&amp;IF(MOD(ROUND(E104*64,0),64)&gt;0," ",""),"")&amp;IF(MOD(ROUND(E104*64,0),64)&gt;0,MOD(ROUND(E104*64,0),64)/GCD(MOD(ROUND(E104*64,0),64),64)&amp;"/"&amp;64/GCD(MOD(ROUND(E104*64,0),64),64),IF(ROUND(E104*64,0)=0,"0",""))&amp;""""))</f>
        <v/>
      </c>
      <c r="E104" s="29"/>
      <c r="F104" s="21" t="str">
        <f aca="false">IF(ISNUMBER(E104),E104*25.4,"")</f>
        <v/>
      </c>
      <c r="G104" s="29" t="str">
        <f aca="false">IF(NOT(ISNUMBER(H104)),"",IF(H104&lt;=0,"",IF(ABS(H104*64-ROUND(H104*64,0))&gt;0.0005,"≈ ","")&amp;IF(INT(ROUND(H104*64,0)/64)&gt;0,INT(ROUND(H104*64,0)/64)&amp;IF(MOD(ROUND(H104*64,0),64)&gt;0," ",""),"")&amp;IF(MOD(ROUND(H104*64,0),64)&gt;0,MOD(ROUND(H104*64,0),64)/GCD(MOD(ROUND(H104*64,0),64),64)&amp;"/"&amp;64/GCD(MOD(ROUND(H104*64,0),64),64),IF(ROUND(H104*64,0)=0,"0",""))&amp;""""))</f>
        <v/>
      </c>
      <c r="H104" s="29"/>
      <c r="I104" s="21" t="str">
        <f aca="false">IF(ISNUMBER(H104),H104*25.4,"")</f>
        <v/>
      </c>
      <c r="J104" s="29"/>
      <c r="K104" s="29"/>
      <c r="L104" s="29"/>
      <c r="M104" s="29"/>
      <c r="N104" s="29"/>
      <c r="O104" s="25" t="s">
        <v>560</v>
      </c>
      <c r="P104" s="25" t="s">
        <v>191</v>
      </c>
      <c r="Q104" s="25"/>
      <c r="R104" s="29" t="s">
        <v>289</v>
      </c>
      <c r="S104" s="29" t="s">
        <v>289</v>
      </c>
      <c r="T104" s="25"/>
      <c r="U104" s="29"/>
      <c r="V104" s="29"/>
      <c r="W104" s="29"/>
      <c r="X104" s="29"/>
      <c r="Y104" s="29"/>
      <c r="Z104" s="29"/>
      <c r="AA104" s="25"/>
      <c r="AB104" s="29"/>
      <c r="AC104" s="25"/>
    </row>
    <row r="105" customFormat="false" ht="45.75" hidden="false" customHeight="true" outlineLevel="0" collapsed="false">
      <c r="B105" s="44" t="s">
        <v>561</v>
      </c>
      <c r="C105" s="25" t="s">
        <v>562</v>
      </c>
      <c r="D105" s="29" t="str">
        <f aca="false">IF(NOT(ISNUMBER(E105)),"",IF(E105&lt;=0,"",IF(ABS(E105*64-ROUND(E105*64,0))&gt;0.0005,"≈ ","")&amp;IF(INT(ROUND(E105*64,0)/64)&gt;0,INT(ROUND(E105*64,0)/64)&amp;IF(MOD(ROUND(E105*64,0),64)&gt;0," ",""),"")&amp;IF(MOD(ROUND(E105*64,0),64)&gt;0,MOD(ROUND(E105*64,0),64)/GCD(MOD(ROUND(E105*64,0),64),64)&amp;"/"&amp;64/GCD(MOD(ROUND(E105*64,0),64),64),IF(ROUND(E105*64,0)=0,"0",""))&amp;""""))</f>
        <v/>
      </c>
      <c r="E105" s="29"/>
      <c r="F105" s="21" t="str">
        <f aca="false">IF(ISNUMBER(E105),E105*25.4,"")</f>
        <v/>
      </c>
      <c r="G105" s="29" t="str">
        <f aca="false">IF(NOT(ISNUMBER(H105)),"",IF(H105&lt;=0,"",IF(ABS(H105*64-ROUND(H105*64,0))&gt;0.0005,"≈ ","")&amp;IF(INT(ROUND(H105*64,0)/64)&gt;0,INT(ROUND(H105*64,0)/64)&amp;IF(MOD(ROUND(H105*64,0),64)&gt;0," ",""),"")&amp;IF(MOD(ROUND(H105*64,0),64)&gt;0,MOD(ROUND(H105*64,0),64)/GCD(MOD(ROUND(H105*64,0),64),64)&amp;"/"&amp;64/GCD(MOD(ROUND(H105*64,0),64),64),IF(ROUND(H105*64,0)=0,"0",""))&amp;""""))</f>
        <v/>
      </c>
      <c r="H105" s="29"/>
      <c r="I105" s="21" t="str">
        <f aca="false">IF(ISNUMBER(H105),H105*25.4,"")</f>
        <v/>
      </c>
      <c r="J105" s="29"/>
      <c r="K105" s="29"/>
      <c r="L105" s="29"/>
      <c r="M105" s="29"/>
      <c r="N105" s="29"/>
      <c r="O105" s="25"/>
      <c r="P105" s="25"/>
      <c r="Q105" s="25"/>
      <c r="R105" s="29"/>
      <c r="S105" s="29"/>
      <c r="T105" s="25"/>
      <c r="U105" s="29"/>
      <c r="V105" s="29"/>
      <c r="W105" s="29"/>
      <c r="X105" s="29"/>
      <c r="Y105" s="29"/>
      <c r="Z105" s="29"/>
      <c r="AA105" s="25"/>
      <c r="AB105" s="29"/>
      <c r="AC105" s="25"/>
    </row>
    <row r="106" customFormat="false" ht="45.75" hidden="false" customHeight="true" outlineLevel="0" collapsed="false">
      <c r="B106" s="44" t="s">
        <v>563</v>
      </c>
      <c r="C106" s="25" t="s">
        <v>564</v>
      </c>
      <c r="D106" s="29" t="str">
        <f aca="false">IF(NOT(ISNUMBER(E106)),"",IF(E106&lt;=0,"",IF(ABS(E106*64-ROUND(E106*64,0))&gt;0.0005,"≈ ","")&amp;IF(INT(ROUND(E106*64,0)/64)&gt;0,INT(ROUND(E106*64,0)/64)&amp;IF(MOD(ROUND(E106*64,0),64)&gt;0," ",""),"")&amp;IF(MOD(ROUND(E106*64,0),64)&gt;0,MOD(ROUND(E106*64,0),64)/GCD(MOD(ROUND(E106*64,0),64),64)&amp;"/"&amp;64/GCD(MOD(ROUND(E106*64,0),64),64),IF(ROUND(E106*64,0)=0,"0",""))&amp;""""))</f>
        <v/>
      </c>
      <c r="E106" s="29"/>
      <c r="F106" s="21" t="str">
        <f aca="false">IF(ISNUMBER(E106),E106*25.4,"")</f>
        <v/>
      </c>
      <c r="G106" s="29" t="str">
        <f aca="false">IF(NOT(ISNUMBER(H106)),"",IF(H106&lt;=0,"",IF(ABS(H106*64-ROUND(H106*64,0))&gt;0.0005,"≈ ","")&amp;IF(INT(ROUND(H106*64,0)/64)&gt;0,INT(ROUND(H106*64,0)/64)&amp;IF(MOD(ROUND(H106*64,0),64)&gt;0," ",""),"")&amp;IF(MOD(ROUND(H106*64,0),64)&gt;0,MOD(ROUND(H106*64,0),64)/GCD(MOD(ROUND(H106*64,0),64),64)&amp;"/"&amp;64/GCD(MOD(ROUND(H106*64,0),64),64),IF(ROUND(H106*64,0)=0,"0",""))&amp;""""))</f>
        <v/>
      </c>
      <c r="H106" s="29"/>
      <c r="I106" s="21" t="str">
        <f aca="false">IF(ISNUMBER(H106),H106*25.4,"")</f>
        <v/>
      </c>
      <c r="J106" s="29"/>
      <c r="K106" s="29"/>
      <c r="L106" s="29"/>
      <c r="M106" s="29"/>
      <c r="N106" s="29"/>
      <c r="O106" s="25" t="s">
        <v>565</v>
      </c>
      <c r="P106" s="25" t="s">
        <v>566</v>
      </c>
      <c r="Q106" s="25"/>
      <c r="R106" s="29" t="s">
        <v>289</v>
      </c>
      <c r="S106" s="29" t="s">
        <v>289</v>
      </c>
      <c r="T106" s="25"/>
      <c r="U106" s="29"/>
      <c r="V106" s="29"/>
      <c r="W106" s="29"/>
      <c r="X106" s="29"/>
      <c r="Y106" s="29"/>
      <c r="Z106" s="29"/>
      <c r="AA106" s="25"/>
      <c r="AB106" s="29"/>
      <c r="AC106" s="25" t="s">
        <v>567</v>
      </c>
    </row>
    <row r="107" customFormat="false" ht="45.75" hidden="false" customHeight="true" outlineLevel="0" collapsed="false">
      <c r="B107" s="44" t="s">
        <v>568</v>
      </c>
      <c r="C107" s="25" t="s">
        <v>564</v>
      </c>
      <c r="D107" s="29" t="str">
        <f aca="false">IF(NOT(ISNUMBER(E107)),"",IF(E107&lt;=0,"",IF(ABS(E107*64-ROUND(E107*64,0))&gt;0.0005,"≈ ","")&amp;IF(INT(ROUND(E107*64,0)/64)&gt;0,INT(ROUND(E107*64,0)/64)&amp;IF(MOD(ROUND(E107*64,0),64)&gt;0," ",""),"")&amp;IF(MOD(ROUND(E107*64,0),64)&gt;0,MOD(ROUND(E107*64,0),64)/GCD(MOD(ROUND(E107*64,0),64),64)&amp;"/"&amp;64/GCD(MOD(ROUND(E107*64,0),64),64),IF(ROUND(E107*64,0)=0,"0",""))&amp;""""))</f>
        <v/>
      </c>
      <c r="E107" s="29"/>
      <c r="F107" s="21" t="str">
        <f aca="false">IF(ISNUMBER(E107),E107*25.4,"")</f>
        <v/>
      </c>
      <c r="G107" s="29" t="str">
        <f aca="false">IF(NOT(ISNUMBER(H107)),"",IF(H107&lt;=0,"",IF(ABS(H107*64-ROUND(H107*64,0))&gt;0.0005,"≈ ","")&amp;IF(INT(ROUND(H107*64,0)/64)&gt;0,INT(ROUND(H107*64,0)/64)&amp;IF(MOD(ROUND(H107*64,0),64)&gt;0," ",""),"")&amp;IF(MOD(ROUND(H107*64,0),64)&gt;0,MOD(ROUND(H107*64,0),64)/GCD(MOD(ROUND(H107*64,0),64),64)&amp;"/"&amp;64/GCD(MOD(ROUND(H107*64,0),64),64),IF(ROUND(H107*64,0)=0,"0",""))&amp;""""))</f>
        <v/>
      </c>
      <c r="H107" s="29"/>
      <c r="I107" s="21" t="str">
        <f aca="false">IF(ISNUMBER(H107),H107*25.4,"")</f>
        <v/>
      </c>
      <c r="J107" s="29"/>
      <c r="K107" s="29"/>
      <c r="L107" s="29"/>
      <c r="M107" s="29"/>
      <c r="N107" s="29"/>
      <c r="O107" s="25" t="s">
        <v>569</v>
      </c>
      <c r="P107" s="25" t="s">
        <v>566</v>
      </c>
      <c r="Q107" s="25"/>
      <c r="R107" s="29" t="s">
        <v>289</v>
      </c>
      <c r="S107" s="29" t="s">
        <v>289</v>
      </c>
      <c r="T107" s="25"/>
      <c r="U107" s="29"/>
      <c r="V107" s="29"/>
      <c r="W107" s="29"/>
      <c r="X107" s="29"/>
      <c r="Y107" s="29"/>
      <c r="Z107" s="29"/>
      <c r="AA107" s="25"/>
      <c r="AB107" s="29"/>
      <c r="AC107" s="25" t="s">
        <v>570</v>
      </c>
    </row>
    <row r="108" customFormat="false" ht="45.75" hidden="false" customHeight="true" outlineLevel="0" collapsed="false">
      <c r="B108" s="44" t="s">
        <v>571</v>
      </c>
      <c r="C108" s="25" t="s">
        <v>572</v>
      </c>
      <c r="D108" s="29" t="str">
        <f aca="false">IF(NOT(ISNUMBER(E108)),"",IF(E108&lt;=0,"",IF(ABS(E108*64-ROUND(E108*64,0))&gt;0.0005,"≈ ","")&amp;IF(INT(ROUND(E108*64,0)/64)&gt;0,INT(ROUND(E108*64,0)/64)&amp;IF(MOD(ROUND(E108*64,0),64)&gt;0," ",""),"")&amp;IF(MOD(ROUND(E108*64,0),64)&gt;0,MOD(ROUND(E108*64,0),64)/GCD(MOD(ROUND(E108*64,0),64),64)&amp;"/"&amp;64/GCD(MOD(ROUND(E108*64,0),64),64),IF(ROUND(E108*64,0)=0,"0",""))&amp;""""))</f>
        <v/>
      </c>
      <c r="E108" s="29"/>
      <c r="F108" s="21" t="str">
        <f aca="false">IF(ISNUMBER(E108),E108*25.4,"")</f>
        <v/>
      </c>
      <c r="G108" s="29" t="str">
        <f aca="false">IF(NOT(ISNUMBER(H108)),"",IF(H108&lt;=0,"",IF(ABS(H108*64-ROUND(H108*64,0))&gt;0.0005,"≈ ","")&amp;IF(INT(ROUND(H108*64,0)/64)&gt;0,INT(ROUND(H108*64,0)/64)&amp;IF(MOD(ROUND(H108*64,0),64)&gt;0," ",""),"")&amp;IF(MOD(ROUND(H108*64,0),64)&gt;0,MOD(ROUND(H108*64,0),64)/GCD(MOD(ROUND(H108*64,0),64),64)&amp;"/"&amp;64/GCD(MOD(ROUND(H108*64,0),64),64),IF(ROUND(H108*64,0)=0,"0",""))&amp;""""))</f>
        <v/>
      </c>
      <c r="H108" s="29"/>
      <c r="I108" s="21" t="str">
        <f aca="false">IF(ISNUMBER(H108),H108*25.4,"")</f>
        <v/>
      </c>
      <c r="J108" s="29"/>
      <c r="K108" s="29"/>
      <c r="L108" s="29"/>
      <c r="M108" s="29"/>
      <c r="N108" s="29"/>
      <c r="O108" s="25" t="s">
        <v>573</v>
      </c>
      <c r="P108" s="25" t="s">
        <v>574</v>
      </c>
      <c r="Q108" s="25"/>
      <c r="R108" s="29" t="s">
        <v>289</v>
      </c>
      <c r="S108" s="29" t="s">
        <v>289</v>
      </c>
      <c r="T108" s="25"/>
      <c r="U108" s="29"/>
      <c r="V108" s="29"/>
      <c r="W108" s="29"/>
      <c r="X108" s="29"/>
      <c r="Y108" s="29"/>
      <c r="Z108" s="29"/>
      <c r="AA108" s="25"/>
      <c r="AB108" s="29" t="s">
        <v>575</v>
      </c>
      <c r="AC108" s="25" t="s">
        <v>576</v>
      </c>
      <c r="AD108" s="46" t="s">
        <v>152</v>
      </c>
    </row>
    <row r="109" customFormat="false" ht="45.75" hidden="false" customHeight="true" outlineLevel="0" collapsed="false">
      <c r="B109" s="44" t="s">
        <v>577</v>
      </c>
      <c r="C109" s="25" t="s">
        <v>572</v>
      </c>
      <c r="D109" s="29" t="str">
        <f aca="false">IF(NOT(ISNUMBER(E109)),"",IF(E109&lt;=0,"",IF(ABS(E109*64-ROUND(E109*64,0))&gt;0.0005,"≈ ","")&amp;IF(INT(ROUND(E109*64,0)/64)&gt;0,INT(ROUND(E109*64,0)/64)&amp;IF(MOD(ROUND(E109*64,0),64)&gt;0," ",""),"")&amp;IF(MOD(ROUND(E109*64,0),64)&gt;0,MOD(ROUND(E109*64,0),64)/GCD(MOD(ROUND(E109*64,0),64),64)&amp;"/"&amp;64/GCD(MOD(ROUND(E109*64,0),64),64),IF(ROUND(E109*64,0)=0,"0",""))&amp;""""))</f>
        <v/>
      </c>
      <c r="E109" s="29"/>
      <c r="F109" s="21" t="str">
        <f aca="false">IF(ISNUMBER(E109),E109*25.4,"")</f>
        <v/>
      </c>
      <c r="G109" s="29" t="str">
        <f aca="false">IF(NOT(ISNUMBER(H109)),"",IF(H109&lt;=0,"",IF(ABS(H109*64-ROUND(H109*64,0))&gt;0.0005,"≈ ","")&amp;IF(INT(ROUND(H109*64,0)/64)&gt;0,INT(ROUND(H109*64,0)/64)&amp;IF(MOD(ROUND(H109*64,0),64)&gt;0," ",""),"")&amp;IF(MOD(ROUND(H109*64,0),64)&gt;0,MOD(ROUND(H109*64,0),64)/GCD(MOD(ROUND(H109*64,0),64),64)&amp;"/"&amp;64/GCD(MOD(ROUND(H109*64,0),64),64),IF(ROUND(H109*64,0)=0,"0",""))&amp;""""))</f>
        <v/>
      </c>
      <c r="H109" s="29"/>
      <c r="I109" s="21" t="str">
        <f aca="false">IF(ISNUMBER(H109),H109*25.4,"")</f>
        <v/>
      </c>
      <c r="J109" s="29"/>
      <c r="K109" s="29"/>
      <c r="L109" s="29"/>
      <c r="M109" s="29"/>
      <c r="N109" s="29"/>
      <c r="O109" s="25" t="s">
        <v>578</v>
      </c>
      <c r="P109" s="25" t="s">
        <v>574</v>
      </c>
      <c r="Q109" s="25"/>
      <c r="R109" s="29" t="s">
        <v>289</v>
      </c>
      <c r="S109" s="29" t="s">
        <v>289</v>
      </c>
      <c r="T109" s="25"/>
      <c r="U109" s="29"/>
      <c r="V109" s="29"/>
      <c r="W109" s="29"/>
      <c r="X109" s="29"/>
      <c r="Y109" s="29"/>
      <c r="Z109" s="29"/>
      <c r="AA109" s="25"/>
      <c r="AB109" s="29"/>
      <c r="AC109" s="25" t="s">
        <v>579</v>
      </c>
    </row>
    <row r="110" customFormat="false" ht="45.75" hidden="false" customHeight="true" outlineLevel="0" collapsed="false">
      <c r="B110" s="44" t="s">
        <v>580</v>
      </c>
      <c r="C110" s="25" t="s">
        <v>581</v>
      </c>
      <c r="D110" s="29" t="str">
        <f aca="false">IF(NOT(ISNUMBER(E110)),"",IF(E110&lt;=0,"",IF(ABS(E110*64-ROUND(E110*64,0))&gt;0.0005,"≈ ","")&amp;IF(INT(ROUND(E110*64,0)/64)&gt;0,INT(ROUND(E110*64,0)/64)&amp;IF(MOD(ROUND(E110*64,0),64)&gt;0," ",""),"")&amp;IF(MOD(ROUND(E110*64,0),64)&gt;0,MOD(ROUND(E110*64,0),64)/GCD(MOD(ROUND(E110*64,0),64),64)&amp;"/"&amp;64/GCD(MOD(ROUND(E110*64,0),64),64),IF(ROUND(E110*64,0)=0,"0",""))&amp;""""))</f>
        <v>≈ 1 15/16"</v>
      </c>
      <c r="E110" s="45" t="n">
        <v>1.94</v>
      </c>
      <c r="F110" s="21" t="n">
        <f aca="false">IF(ISNUMBER(E110),E110*25.4,"")</f>
        <v>49.276</v>
      </c>
      <c r="G110" s="29" t="str">
        <f aca="false">IF(NOT(ISNUMBER(H110)),"",IF(H110&lt;=0,"",IF(ABS(H110*64-ROUND(H110*64,0))&gt;0.0005,"≈ ","")&amp;IF(INT(ROUND(H110*64,0)/64)&gt;0,INT(ROUND(H110*64,0)/64)&amp;IF(MOD(ROUND(H110*64,0),64)&gt;0," ",""),"")&amp;IF(MOD(ROUND(H110*64,0),64)&gt;0,MOD(ROUND(H110*64,0),64)/GCD(MOD(ROUND(H110*64,0),64),64)&amp;"/"&amp;64/GCD(MOD(ROUND(H110*64,0),64),64),IF(ROUND(H110*64,0)=0,"0",""))&amp;""""))</f>
        <v/>
      </c>
      <c r="H110" s="29"/>
      <c r="I110" s="21" t="str">
        <f aca="false">IF(ISNUMBER(H110),H110*25.4,"")</f>
        <v/>
      </c>
      <c r="J110" s="29"/>
      <c r="K110" s="29"/>
      <c r="L110" s="29"/>
      <c r="M110" s="29"/>
      <c r="N110" s="29"/>
      <c r="O110" s="25"/>
      <c r="P110" s="25"/>
      <c r="Q110" s="25"/>
      <c r="R110" s="29"/>
      <c r="S110" s="29"/>
      <c r="T110" s="25"/>
      <c r="U110" s="29"/>
      <c r="V110" s="29"/>
      <c r="W110" s="29"/>
      <c r="X110" s="29"/>
      <c r="Y110" s="29" t="n">
        <v>5</v>
      </c>
      <c r="Z110" s="45" t="n">
        <v>0.264</v>
      </c>
      <c r="AA110" s="25"/>
      <c r="AB110" s="29" t="s">
        <v>575</v>
      </c>
      <c r="AC110" s="25" t="s">
        <v>582</v>
      </c>
    </row>
    <row r="111" customFormat="false" ht="45.75" hidden="false" customHeight="true" outlineLevel="0" collapsed="false">
      <c r="B111" s="44" t="s">
        <v>551</v>
      </c>
      <c r="C111" s="25" t="s">
        <v>583</v>
      </c>
      <c r="D111" s="29" t="str">
        <f aca="false">IF(NOT(ISNUMBER(E111)),"",IF(E111&lt;=0,"",IF(ABS(E111*64-ROUND(E111*64,0))&gt;0.0005,"≈ ","")&amp;IF(INT(ROUND(E111*64,0)/64)&gt;0,INT(ROUND(E111*64,0)/64)&amp;IF(MOD(ROUND(E111*64,0),64)&gt;0," ",""),"")&amp;IF(MOD(ROUND(E111*64,0),64)&gt;0,MOD(ROUND(E111*64,0),64)/GCD(MOD(ROUND(E111*64,0),64),64)&amp;"/"&amp;64/GCD(MOD(ROUND(E111*64,0),64),64),IF(ROUND(E111*64,0)=0,"0",""))&amp;""""))</f>
        <v/>
      </c>
      <c r="E111" s="29"/>
      <c r="F111" s="21" t="str">
        <f aca="false">IF(ISNUMBER(E111),E111*25.4,"")</f>
        <v/>
      </c>
      <c r="G111" s="29" t="str">
        <f aca="false">IF(NOT(ISNUMBER(H111)),"",IF(H111&lt;=0,"",IF(ABS(H111*64-ROUND(H111*64,0))&gt;0.0005,"≈ ","")&amp;IF(INT(ROUND(H111*64,0)/64)&gt;0,INT(ROUND(H111*64,0)/64)&amp;IF(MOD(ROUND(H111*64,0),64)&gt;0," ",""),"")&amp;IF(MOD(ROUND(H111*64,0),64)&gt;0,MOD(ROUND(H111*64,0),64)/GCD(MOD(ROUND(H111*64,0),64),64)&amp;"/"&amp;64/GCD(MOD(ROUND(H111*64,0),64),64),IF(ROUND(H111*64,0)=0,"0",""))&amp;""""))</f>
        <v/>
      </c>
      <c r="H111" s="29"/>
      <c r="I111" s="21" t="str">
        <f aca="false">IF(ISNUMBER(H111),H111*25.4,"")</f>
        <v/>
      </c>
      <c r="J111" s="29"/>
      <c r="K111" s="29"/>
      <c r="L111" s="29"/>
      <c r="M111" s="29"/>
      <c r="N111" s="29"/>
      <c r="O111" s="25" t="s">
        <v>584</v>
      </c>
      <c r="P111" s="25" t="s">
        <v>585</v>
      </c>
      <c r="Q111" s="25"/>
      <c r="R111" s="29" t="s">
        <v>289</v>
      </c>
      <c r="S111" s="29" t="s">
        <v>289</v>
      </c>
      <c r="T111" s="25"/>
      <c r="U111" s="29"/>
      <c r="V111" s="29"/>
      <c r="W111" s="29"/>
      <c r="X111" s="29"/>
      <c r="Y111" s="29"/>
      <c r="Z111" s="29"/>
      <c r="AA111" s="25"/>
      <c r="AB111" s="29"/>
      <c r="AC111" s="25" t="s">
        <v>586</v>
      </c>
    </row>
    <row r="112" customFormat="false" ht="45.75" hidden="false" customHeight="true" outlineLevel="0" collapsed="false">
      <c r="B112" s="44" t="s">
        <v>587</v>
      </c>
      <c r="C112" s="25" t="s">
        <v>588</v>
      </c>
      <c r="D112" s="29" t="str">
        <f aca="false">IF(NOT(ISNUMBER(E112)),"",IF(E112&lt;=0,"",IF(ABS(E112*64-ROUND(E112*64,0))&gt;0.0005,"≈ ","")&amp;IF(INT(ROUND(E112*64,0)/64)&gt;0,INT(ROUND(E112*64,0)/64)&amp;IF(MOD(ROUND(E112*64,0),64)&gt;0," ",""),"")&amp;IF(MOD(ROUND(E112*64,0),64)&gt;0,MOD(ROUND(E112*64,0),64)/GCD(MOD(ROUND(E112*64,0),64),64)&amp;"/"&amp;64/GCD(MOD(ROUND(E112*64,0),64),64),IF(ROUND(E112*64,0)=0,"0",""))&amp;""""))</f>
        <v/>
      </c>
      <c r="E112" s="29"/>
      <c r="F112" s="21" t="str">
        <f aca="false">IF(ISNUMBER(E112),E112*25.4,"")</f>
        <v/>
      </c>
      <c r="G112" s="29" t="str">
        <f aca="false">IF(NOT(ISNUMBER(H112)),"",IF(H112&lt;=0,"",IF(ABS(H112*64-ROUND(H112*64,0))&gt;0.0005,"≈ ","")&amp;IF(INT(ROUND(H112*64,0)/64)&gt;0,INT(ROUND(H112*64,0)/64)&amp;IF(MOD(ROUND(H112*64,0),64)&gt;0," ",""),"")&amp;IF(MOD(ROUND(H112*64,0),64)&gt;0,MOD(ROUND(H112*64,0),64)/GCD(MOD(ROUND(H112*64,0),64),64)&amp;"/"&amp;64/GCD(MOD(ROUND(H112*64,0),64),64),IF(ROUND(H112*64,0)=0,"0",""))&amp;""""))</f>
        <v/>
      </c>
      <c r="H112" s="29"/>
      <c r="I112" s="21" t="str">
        <f aca="false">IF(ISNUMBER(H112),H112*25.4,"")</f>
        <v/>
      </c>
      <c r="J112" s="29"/>
      <c r="K112" s="29"/>
      <c r="L112" s="29"/>
      <c r="M112" s="29"/>
      <c r="N112" s="29"/>
      <c r="O112" s="25" t="s">
        <v>589</v>
      </c>
      <c r="P112" s="25"/>
      <c r="Q112" s="25"/>
      <c r="R112" s="29" t="s">
        <v>289</v>
      </c>
      <c r="S112" s="29" t="s">
        <v>289</v>
      </c>
      <c r="T112" s="25"/>
      <c r="U112" s="29"/>
      <c r="V112" s="29"/>
      <c r="W112" s="29"/>
      <c r="X112" s="29"/>
      <c r="Y112" s="29"/>
      <c r="Z112" s="29"/>
      <c r="AA112" s="25"/>
      <c r="AB112" s="29"/>
      <c r="AC112" s="25" t="s">
        <v>590</v>
      </c>
    </row>
    <row r="113" customFormat="false" ht="45.75" hidden="false" customHeight="true" outlineLevel="0" collapsed="false">
      <c r="B113" s="44" t="s">
        <v>591</v>
      </c>
      <c r="C113" s="25" t="s">
        <v>588</v>
      </c>
      <c r="D113" s="29" t="str">
        <f aca="false">IF(NOT(ISNUMBER(E113)),"",IF(E113&lt;=0,"",IF(ABS(E113*64-ROUND(E113*64,0))&gt;0.0005,"≈ ","")&amp;IF(INT(ROUND(E113*64,0)/64)&gt;0,INT(ROUND(E113*64,0)/64)&amp;IF(MOD(ROUND(E113*64,0),64)&gt;0," ",""),"")&amp;IF(MOD(ROUND(E113*64,0),64)&gt;0,MOD(ROUND(E113*64,0),64)/GCD(MOD(ROUND(E113*64,0),64),64)&amp;"/"&amp;64/GCD(MOD(ROUND(E113*64,0),64),64),IF(ROUND(E113*64,0)=0,"0",""))&amp;""""))</f>
        <v/>
      </c>
      <c r="E113" s="29"/>
      <c r="F113" s="21" t="str">
        <f aca="false">IF(ISNUMBER(E113),E113*25.4,"")</f>
        <v/>
      </c>
      <c r="G113" s="29" t="str">
        <f aca="false">IF(NOT(ISNUMBER(H113)),"",IF(H113&lt;=0,"",IF(ABS(H113*64-ROUND(H113*64,0))&gt;0.0005,"≈ ","")&amp;IF(INT(ROUND(H113*64,0)/64)&gt;0,INT(ROUND(H113*64,0)/64)&amp;IF(MOD(ROUND(H113*64,0),64)&gt;0," ",""),"")&amp;IF(MOD(ROUND(H113*64,0),64)&gt;0,MOD(ROUND(H113*64,0),64)/GCD(MOD(ROUND(H113*64,0),64),64)&amp;"/"&amp;64/GCD(MOD(ROUND(H113*64,0),64),64),IF(ROUND(H113*64,0)=0,"0",""))&amp;""""))</f>
        <v/>
      </c>
      <c r="H113" s="29"/>
      <c r="I113" s="21" t="str">
        <f aca="false">IF(ISNUMBER(H113),H113*25.4,"")</f>
        <v/>
      </c>
      <c r="J113" s="29"/>
      <c r="K113" s="29"/>
      <c r="L113" s="29"/>
      <c r="M113" s="29"/>
      <c r="N113" s="29"/>
      <c r="O113" s="25" t="s">
        <v>592</v>
      </c>
      <c r="P113" s="25"/>
      <c r="Q113" s="25"/>
      <c r="R113" s="29" t="s">
        <v>289</v>
      </c>
      <c r="S113" s="29" t="s">
        <v>289</v>
      </c>
      <c r="T113" s="25"/>
      <c r="U113" s="29"/>
      <c r="V113" s="29"/>
      <c r="W113" s="29"/>
      <c r="X113" s="29"/>
      <c r="Y113" s="29"/>
      <c r="Z113" s="29"/>
      <c r="AA113" s="25"/>
      <c r="AB113" s="29"/>
      <c r="AC113" s="25" t="s">
        <v>593</v>
      </c>
    </row>
    <row r="114" customFormat="false" ht="45.75" hidden="false" customHeight="true" outlineLevel="0" collapsed="false">
      <c r="B114" s="44" t="s">
        <v>594</v>
      </c>
      <c r="C114" s="25" t="s">
        <v>588</v>
      </c>
      <c r="D114" s="29" t="str">
        <f aca="false">IF(NOT(ISNUMBER(E114)),"",IF(E114&lt;=0,"",IF(ABS(E114*64-ROUND(E114*64,0))&gt;0.0005,"≈ ","")&amp;IF(INT(ROUND(E114*64,0)/64)&gt;0,INT(ROUND(E114*64,0)/64)&amp;IF(MOD(ROUND(E114*64,0),64)&gt;0," ",""),"")&amp;IF(MOD(ROUND(E114*64,0),64)&gt;0,MOD(ROUND(E114*64,0),64)/GCD(MOD(ROUND(E114*64,0),64),64)&amp;"/"&amp;64/GCD(MOD(ROUND(E114*64,0),64),64),IF(ROUND(E114*64,0)=0,"0",""))&amp;""""))</f>
        <v/>
      </c>
      <c r="E114" s="29"/>
      <c r="F114" s="21" t="str">
        <f aca="false">IF(ISNUMBER(E114),E114*25.4,"")</f>
        <v/>
      </c>
      <c r="G114" s="29" t="str">
        <f aca="false">IF(NOT(ISNUMBER(H114)),"",IF(H114&lt;=0,"",IF(ABS(H114*64-ROUND(H114*64,0))&gt;0.0005,"≈ ","")&amp;IF(INT(ROUND(H114*64,0)/64)&gt;0,INT(ROUND(H114*64,0)/64)&amp;IF(MOD(ROUND(H114*64,0),64)&gt;0," ",""),"")&amp;IF(MOD(ROUND(H114*64,0),64)&gt;0,MOD(ROUND(H114*64,0),64)/GCD(MOD(ROUND(H114*64,0),64),64)&amp;"/"&amp;64/GCD(MOD(ROUND(H114*64,0),64),64),IF(ROUND(H114*64,0)=0,"0",""))&amp;""""))</f>
        <v/>
      </c>
      <c r="H114" s="29"/>
      <c r="I114" s="21" t="str">
        <f aca="false">IF(ISNUMBER(H114),H114*25.4,"")</f>
        <v/>
      </c>
      <c r="J114" s="29"/>
      <c r="K114" s="29"/>
      <c r="L114" s="29"/>
      <c r="M114" s="29"/>
      <c r="N114" s="29"/>
      <c r="O114" s="25" t="s">
        <v>595</v>
      </c>
      <c r="P114" s="25" t="s">
        <v>596</v>
      </c>
      <c r="Q114" s="25"/>
      <c r="R114" s="29"/>
      <c r="S114" s="29"/>
      <c r="T114" s="25"/>
      <c r="U114" s="29"/>
      <c r="V114" s="29"/>
      <c r="W114" s="29"/>
      <c r="X114" s="29"/>
      <c r="Y114" s="29"/>
      <c r="Z114" s="29"/>
      <c r="AA114" s="25"/>
      <c r="AB114" s="29"/>
      <c r="AC114" s="25" t="s">
        <v>593</v>
      </c>
      <c r="AD114" s="46" t="s">
        <v>152</v>
      </c>
    </row>
    <row r="115" customFormat="false" ht="45.75" hidden="false" customHeight="true" outlineLevel="0" collapsed="false">
      <c r="B115" s="44" t="s">
        <v>597</v>
      </c>
      <c r="C115" s="25" t="s">
        <v>598</v>
      </c>
      <c r="D115" s="29" t="str">
        <f aca="false">IF(NOT(ISNUMBER(E115)),"",IF(E115&lt;=0,"",IF(ABS(E115*64-ROUND(E115*64,0))&gt;0.0005,"≈ ","")&amp;IF(INT(ROUND(E115*64,0)/64)&gt;0,INT(ROUND(E115*64,0)/64)&amp;IF(MOD(ROUND(E115*64,0),64)&gt;0," ",""),"")&amp;IF(MOD(ROUND(E115*64,0),64)&gt;0,MOD(ROUND(E115*64,0),64)/GCD(MOD(ROUND(E115*64,0),64),64)&amp;"/"&amp;64/GCD(MOD(ROUND(E115*64,0),64),64),IF(ROUND(E115*64,0)=0,"0",""))&amp;""""))</f>
        <v/>
      </c>
      <c r="E115" s="29"/>
      <c r="F115" s="21" t="str">
        <f aca="false">IF(ISNUMBER(E115),E115*25.4,"")</f>
        <v/>
      </c>
      <c r="G115" s="29" t="str">
        <f aca="false">IF(NOT(ISNUMBER(H115)),"",IF(H115&lt;=0,"",IF(ABS(H115*64-ROUND(H115*64,0))&gt;0.0005,"≈ ","")&amp;IF(INT(ROUND(H115*64,0)/64)&gt;0,INT(ROUND(H115*64,0)/64)&amp;IF(MOD(ROUND(H115*64,0),64)&gt;0," ",""),"")&amp;IF(MOD(ROUND(H115*64,0),64)&gt;0,MOD(ROUND(H115*64,0),64)/GCD(MOD(ROUND(H115*64,0),64),64)&amp;"/"&amp;64/GCD(MOD(ROUND(H115*64,0),64),64),IF(ROUND(H115*64,0)=0,"0",""))&amp;""""))</f>
        <v/>
      </c>
      <c r="H115" s="29"/>
      <c r="I115" s="21" t="str">
        <f aca="false">IF(ISNUMBER(H115),H115*25.4,"")</f>
        <v/>
      </c>
      <c r="J115" s="29"/>
      <c r="K115" s="29"/>
      <c r="L115" s="29"/>
      <c r="M115" s="29"/>
      <c r="N115" s="29"/>
      <c r="O115" s="25" t="n">
        <v>5003996001</v>
      </c>
      <c r="P115" s="25" t="s">
        <v>599</v>
      </c>
      <c r="Q115" s="25"/>
      <c r="R115" s="29"/>
      <c r="S115" s="29"/>
      <c r="T115" s="25"/>
      <c r="U115" s="29"/>
      <c r="V115" s="29"/>
      <c r="W115" s="29"/>
      <c r="X115" s="29"/>
      <c r="Y115" s="29"/>
      <c r="Z115" s="29"/>
      <c r="AA115" s="25"/>
      <c r="AB115" s="29" t="s">
        <v>575</v>
      </c>
      <c r="AC115" s="25" t="s">
        <v>600</v>
      </c>
      <c r="AD115" s="46" t="s">
        <v>152</v>
      </c>
    </row>
    <row r="116" customFormat="false" ht="45.75" hidden="false" customHeight="true" outlineLevel="0" collapsed="false">
      <c r="B116" s="44" t="s">
        <v>601</v>
      </c>
      <c r="C116" s="25" t="s">
        <v>598</v>
      </c>
      <c r="D116" s="29" t="str">
        <f aca="false">IF(NOT(ISNUMBER(E116)),"",IF(E116&lt;=0,"",IF(ABS(E116*64-ROUND(E116*64,0))&gt;0.0005,"≈ ","")&amp;IF(INT(ROUND(E116*64,0)/64)&gt;0,INT(ROUND(E116*64,0)/64)&amp;IF(MOD(ROUND(E116*64,0),64)&gt;0," ",""),"")&amp;IF(MOD(ROUND(E116*64,0),64)&gt;0,MOD(ROUND(E116*64,0),64)/GCD(MOD(ROUND(E116*64,0),64),64)&amp;"/"&amp;64/GCD(MOD(ROUND(E116*64,0),64),64),IF(ROUND(E116*64,0)=0,"0",""))&amp;""""))</f>
        <v/>
      </c>
      <c r="E116" s="29"/>
      <c r="F116" s="21" t="str">
        <f aca="false">IF(ISNUMBER(E116),E116*25.4,"")</f>
        <v/>
      </c>
      <c r="G116" s="29" t="str">
        <f aca="false">IF(NOT(ISNUMBER(H116)),"",IF(H116&lt;=0,"",IF(ABS(H116*64-ROUND(H116*64,0))&gt;0.0005,"≈ ","")&amp;IF(INT(ROUND(H116*64,0)/64)&gt;0,INT(ROUND(H116*64,0)/64)&amp;IF(MOD(ROUND(H116*64,0),64)&gt;0," ",""),"")&amp;IF(MOD(ROUND(H116*64,0),64)&gt;0,MOD(ROUND(H116*64,0),64)/GCD(MOD(ROUND(H116*64,0),64),64)&amp;"/"&amp;64/GCD(MOD(ROUND(H116*64,0),64),64),IF(ROUND(H116*64,0)=0,"0",""))&amp;""""))</f>
        <v/>
      </c>
      <c r="H116" s="29"/>
      <c r="I116" s="21" t="str">
        <f aca="false">IF(ISNUMBER(H116),H116*25.4,"")</f>
        <v/>
      </c>
      <c r="J116" s="29"/>
      <c r="K116" s="29"/>
      <c r="L116" s="29"/>
      <c r="M116" s="29"/>
      <c r="N116" s="29"/>
      <c r="O116" s="25" t="n">
        <v>5003971001</v>
      </c>
      <c r="P116" s="25" t="s">
        <v>599</v>
      </c>
      <c r="Q116" s="25"/>
      <c r="R116" s="29"/>
      <c r="S116" s="29"/>
      <c r="T116" s="25"/>
      <c r="U116" s="29"/>
      <c r="V116" s="29"/>
      <c r="W116" s="29"/>
      <c r="X116" s="29"/>
      <c r="Y116" s="29"/>
      <c r="Z116" s="29"/>
      <c r="AA116" s="25"/>
      <c r="AB116" s="29" t="s">
        <v>575</v>
      </c>
      <c r="AC116" s="25" t="s">
        <v>602</v>
      </c>
      <c r="AD116" s="46" t="s">
        <v>152</v>
      </c>
    </row>
    <row r="117" customFormat="false" ht="45.75" hidden="false" customHeight="true" outlineLevel="0" collapsed="false">
      <c r="B117" s="44" t="s">
        <v>603</v>
      </c>
      <c r="C117" s="25" t="s">
        <v>598</v>
      </c>
      <c r="D117" s="29" t="str">
        <f aca="false">IF(NOT(ISNUMBER(E117)),"",IF(E117&lt;=0,"",IF(ABS(E117*64-ROUND(E117*64,0))&gt;0.0005,"≈ ","")&amp;IF(INT(ROUND(E117*64,0)/64)&gt;0,INT(ROUND(E117*64,0)/64)&amp;IF(MOD(ROUND(E117*64,0),64)&gt;0," ",""),"")&amp;IF(MOD(ROUND(E117*64,0),64)&gt;0,MOD(ROUND(E117*64,0),64)/GCD(MOD(ROUND(E117*64,0),64),64)&amp;"/"&amp;64/GCD(MOD(ROUND(E117*64,0),64),64),IF(ROUND(E117*64,0)=0,"0",""))&amp;""""))</f>
        <v/>
      </c>
      <c r="E117" s="29"/>
      <c r="F117" s="21" t="str">
        <f aca="false">IF(ISNUMBER(E117),E117*25.4,"")</f>
        <v/>
      </c>
      <c r="G117" s="29" t="str">
        <f aca="false">IF(NOT(ISNUMBER(H117)),"",IF(H117&lt;=0,"",IF(ABS(H117*64-ROUND(H117*64,0))&gt;0.0005,"≈ ","")&amp;IF(INT(ROUND(H117*64,0)/64)&gt;0,INT(ROUND(H117*64,0)/64)&amp;IF(MOD(ROUND(H117*64,0),64)&gt;0," ",""),"")&amp;IF(MOD(ROUND(H117*64,0),64)&gt;0,MOD(ROUND(H117*64,0),64)/GCD(MOD(ROUND(H117*64,0),64),64)&amp;"/"&amp;64/GCD(MOD(ROUND(H117*64,0),64),64),IF(ROUND(H117*64,0)=0,"0",""))&amp;""""))</f>
        <v/>
      </c>
      <c r="H117" s="29"/>
      <c r="I117" s="21" t="str">
        <f aca="false">IF(ISNUMBER(H117),H117*25.4,"")</f>
        <v/>
      </c>
      <c r="J117" s="29"/>
      <c r="K117" s="29"/>
      <c r="L117" s="29"/>
      <c r="M117" s="29"/>
      <c r="N117" s="29"/>
      <c r="O117" s="25" t="n">
        <v>5075611001</v>
      </c>
      <c r="P117" s="25" t="s">
        <v>599</v>
      </c>
      <c r="Q117" s="25"/>
      <c r="R117" s="29"/>
      <c r="S117" s="29"/>
      <c r="T117" s="25"/>
      <c r="U117" s="29"/>
      <c r="V117" s="29"/>
      <c r="W117" s="29"/>
      <c r="X117" s="29"/>
      <c r="Y117" s="29"/>
      <c r="Z117" s="29"/>
      <c r="AA117" s="25"/>
      <c r="AB117" s="29" t="s">
        <v>575</v>
      </c>
      <c r="AC117" s="25" t="s">
        <v>604</v>
      </c>
      <c r="AD117" s="46" t="s">
        <v>152</v>
      </c>
    </row>
    <row r="118" customFormat="false" ht="45.75" hidden="false" customHeight="true" outlineLevel="0" collapsed="false">
      <c r="B118" s="44" t="s">
        <v>605</v>
      </c>
      <c r="C118" s="25" t="s">
        <v>598</v>
      </c>
      <c r="D118" s="29" t="str">
        <f aca="false">IF(NOT(ISNUMBER(E118)),"",IF(E118&lt;=0,"",IF(ABS(E118*64-ROUND(E118*64,0))&gt;0.0005,"≈ ","")&amp;IF(INT(ROUND(E118*64,0)/64)&gt;0,INT(ROUND(E118*64,0)/64)&amp;IF(MOD(ROUND(E118*64,0),64)&gt;0," ",""),"")&amp;IF(MOD(ROUND(E118*64,0),64)&gt;0,MOD(ROUND(E118*64,0),64)/GCD(MOD(ROUND(E118*64,0),64),64)&amp;"/"&amp;64/GCD(MOD(ROUND(E118*64,0),64),64),IF(ROUND(E118*64,0)=0,"0",""))&amp;""""))</f>
        <v/>
      </c>
      <c r="E118" s="29"/>
      <c r="F118" s="21" t="str">
        <f aca="false">IF(ISNUMBER(E118),E118*25.4,"")</f>
        <v/>
      </c>
      <c r="G118" s="29" t="str">
        <f aca="false">IF(NOT(ISNUMBER(H118)),"",IF(H118&lt;=0,"",IF(ABS(H118*64-ROUND(H118*64,0))&gt;0.0005,"≈ ","")&amp;IF(INT(ROUND(H118*64,0)/64)&gt;0,INT(ROUND(H118*64,0)/64)&amp;IF(MOD(ROUND(H118*64,0),64)&gt;0," ",""),"")&amp;IF(MOD(ROUND(H118*64,0),64)&gt;0,MOD(ROUND(H118*64,0),64)/GCD(MOD(ROUND(H118*64,0),64),64)&amp;"/"&amp;64/GCD(MOD(ROUND(H118*64,0),64),64),IF(ROUND(H118*64,0)=0,"0",""))&amp;""""))</f>
        <v/>
      </c>
      <c r="H118" s="29"/>
      <c r="I118" s="21" t="str">
        <f aca="false">IF(ISNUMBER(H118),H118*25.4,"")</f>
        <v/>
      </c>
      <c r="J118" s="29"/>
      <c r="K118" s="29"/>
      <c r="L118" s="29"/>
      <c r="M118" s="29"/>
      <c r="N118" s="29"/>
      <c r="O118" s="25"/>
      <c r="P118" s="25" t="s">
        <v>606</v>
      </c>
      <c r="Q118" s="25"/>
      <c r="R118" s="29" t="s">
        <v>289</v>
      </c>
      <c r="S118" s="29" t="s">
        <v>289</v>
      </c>
      <c r="T118" s="25"/>
      <c r="U118" s="29"/>
      <c r="V118" s="29"/>
      <c r="W118" s="29"/>
      <c r="X118" s="29"/>
      <c r="Y118" s="29"/>
      <c r="Z118" s="29"/>
      <c r="AA118" s="25"/>
      <c r="AB118" s="29"/>
      <c r="AC118" s="25" t="s">
        <v>607</v>
      </c>
    </row>
    <row r="119" customFormat="false" ht="45.75" hidden="false" customHeight="true" outlineLevel="0" collapsed="false">
      <c r="B119" s="44" t="s">
        <v>608</v>
      </c>
      <c r="C119" s="25" t="s">
        <v>598</v>
      </c>
      <c r="D119" s="29" t="str">
        <f aca="false">IF(NOT(ISNUMBER(E119)),"",IF(E119&lt;=0,"",IF(ABS(E119*64-ROUND(E119*64,0))&gt;0.0005,"≈ ","")&amp;IF(INT(ROUND(E119*64,0)/64)&gt;0,INT(ROUND(E119*64,0)/64)&amp;IF(MOD(ROUND(E119*64,0),64)&gt;0," ",""),"")&amp;IF(MOD(ROUND(E119*64,0),64)&gt;0,MOD(ROUND(E119*64,0),64)/GCD(MOD(ROUND(E119*64,0),64),64)&amp;"/"&amp;64/GCD(MOD(ROUND(E119*64,0),64),64),IF(ROUND(E119*64,0)=0,"0",""))&amp;""""))</f>
        <v/>
      </c>
      <c r="E119" s="29"/>
      <c r="F119" s="21" t="str">
        <f aca="false">IF(ISNUMBER(E119),E119*25.4,"")</f>
        <v/>
      </c>
      <c r="G119" s="29" t="str">
        <f aca="false">IF(NOT(ISNUMBER(H119)),"",IF(H119&lt;=0,"",IF(ABS(H119*64-ROUND(H119*64,0))&gt;0.0005,"≈ ","")&amp;IF(INT(ROUND(H119*64,0)/64)&gt;0,INT(ROUND(H119*64,0)/64)&amp;IF(MOD(ROUND(H119*64,0),64)&gt;0," ",""),"")&amp;IF(MOD(ROUND(H119*64,0),64)&gt;0,MOD(ROUND(H119*64,0),64)/GCD(MOD(ROUND(H119*64,0),64),64)&amp;"/"&amp;64/GCD(MOD(ROUND(H119*64,0),64),64),IF(ROUND(H119*64,0)=0,"0",""))&amp;""""))</f>
        <v/>
      </c>
      <c r="H119" s="29"/>
      <c r="I119" s="21" t="str">
        <f aca="false">IF(ISNUMBER(H119),H119*25.4,"")</f>
        <v/>
      </c>
      <c r="J119" s="29"/>
      <c r="K119" s="29"/>
      <c r="L119" s="29"/>
      <c r="M119" s="29"/>
      <c r="N119" s="29"/>
      <c r="O119" s="25"/>
      <c r="P119" s="25" t="s">
        <v>606</v>
      </c>
      <c r="Q119" s="25"/>
      <c r="R119" s="29" t="s">
        <v>289</v>
      </c>
      <c r="S119" s="29" t="s">
        <v>289</v>
      </c>
      <c r="T119" s="25"/>
      <c r="U119" s="29"/>
      <c r="V119" s="29"/>
      <c r="W119" s="29"/>
      <c r="X119" s="29"/>
      <c r="Y119" s="29"/>
      <c r="Z119" s="29"/>
      <c r="AA119" s="25"/>
      <c r="AB119" s="29"/>
      <c r="AC119" s="25" t="s">
        <v>609</v>
      </c>
    </row>
    <row r="120" customFormat="false" ht="45.75" hidden="false" customHeight="true" outlineLevel="0" collapsed="false">
      <c r="B120" s="44" t="s">
        <v>610</v>
      </c>
      <c r="C120" s="25" t="s">
        <v>598</v>
      </c>
      <c r="D120" s="29" t="str">
        <f aca="false">IF(NOT(ISNUMBER(E120)),"",IF(E120&lt;=0,"",IF(ABS(E120*64-ROUND(E120*64,0))&gt;0.0005,"≈ ","")&amp;IF(INT(ROUND(E120*64,0)/64)&gt;0,INT(ROUND(E120*64,0)/64)&amp;IF(MOD(ROUND(E120*64,0),64)&gt;0," ",""),"")&amp;IF(MOD(ROUND(E120*64,0),64)&gt;0,MOD(ROUND(E120*64,0),64)/GCD(MOD(ROUND(E120*64,0),64),64)&amp;"/"&amp;64/GCD(MOD(ROUND(E120*64,0),64),64),IF(ROUND(E120*64,0)=0,"0",""))&amp;""""))</f>
        <v/>
      </c>
      <c r="E120" s="29"/>
      <c r="F120" s="21" t="str">
        <f aca="false">IF(ISNUMBER(E120),E120*25.4,"")</f>
        <v/>
      </c>
      <c r="G120" s="29" t="str">
        <f aca="false">IF(NOT(ISNUMBER(H120)),"",IF(H120&lt;=0,"",IF(ABS(H120*64-ROUND(H120*64,0))&gt;0.0005,"≈ ","")&amp;IF(INT(ROUND(H120*64,0)/64)&gt;0,INT(ROUND(H120*64,0)/64)&amp;IF(MOD(ROUND(H120*64,0),64)&gt;0," ",""),"")&amp;IF(MOD(ROUND(H120*64,0),64)&gt;0,MOD(ROUND(H120*64,0),64)/GCD(MOD(ROUND(H120*64,0),64),64)&amp;"/"&amp;64/GCD(MOD(ROUND(H120*64,0),64),64),IF(ROUND(H120*64,0)=0,"0",""))&amp;""""))</f>
        <v/>
      </c>
      <c r="H120" s="29"/>
      <c r="I120" s="21" t="str">
        <f aca="false">IF(ISNUMBER(H120),H120*25.4,"")</f>
        <v/>
      </c>
      <c r="J120" s="29"/>
      <c r="K120" s="29"/>
      <c r="L120" s="29"/>
      <c r="M120" s="29"/>
      <c r="N120" s="29"/>
      <c r="O120" s="25"/>
      <c r="P120" s="25" t="s">
        <v>599</v>
      </c>
      <c r="Q120" s="25"/>
      <c r="R120" s="29" t="s">
        <v>289</v>
      </c>
      <c r="S120" s="29" t="s">
        <v>289</v>
      </c>
      <c r="T120" s="25"/>
      <c r="U120" s="29"/>
      <c r="V120" s="29"/>
      <c r="W120" s="29"/>
      <c r="X120" s="29"/>
      <c r="Y120" s="29"/>
      <c r="Z120" s="29"/>
      <c r="AA120" s="25"/>
      <c r="AB120" s="29"/>
      <c r="AC120" s="25" t="s">
        <v>611</v>
      </c>
    </row>
    <row r="121" customFormat="false" ht="45.75" hidden="false" customHeight="true" outlineLevel="0" collapsed="false">
      <c r="B121" s="44" t="s">
        <v>612</v>
      </c>
      <c r="C121" s="25" t="s">
        <v>598</v>
      </c>
      <c r="D121" s="29" t="str">
        <f aca="false">IF(NOT(ISNUMBER(E121)),"",IF(E121&lt;=0,"",IF(ABS(E121*64-ROUND(E121*64,0))&gt;0.0005,"≈ ","")&amp;IF(INT(ROUND(E121*64,0)/64)&gt;0,INT(ROUND(E121*64,0)/64)&amp;IF(MOD(ROUND(E121*64,0),64)&gt;0," ",""),"")&amp;IF(MOD(ROUND(E121*64,0),64)&gt;0,MOD(ROUND(E121*64,0),64)/GCD(MOD(ROUND(E121*64,0),64),64)&amp;"/"&amp;64/GCD(MOD(ROUND(E121*64,0),64),64),IF(ROUND(E121*64,0)=0,"0",""))&amp;""""))</f>
        <v/>
      </c>
      <c r="E121" s="29"/>
      <c r="F121" s="21" t="str">
        <f aca="false">IF(ISNUMBER(E121),E121*25.4,"")</f>
        <v/>
      </c>
      <c r="G121" s="29" t="str">
        <f aca="false">IF(NOT(ISNUMBER(H121)),"",IF(H121&lt;=0,"",IF(ABS(H121*64-ROUND(H121*64,0))&gt;0.0005,"≈ ","")&amp;IF(INT(ROUND(H121*64,0)/64)&gt;0,INT(ROUND(H121*64,0)/64)&amp;IF(MOD(ROUND(H121*64,0),64)&gt;0," ",""),"")&amp;IF(MOD(ROUND(H121*64,0),64)&gt;0,MOD(ROUND(H121*64,0),64)/GCD(MOD(ROUND(H121*64,0),64),64)&amp;"/"&amp;64/GCD(MOD(ROUND(H121*64,0),64),64),IF(ROUND(H121*64,0)=0,"0",""))&amp;""""))</f>
        <v/>
      </c>
      <c r="H121" s="29"/>
      <c r="I121" s="21" t="str">
        <f aca="false">IF(ISNUMBER(H121),H121*25.4,"")</f>
        <v/>
      </c>
      <c r="J121" s="29"/>
      <c r="K121" s="29"/>
      <c r="L121" s="29"/>
      <c r="M121" s="29"/>
      <c r="N121" s="29"/>
      <c r="O121" s="25"/>
      <c r="P121" s="25" t="s">
        <v>599</v>
      </c>
      <c r="Q121" s="25"/>
      <c r="R121" s="29" t="s">
        <v>289</v>
      </c>
      <c r="S121" s="29" t="s">
        <v>289</v>
      </c>
      <c r="T121" s="25"/>
      <c r="U121" s="29"/>
      <c r="V121" s="29"/>
      <c r="W121" s="29"/>
      <c r="X121" s="29"/>
      <c r="Y121" s="29"/>
      <c r="Z121" s="29"/>
      <c r="AA121" s="25"/>
      <c r="AB121" s="29"/>
      <c r="AC121" s="25" t="s">
        <v>613</v>
      </c>
    </row>
    <row r="122" customFormat="false" ht="45.75" hidden="false" customHeight="true" outlineLevel="0" collapsed="false">
      <c r="B122" s="44" t="s">
        <v>614</v>
      </c>
      <c r="C122" s="25" t="s">
        <v>598</v>
      </c>
      <c r="D122" s="29" t="str">
        <f aca="false">IF(NOT(ISNUMBER(E122)),"",IF(E122&lt;=0,"",IF(ABS(E122*64-ROUND(E122*64,0))&gt;0.0005,"≈ ","")&amp;IF(INT(ROUND(E122*64,0)/64)&gt;0,INT(ROUND(E122*64,0)/64)&amp;IF(MOD(ROUND(E122*64,0),64)&gt;0," ",""),"")&amp;IF(MOD(ROUND(E122*64,0),64)&gt;0,MOD(ROUND(E122*64,0),64)/GCD(MOD(ROUND(E122*64,0),64),64)&amp;"/"&amp;64/GCD(MOD(ROUND(E122*64,0),64),64),IF(ROUND(E122*64,0)=0,"0",""))&amp;""""))</f>
        <v/>
      </c>
      <c r="E122" s="29"/>
      <c r="F122" s="21" t="str">
        <f aca="false">IF(ISNUMBER(E122),E122*25.4,"")</f>
        <v/>
      </c>
      <c r="G122" s="29" t="str">
        <f aca="false">IF(NOT(ISNUMBER(H122)),"",IF(H122&lt;=0,"",IF(ABS(H122*64-ROUND(H122*64,0))&gt;0.0005,"≈ ","")&amp;IF(INT(ROUND(H122*64,0)/64)&gt;0,INT(ROUND(H122*64,0)/64)&amp;IF(MOD(ROUND(H122*64,0),64)&gt;0," ",""),"")&amp;IF(MOD(ROUND(H122*64,0),64)&gt;0,MOD(ROUND(H122*64,0),64)/GCD(MOD(ROUND(H122*64,0),64),64)&amp;"/"&amp;64/GCD(MOD(ROUND(H122*64,0),64),64),IF(ROUND(H122*64,0)=0,"0",""))&amp;""""))</f>
        <v/>
      </c>
      <c r="H122" s="29"/>
      <c r="I122" s="21" t="str">
        <f aca="false">IF(ISNUMBER(H122),H122*25.4,"")</f>
        <v/>
      </c>
      <c r="J122" s="29"/>
      <c r="K122" s="29"/>
      <c r="L122" s="29"/>
      <c r="M122" s="29"/>
      <c r="N122" s="29"/>
      <c r="O122" s="25" t="s">
        <v>615</v>
      </c>
      <c r="P122" s="25" t="s">
        <v>599</v>
      </c>
      <c r="Q122" s="25"/>
      <c r="R122" s="29" t="s">
        <v>289</v>
      </c>
      <c r="S122" s="29" t="s">
        <v>289</v>
      </c>
      <c r="T122" s="25"/>
      <c r="U122" s="29"/>
      <c r="V122" s="29"/>
      <c r="W122" s="29"/>
      <c r="X122" s="29"/>
      <c r="Y122" s="29"/>
      <c r="Z122" s="29"/>
      <c r="AA122" s="25"/>
      <c r="AB122" s="29"/>
      <c r="AC122" s="25" t="s">
        <v>616</v>
      </c>
    </row>
    <row r="123" customFormat="false" ht="45.75" hidden="false" customHeight="true" outlineLevel="0" collapsed="false">
      <c r="B123" s="44" t="s">
        <v>617</v>
      </c>
      <c r="C123" s="25" t="s">
        <v>598</v>
      </c>
      <c r="D123" s="29" t="str">
        <f aca="false">IF(NOT(ISNUMBER(E123)),"",IF(E123&lt;=0,"",IF(ABS(E123*64-ROUND(E123*64,0))&gt;0.0005,"≈ ","")&amp;IF(INT(ROUND(E123*64,0)/64)&gt;0,INT(ROUND(E123*64,0)/64)&amp;IF(MOD(ROUND(E123*64,0),64)&gt;0," ",""),"")&amp;IF(MOD(ROUND(E123*64,0),64)&gt;0,MOD(ROUND(E123*64,0),64)/GCD(MOD(ROUND(E123*64,0),64),64)&amp;"/"&amp;64/GCD(MOD(ROUND(E123*64,0),64),64),IF(ROUND(E123*64,0)=0,"0",""))&amp;""""))</f>
        <v/>
      </c>
      <c r="E123" s="29"/>
      <c r="F123" s="21" t="str">
        <f aca="false">IF(ISNUMBER(E123),E123*25.4,"")</f>
        <v/>
      </c>
      <c r="G123" s="29" t="str">
        <f aca="false">IF(NOT(ISNUMBER(H123)),"",IF(H123&lt;=0,"",IF(ABS(H123*64-ROUND(H123*64,0))&gt;0.0005,"≈ ","")&amp;IF(INT(ROUND(H123*64,0)/64)&gt;0,INT(ROUND(H123*64,0)/64)&amp;IF(MOD(ROUND(H123*64,0),64)&gt;0," ",""),"")&amp;IF(MOD(ROUND(H123*64,0),64)&gt;0,MOD(ROUND(H123*64,0),64)/GCD(MOD(ROUND(H123*64,0),64),64)&amp;"/"&amp;64/GCD(MOD(ROUND(H123*64,0),64),64),IF(ROUND(H123*64,0)=0,"0",""))&amp;""""))</f>
        <v/>
      </c>
      <c r="H123" s="29"/>
      <c r="I123" s="21" t="str">
        <f aca="false">IF(ISNUMBER(H123),H123*25.4,"")</f>
        <v/>
      </c>
      <c r="J123" s="29"/>
      <c r="K123" s="29"/>
      <c r="L123" s="29"/>
      <c r="M123" s="29"/>
      <c r="N123" s="29"/>
      <c r="O123" s="25"/>
      <c r="P123" s="25" t="s">
        <v>599</v>
      </c>
      <c r="Q123" s="25"/>
      <c r="R123" s="29" t="s">
        <v>289</v>
      </c>
      <c r="S123" s="29" t="s">
        <v>289</v>
      </c>
      <c r="T123" s="25"/>
      <c r="U123" s="29"/>
      <c r="V123" s="29"/>
      <c r="W123" s="29"/>
      <c r="X123" s="29"/>
      <c r="Y123" s="29"/>
      <c r="Z123" s="29"/>
      <c r="AA123" s="25"/>
      <c r="AB123" s="29"/>
      <c r="AC123" s="25" t="s">
        <v>618</v>
      </c>
    </row>
    <row r="124" customFormat="false" ht="45.75" hidden="false" customHeight="true" outlineLevel="0" collapsed="false">
      <c r="B124" s="44" t="s">
        <v>619</v>
      </c>
      <c r="C124" s="25" t="s">
        <v>598</v>
      </c>
      <c r="D124" s="29" t="str">
        <f aca="false">IF(NOT(ISNUMBER(E124)),"",IF(E124&lt;=0,"",IF(ABS(E124*64-ROUND(E124*64,0))&gt;0.0005,"≈ ","")&amp;IF(INT(ROUND(E124*64,0)/64)&gt;0,INT(ROUND(E124*64,0)/64)&amp;IF(MOD(ROUND(E124*64,0),64)&gt;0," ",""),"")&amp;IF(MOD(ROUND(E124*64,0),64)&gt;0,MOD(ROUND(E124*64,0),64)/GCD(MOD(ROUND(E124*64,0),64),64)&amp;"/"&amp;64/GCD(MOD(ROUND(E124*64,0),64),64),IF(ROUND(E124*64,0)=0,"0",""))&amp;""""))</f>
        <v/>
      </c>
      <c r="E124" s="29"/>
      <c r="F124" s="21" t="str">
        <f aca="false">IF(ISNUMBER(E124),E124*25.4,"")</f>
        <v/>
      </c>
      <c r="G124" s="29" t="str">
        <f aca="false">IF(NOT(ISNUMBER(H124)),"",IF(H124&lt;=0,"",IF(ABS(H124*64-ROUND(H124*64,0))&gt;0.0005,"≈ ","")&amp;IF(INT(ROUND(H124*64,0)/64)&gt;0,INT(ROUND(H124*64,0)/64)&amp;IF(MOD(ROUND(H124*64,0),64)&gt;0," ",""),"")&amp;IF(MOD(ROUND(H124*64,0),64)&gt;0,MOD(ROUND(H124*64,0),64)/GCD(MOD(ROUND(H124*64,0),64),64)&amp;"/"&amp;64/GCD(MOD(ROUND(H124*64,0),64),64),IF(ROUND(H124*64,0)=0,"0",""))&amp;""""))</f>
        <v/>
      </c>
      <c r="H124" s="29"/>
      <c r="I124" s="21" t="str">
        <f aca="false">IF(ISNUMBER(H124),H124*25.4,"")</f>
        <v/>
      </c>
      <c r="J124" s="29"/>
      <c r="K124" s="29"/>
      <c r="L124" s="29"/>
      <c r="M124" s="29"/>
      <c r="N124" s="29"/>
      <c r="O124" s="25"/>
      <c r="P124" s="25" t="s">
        <v>599</v>
      </c>
      <c r="Q124" s="25"/>
      <c r="R124" s="29" t="s">
        <v>289</v>
      </c>
      <c r="S124" s="29" t="s">
        <v>289</v>
      </c>
      <c r="T124" s="25"/>
      <c r="U124" s="29"/>
      <c r="V124" s="29"/>
      <c r="W124" s="29"/>
      <c r="X124" s="29"/>
      <c r="Y124" s="29"/>
      <c r="Z124" s="29"/>
      <c r="AA124" s="25"/>
      <c r="AB124" s="29"/>
      <c r="AC124" s="25" t="s">
        <v>620</v>
      </c>
    </row>
    <row r="125" customFormat="false" ht="45.75" hidden="false" customHeight="true" outlineLevel="0" collapsed="false">
      <c r="B125" s="44" t="s">
        <v>621</v>
      </c>
      <c r="C125" s="25" t="s">
        <v>598</v>
      </c>
      <c r="D125" s="29" t="str">
        <f aca="false">IF(NOT(ISNUMBER(E125)),"",IF(E125&lt;=0,"",IF(ABS(E125*64-ROUND(E125*64,0))&gt;0.0005,"≈ ","")&amp;IF(INT(ROUND(E125*64,0)/64)&gt;0,INT(ROUND(E125*64,0)/64)&amp;IF(MOD(ROUND(E125*64,0),64)&gt;0," ",""),"")&amp;IF(MOD(ROUND(E125*64,0),64)&gt;0,MOD(ROUND(E125*64,0),64)/GCD(MOD(ROUND(E125*64,0),64),64)&amp;"/"&amp;64/GCD(MOD(ROUND(E125*64,0),64),64),IF(ROUND(E125*64,0)=0,"0",""))&amp;""""))</f>
        <v/>
      </c>
      <c r="E125" s="29"/>
      <c r="F125" s="21" t="str">
        <f aca="false">IF(ISNUMBER(E125),E125*25.4,"")</f>
        <v/>
      </c>
      <c r="G125" s="29" t="str">
        <f aca="false">IF(NOT(ISNUMBER(H125)),"",IF(H125&lt;=0,"",IF(ABS(H125*64-ROUND(H125*64,0))&gt;0.0005,"≈ ","")&amp;IF(INT(ROUND(H125*64,0)/64)&gt;0,INT(ROUND(H125*64,0)/64)&amp;IF(MOD(ROUND(H125*64,0),64)&gt;0," ",""),"")&amp;IF(MOD(ROUND(H125*64,0),64)&gt;0,MOD(ROUND(H125*64,0),64)/GCD(MOD(ROUND(H125*64,0),64),64)&amp;"/"&amp;64/GCD(MOD(ROUND(H125*64,0),64),64),IF(ROUND(H125*64,0)=0,"0",""))&amp;""""))</f>
        <v/>
      </c>
      <c r="H125" s="29"/>
      <c r="I125" s="21" t="str">
        <f aca="false">IF(ISNUMBER(H125),H125*25.4,"")</f>
        <v/>
      </c>
      <c r="J125" s="29"/>
      <c r="K125" s="29"/>
      <c r="L125" s="29"/>
      <c r="M125" s="29"/>
      <c r="N125" s="29"/>
      <c r="O125" s="25"/>
      <c r="P125" s="25" t="s">
        <v>599</v>
      </c>
      <c r="Q125" s="25"/>
      <c r="R125" s="29" t="s">
        <v>289</v>
      </c>
      <c r="S125" s="29" t="s">
        <v>289</v>
      </c>
      <c r="T125" s="25"/>
      <c r="U125" s="29"/>
      <c r="V125" s="29"/>
      <c r="W125" s="29"/>
      <c r="X125" s="29"/>
      <c r="Y125" s="29"/>
      <c r="Z125" s="29"/>
      <c r="AA125" s="25"/>
      <c r="AB125" s="29"/>
      <c r="AC125" s="25" t="s">
        <v>622</v>
      </c>
    </row>
    <row r="126" customFormat="false" ht="45.75" hidden="false" customHeight="true" outlineLevel="0" collapsed="false">
      <c r="B126" s="44" t="s">
        <v>623</v>
      </c>
      <c r="C126" s="25" t="s">
        <v>598</v>
      </c>
      <c r="D126" s="29" t="str">
        <f aca="false">IF(NOT(ISNUMBER(E126)),"",IF(E126&lt;=0,"",IF(ABS(E126*64-ROUND(E126*64,0))&gt;0.0005,"≈ ","")&amp;IF(INT(ROUND(E126*64,0)/64)&gt;0,INT(ROUND(E126*64,0)/64)&amp;IF(MOD(ROUND(E126*64,0),64)&gt;0," ",""),"")&amp;IF(MOD(ROUND(E126*64,0),64)&gt;0,MOD(ROUND(E126*64,0),64)/GCD(MOD(ROUND(E126*64,0),64),64)&amp;"/"&amp;64/GCD(MOD(ROUND(E126*64,0),64),64),IF(ROUND(E126*64,0)=0,"0",""))&amp;""""))</f>
        <v/>
      </c>
      <c r="E126" s="29"/>
      <c r="F126" s="21" t="str">
        <f aca="false">IF(ISNUMBER(E126),E126*25.4,"")</f>
        <v/>
      </c>
      <c r="G126" s="29" t="str">
        <f aca="false">IF(NOT(ISNUMBER(H126)),"",IF(H126&lt;=0,"",IF(ABS(H126*64-ROUND(H126*64,0))&gt;0.0005,"≈ ","")&amp;IF(INT(ROUND(H126*64,0)/64)&gt;0,INT(ROUND(H126*64,0)/64)&amp;IF(MOD(ROUND(H126*64,0),64)&gt;0," ",""),"")&amp;IF(MOD(ROUND(H126*64,0),64)&gt;0,MOD(ROUND(H126*64,0),64)/GCD(MOD(ROUND(H126*64,0),64),64)&amp;"/"&amp;64/GCD(MOD(ROUND(H126*64,0),64),64),IF(ROUND(H126*64,0)=0,"0",""))&amp;""""))</f>
        <v/>
      </c>
      <c r="H126" s="29"/>
      <c r="I126" s="21" t="str">
        <f aca="false">IF(ISNUMBER(H126),H126*25.4,"")</f>
        <v/>
      </c>
      <c r="J126" s="29"/>
      <c r="K126" s="29"/>
      <c r="L126" s="29"/>
      <c r="M126" s="29"/>
      <c r="N126" s="29"/>
      <c r="O126" s="25" t="s">
        <v>624</v>
      </c>
      <c r="P126" s="25"/>
      <c r="Q126" s="25"/>
      <c r="R126" s="29" t="s">
        <v>289</v>
      </c>
      <c r="S126" s="29" t="s">
        <v>289</v>
      </c>
      <c r="T126" s="25"/>
      <c r="U126" s="29"/>
      <c r="V126" s="29"/>
      <c r="W126" s="29"/>
      <c r="X126" s="29"/>
      <c r="Y126" s="29"/>
      <c r="Z126" s="29"/>
      <c r="AA126" s="25"/>
      <c r="AB126" s="29" t="s">
        <v>575</v>
      </c>
      <c r="AC126" s="25" t="s">
        <v>625</v>
      </c>
      <c r="AD126" s="46" t="s">
        <v>152</v>
      </c>
    </row>
    <row r="127" customFormat="false" ht="45.75" hidden="false" customHeight="true" outlineLevel="0" collapsed="false">
      <c r="B127" s="44" t="s">
        <v>626</v>
      </c>
      <c r="C127" s="25" t="s">
        <v>627</v>
      </c>
      <c r="D127" s="29" t="str">
        <f aca="false">IF(NOT(ISNUMBER(E127)),"",IF(E127&lt;=0,"",IF(ABS(E127*64-ROUND(E127*64,0))&gt;0.0005,"≈ ","")&amp;IF(INT(ROUND(E127*64,0)/64)&gt;0,INT(ROUND(E127*64,0)/64)&amp;IF(MOD(ROUND(E127*64,0),64)&gt;0," ",""),"")&amp;IF(MOD(ROUND(E127*64,0),64)&gt;0,MOD(ROUND(E127*64,0),64)/GCD(MOD(ROUND(E127*64,0),64),64)&amp;"/"&amp;64/GCD(MOD(ROUND(E127*64,0),64),64),IF(ROUND(E127*64,0)=0,"0",""))&amp;""""))</f>
        <v/>
      </c>
      <c r="E127" s="29"/>
      <c r="F127" s="21" t="str">
        <f aca="false">IF(ISNUMBER(E127),E127*25.4,"")</f>
        <v/>
      </c>
      <c r="G127" s="29" t="str">
        <f aca="false">IF(NOT(ISNUMBER(H127)),"",IF(H127&lt;=0,"",IF(ABS(H127*64-ROUND(H127*64,0))&gt;0.0005,"≈ ","")&amp;IF(INT(ROUND(H127*64,0)/64)&gt;0,INT(ROUND(H127*64,0)/64)&amp;IF(MOD(ROUND(H127*64,0),64)&gt;0," ",""),"")&amp;IF(MOD(ROUND(H127*64,0),64)&gt;0,MOD(ROUND(H127*64,0),64)/GCD(MOD(ROUND(H127*64,0),64),64)&amp;"/"&amp;64/GCD(MOD(ROUND(H127*64,0),64),64),IF(ROUND(H127*64,0)=0,"0",""))&amp;""""))</f>
        <v/>
      </c>
      <c r="H127" s="29"/>
      <c r="I127" s="21" t="str">
        <f aca="false">IF(ISNUMBER(H127),H127*25.4,"")</f>
        <v/>
      </c>
      <c r="J127" s="29"/>
      <c r="K127" s="29"/>
      <c r="L127" s="29"/>
      <c r="M127" s="29"/>
      <c r="N127" s="29"/>
      <c r="O127" s="25" t="s">
        <v>628</v>
      </c>
      <c r="P127" s="25" t="s">
        <v>629</v>
      </c>
      <c r="Q127" s="25"/>
      <c r="R127" s="29" t="s">
        <v>289</v>
      </c>
      <c r="S127" s="29" t="s">
        <v>289</v>
      </c>
      <c r="T127" s="25"/>
      <c r="U127" s="29"/>
      <c r="V127" s="29"/>
      <c r="W127" s="29"/>
      <c r="X127" s="29"/>
      <c r="Y127" s="29"/>
      <c r="Z127" s="29"/>
      <c r="AA127" s="25"/>
      <c r="AB127" s="29"/>
      <c r="AC127" s="25" t="s">
        <v>630</v>
      </c>
      <c r="AD127" s="46" t="s">
        <v>152</v>
      </c>
    </row>
    <row r="128" customFormat="false" ht="45.75" hidden="false" customHeight="true" outlineLevel="0" collapsed="false">
      <c r="B128" s="44" t="s">
        <v>631</v>
      </c>
      <c r="C128" s="25" t="s">
        <v>627</v>
      </c>
      <c r="D128" s="29" t="str">
        <f aca="false">IF(NOT(ISNUMBER(E128)),"",IF(E128&lt;=0,"",IF(ABS(E128*64-ROUND(E128*64,0))&gt;0.0005,"≈ ","")&amp;IF(INT(ROUND(E128*64,0)/64)&gt;0,INT(ROUND(E128*64,0)/64)&amp;IF(MOD(ROUND(E128*64,0),64)&gt;0," ",""),"")&amp;IF(MOD(ROUND(E128*64,0),64)&gt;0,MOD(ROUND(E128*64,0),64)/GCD(MOD(ROUND(E128*64,0),64),64)&amp;"/"&amp;64/GCD(MOD(ROUND(E128*64,0),64),64),IF(ROUND(E128*64,0)=0,"0",""))&amp;""""))</f>
        <v/>
      </c>
      <c r="E128" s="29"/>
      <c r="F128" s="21" t="str">
        <f aca="false">IF(ISNUMBER(E128),E128*25.4,"")</f>
        <v/>
      </c>
      <c r="G128" s="29" t="str">
        <f aca="false">IF(NOT(ISNUMBER(H128)),"",IF(H128&lt;=0,"",IF(ABS(H128*64-ROUND(H128*64,0))&gt;0.0005,"≈ ","")&amp;IF(INT(ROUND(H128*64,0)/64)&gt;0,INT(ROUND(H128*64,0)/64)&amp;IF(MOD(ROUND(H128*64,0),64)&gt;0," ",""),"")&amp;IF(MOD(ROUND(H128*64,0),64)&gt;0,MOD(ROUND(H128*64,0),64)/GCD(MOD(ROUND(H128*64,0),64),64)&amp;"/"&amp;64/GCD(MOD(ROUND(H128*64,0),64),64),IF(ROUND(H128*64,0)=0,"0",""))&amp;""""))</f>
        <v/>
      </c>
      <c r="H128" s="29"/>
      <c r="I128" s="21" t="str">
        <f aca="false">IF(ISNUMBER(H128),H128*25.4,"")</f>
        <v/>
      </c>
      <c r="J128" s="29"/>
      <c r="K128" s="29"/>
      <c r="L128" s="29"/>
      <c r="M128" s="29"/>
      <c r="N128" s="29"/>
      <c r="O128" s="25" t="s">
        <v>632</v>
      </c>
      <c r="P128" s="25" t="s">
        <v>629</v>
      </c>
      <c r="Q128" s="25"/>
      <c r="R128" s="29" t="s">
        <v>289</v>
      </c>
      <c r="S128" s="29" t="s">
        <v>289</v>
      </c>
      <c r="T128" s="25"/>
      <c r="U128" s="29"/>
      <c r="V128" s="29"/>
      <c r="W128" s="29"/>
      <c r="X128" s="29"/>
      <c r="Y128" s="29"/>
      <c r="Z128" s="29"/>
      <c r="AA128" s="25"/>
      <c r="AB128" s="29" t="s">
        <v>575</v>
      </c>
      <c r="AC128" s="25" t="s">
        <v>633</v>
      </c>
      <c r="AD128" s="46" t="s">
        <v>152</v>
      </c>
    </row>
    <row r="129" customFormat="false" ht="45.75" hidden="false" customHeight="true" outlineLevel="0" collapsed="false">
      <c r="B129" s="44" t="s">
        <v>634</v>
      </c>
      <c r="C129" s="25" t="s">
        <v>627</v>
      </c>
      <c r="D129" s="29" t="str">
        <f aca="false">IF(NOT(ISNUMBER(E129)),"",IF(E129&lt;=0,"",IF(ABS(E129*64-ROUND(E129*64,0))&gt;0.0005,"≈ ","")&amp;IF(INT(ROUND(E129*64,0)/64)&gt;0,INT(ROUND(E129*64,0)/64)&amp;IF(MOD(ROUND(E129*64,0),64)&gt;0," ",""),"")&amp;IF(MOD(ROUND(E129*64,0),64)&gt;0,MOD(ROUND(E129*64,0),64)/GCD(MOD(ROUND(E129*64,0),64),64)&amp;"/"&amp;64/GCD(MOD(ROUND(E129*64,0),64),64),IF(ROUND(E129*64,0)=0,"0",""))&amp;""""))</f>
        <v/>
      </c>
      <c r="E129" s="29"/>
      <c r="F129" s="21" t="str">
        <f aca="false">IF(ISNUMBER(E129),E129*25.4,"")</f>
        <v/>
      </c>
      <c r="G129" s="29" t="str">
        <f aca="false">IF(NOT(ISNUMBER(H129)),"",IF(H129&lt;=0,"",IF(ABS(H129*64-ROUND(H129*64,0))&gt;0.0005,"≈ ","")&amp;IF(INT(ROUND(H129*64,0)/64)&gt;0,INT(ROUND(H129*64,0)/64)&amp;IF(MOD(ROUND(H129*64,0),64)&gt;0," ",""),"")&amp;IF(MOD(ROUND(H129*64,0),64)&gt;0,MOD(ROUND(H129*64,0),64)/GCD(MOD(ROUND(H129*64,0),64),64)&amp;"/"&amp;64/GCD(MOD(ROUND(H129*64,0),64),64),IF(ROUND(H129*64,0)=0,"0",""))&amp;""""))</f>
        <v/>
      </c>
      <c r="H129" s="29"/>
      <c r="I129" s="21" t="str">
        <f aca="false">IF(ISNUMBER(H129),H129*25.4,"")</f>
        <v/>
      </c>
      <c r="J129" s="29"/>
      <c r="K129" s="29"/>
      <c r="L129" s="29"/>
      <c r="M129" s="29"/>
      <c r="N129" s="29"/>
      <c r="O129" s="25" t="s">
        <v>635</v>
      </c>
      <c r="P129" s="25" t="s">
        <v>629</v>
      </c>
      <c r="Q129" s="25"/>
      <c r="R129" s="29" t="s">
        <v>289</v>
      </c>
      <c r="S129" s="29" t="s">
        <v>289</v>
      </c>
      <c r="T129" s="25"/>
      <c r="U129" s="29"/>
      <c r="V129" s="29"/>
      <c r="W129" s="29"/>
      <c r="X129" s="29"/>
      <c r="Y129" s="29"/>
      <c r="Z129" s="29"/>
      <c r="AA129" s="25"/>
      <c r="AB129" s="29" t="s">
        <v>575</v>
      </c>
      <c r="AC129" s="25" t="s">
        <v>636</v>
      </c>
    </row>
    <row r="130" customFormat="false" ht="45.75" hidden="false" customHeight="true" outlineLevel="0" collapsed="false">
      <c r="B130" s="44" t="s">
        <v>637</v>
      </c>
      <c r="C130" s="25" t="s">
        <v>627</v>
      </c>
      <c r="D130" s="29" t="str">
        <f aca="false">IF(NOT(ISNUMBER(E130)),"",IF(E130&lt;=0,"",IF(ABS(E130*64-ROUND(E130*64,0))&gt;0.0005,"≈ ","")&amp;IF(INT(ROUND(E130*64,0)/64)&gt;0,INT(ROUND(E130*64,0)/64)&amp;IF(MOD(ROUND(E130*64,0),64)&gt;0," ",""),"")&amp;IF(MOD(ROUND(E130*64,0),64)&gt;0,MOD(ROUND(E130*64,0),64)/GCD(MOD(ROUND(E130*64,0),64),64)&amp;"/"&amp;64/GCD(MOD(ROUND(E130*64,0),64),64),IF(ROUND(E130*64,0)=0,"0",""))&amp;""""))</f>
        <v/>
      </c>
      <c r="E130" s="29"/>
      <c r="F130" s="21" t="str">
        <f aca="false">IF(ISNUMBER(E130),E130*25.4,"")</f>
        <v/>
      </c>
      <c r="G130" s="29" t="str">
        <f aca="false">IF(NOT(ISNUMBER(H130)),"",IF(H130&lt;=0,"",IF(ABS(H130*64-ROUND(H130*64,0))&gt;0.0005,"≈ ","")&amp;IF(INT(ROUND(H130*64,0)/64)&gt;0,INT(ROUND(H130*64,0)/64)&amp;IF(MOD(ROUND(H130*64,0),64)&gt;0," ",""),"")&amp;IF(MOD(ROUND(H130*64,0),64)&gt;0,MOD(ROUND(H130*64,0),64)/GCD(MOD(ROUND(H130*64,0),64),64)&amp;"/"&amp;64/GCD(MOD(ROUND(H130*64,0),64),64),IF(ROUND(H130*64,0)=0,"0",""))&amp;""""))</f>
        <v/>
      </c>
      <c r="H130" s="29"/>
      <c r="I130" s="21" t="str">
        <f aca="false">IF(ISNUMBER(H130),H130*25.4,"")</f>
        <v/>
      </c>
      <c r="J130" s="29"/>
      <c r="K130" s="29"/>
      <c r="L130" s="29"/>
      <c r="M130" s="29"/>
      <c r="N130" s="29"/>
      <c r="O130" s="25" t="s">
        <v>638</v>
      </c>
      <c r="P130" s="25" t="s">
        <v>629</v>
      </c>
      <c r="Q130" s="25"/>
      <c r="R130" s="29" t="s">
        <v>289</v>
      </c>
      <c r="S130" s="29" t="s">
        <v>289</v>
      </c>
      <c r="T130" s="25"/>
      <c r="U130" s="29"/>
      <c r="V130" s="29"/>
      <c r="W130" s="29"/>
      <c r="X130" s="29"/>
      <c r="Y130" s="29"/>
      <c r="Z130" s="29"/>
      <c r="AA130" s="25"/>
      <c r="AB130" s="29"/>
      <c r="AC130" s="25" t="s">
        <v>639</v>
      </c>
    </row>
    <row r="132" customFormat="false" ht="15" hidden="false" customHeight="false" outlineLevel="0" collapsed="false">
      <c r="B132" s="37" t="s">
        <v>640</v>
      </c>
    </row>
  </sheetData>
  <autoFilter ref="A5:AD130"/>
  <hyperlinks>
    <hyperlink ref="AD6" r:id="rId1" display="Ouvrir ↗"/>
    <hyperlink ref="AD7" r:id="rId2" display="Ouvrir ↗"/>
    <hyperlink ref="AD9" r:id="rId3" display="Ouvrir ↗"/>
    <hyperlink ref="AD13" r:id="rId4" display="Ouvrir ↗"/>
    <hyperlink ref="AD14" r:id="rId5" display="Ouvrir ↗"/>
    <hyperlink ref="AD15" r:id="rId6" display="Ouvrir ↗"/>
    <hyperlink ref="AD16" r:id="rId7" display="Ouvrir ↗"/>
    <hyperlink ref="AD17" r:id="rId8" display="Ouvrir ↗"/>
    <hyperlink ref="AD18" r:id="rId9" display="Ouvrir ↗"/>
    <hyperlink ref="AD20" r:id="rId10" display="Ouvrir ↗"/>
    <hyperlink ref="AD21" r:id="rId11" display="Ouvrir ↗"/>
    <hyperlink ref="AD22" r:id="rId12" display="Ouvrir ↗"/>
    <hyperlink ref="AD23" r:id="rId13" display="Ouvrir ↗"/>
    <hyperlink ref="AD28" r:id="rId14" display="Ouvrir ↗"/>
    <hyperlink ref="AD29" r:id="rId15" display="Ouvrir ↗"/>
    <hyperlink ref="AD31" r:id="rId16" display="Ouvrir ↗"/>
    <hyperlink ref="AD32" r:id="rId17" display="Ouvrir ↗"/>
    <hyperlink ref="AD33" r:id="rId18" display="Ouvrir ↗"/>
    <hyperlink ref="AD34" r:id="rId19" display="Ouvrir ↗"/>
    <hyperlink ref="AD35" r:id="rId20" display="Ouvrir ↗"/>
    <hyperlink ref="AD36" r:id="rId21" display="Ouvrir ↗"/>
    <hyperlink ref="AD37" r:id="rId22" display="Ouvrir ↗"/>
    <hyperlink ref="AD38" r:id="rId23" display="Ouvrir ↗"/>
    <hyperlink ref="AD39" r:id="rId24" display="Ouvrir ↗"/>
    <hyperlink ref="AD40" r:id="rId25" display="Ouvrir ↗"/>
    <hyperlink ref="AD41" r:id="rId26" display="Ouvrir ↗"/>
    <hyperlink ref="AD42" r:id="rId27" display="Ouvrir ↗"/>
    <hyperlink ref="AD43" r:id="rId28" display="Ouvrir ↗"/>
    <hyperlink ref="AD44" r:id="rId29" display="Ouvrir ↗"/>
    <hyperlink ref="AD45" r:id="rId30" display="Ouvrir ↗"/>
    <hyperlink ref="AD46" r:id="rId31" display="Ouvrir ↗"/>
    <hyperlink ref="AD47" r:id="rId32" display="Ouvrir ↗"/>
    <hyperlink ref="AD48" r:id="rId33" display="Ouvrir ↗"/>
    <hyperlink ref="AD49" r:id="rId34" display="Ouvrir ↗"/>
    <hyperlink ref="AD50" r:id="rId35" display="Ouvrir ↗"/>
    <hyperlink ref="AD51" r:id="rId36" display="Ouvrir ↗"/>
    <hyperlink ref="AD52" r:id="rId37" display="Ouvrir ↗"/>
    <hyperlink ref="AD53" r:id="rId38" display="Ouvrir ↗"/>
    <hyperlink ref="AD54" r:id="rId39" display="Ouvrir ↗"/>
    <hyperlink ref="AD55" r:id="rId40" display="Ouvrir ↗"/>
    <hyperlink ref="AD56" r:id="rId41" display="Ouvrir ↗"/>
    <hyperlink ref="AD57" r:id="rId42" display="Ouvrir ↗"/>
    <hyperlink ref="AD58" r:id="rId43" display="Ouvrir ↗"/>
    <hyperlink ref="AD59" r:id="rId44" display="Ouvrir ↗"/>
    <hyperlink ref="AD60" r:id="rId45" display="Ouvrir ↗"/>
    <hyperlink ref="AD61" r:id="rId46" display="Ouvrir ↗"/>
    <hyperlink ref="AD62" r:id="rId47" display="Ouvrir ↗"/>
    <hyperlink ref="AD63" r:id="rId48" display="Ouvrir ↗"/>
    <hyperlink ref="AD64" r:id="rId49" display="Ouvrir ↗"/>
    <hyperlink ref="AD65" r:id="rId50" display="Ouvrir ↗"/>
    <hyperlink ref="AD66" r:id="rId51" display="Ouvrir ↗"/>
    <hyperlink ref="AD67" r:id="rId52" display="Ouvrir ↗"/>
    <hyperlink ref="AD68" r:id="rId53" display="Ouvrir ↗"/>
    <hyperlink ref="AD69" r:id="rId54" display="Ouvrir ↗"/>
    <hyperlink ref="AD70" r:id="rId55" display="Ouvrir ↗"/>
    <hyperlink ref="AD71" r:id="rId56" display="Ouvrir ↗"/>
    <hyperlink ref="AD72" r:id="rId57" display="Ouvrir ↗"/>
    <hyperlink ref="AD73" r:id="rId58" display="Ouvrir ↗"/>
    <hyperlink ref="AD74" r:id="rId59" display="Ouvrir ↗"/>
    <hyperlink ref="AD75" r:id="rId60" display="Ouvrir ↗"/>
    <hyperlink ref="AD76" r:id="rId61" display="Ouvrir ↗"/>
    <hyperlink ref="AD77" r:id="rId62" display="Ouvrir ↗"/>
    <hyperlink ref="AD78" r:id="rId63" display="Ouvrir ↗"/>
    <hyperlink ref="AD79" r:id="rId64" display="Ouvrir ↗"/>
    <hyperlink ref="AD80" r:id="rId65" display="Ouvrir ↗"/>
    <hyperlink ref="AD81" r:id="rId66" display="Ouvrir ↗"/>
    <hyperlink ref="AD83" r:id="rId67" display="Ouvrir ↗"/>
    <hyperlink ref="AD84" r:id="rId68" display="Ouvrir ↗"/>
    <hyperlink ref="AD85" r:id="rId69" display="Ouvrir ↗"/>
    <hyperlink ref="AD87" r:id="rId70" display="Ouvrir ↗"/>
    <hyperlink ref="AD88" r:id="rId71" display="Ouvrir ↗"/>
    <hyperlink ref="AD89" r:id="rId72" display="Ouvrir ↗"/>
    <hyperlink ref="AD90" r:id="rId73" display="Ouvrir ↗"/>
    <hyperlink ref="AD91" r:id="rId74" display="Ouvrir ↗"/>
    <hyperlink ref="AD93" r:id="rId75" display="Ouvrir ↗"/>
    <hyperlink ref="AD94" r:id="rId76" display="Ouvrir ↗"/>
    <hyperlink ref="AD95" r:id="rId77" display="Ouvrir ↗"/>
    <hyperlink ref="AD100" r:id="rId78" display="Ouvrir ↗"/>
    <hyperlink ref="AD102" r:id="rId79" display="Ouvrir ↗"/>
    <hyperlink ref="AD108" r:id="rId80" display="Ouvrir ↗"/>
    <hyperlink ref="AD114" r:id="rId81" display="Ouvrir ↗"/>
    <hyperlink ref="AD115" r:id="rId82" display="Ouvrir ↗"/>
    <hyperlink ref="AD116" r:id="rId83" display="Ouvrir ↗"/>
    <hyperlink ref="AD117" r:id="rId84" display="Ouvrir ↗"/>
    <hyperlink ref="AD126" r:id="rId85" display="Ouvrir ↗"/>
    <hyperlink ref="AD127" r:id="rId86" display="Ouvrir ↗"/>
    <hyperlink ref="AD128" r:id="rId87" display="Ouvrir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5"/>
  </cols>
  <sheetData>
    <row r="1" customFormat="false" ht="16.15" hidden="false" customHeight="false" outlineLevel="0" collapsed="false">
      <c r="A1" s="47" t="s">
        <v>641</v>
      </c>
    </row>
    <row r="2" customFormat="false" ht="15" hidden="false" customHeight="false" outlineLevel="0" collapsed="false">
      <c r="A2" s="12" t="s">
        <v>6</v>
      </c>
      <c r="B2" s="12" t="s">
        <v>18</v>
      </c>
      <c r="C2" s="12" t="s">
        <v>19</v>
      </c>
      <c r="D2" s="12" t="s">
        <v>20</v>
      </c>
      <c r="E2" s="12" t="s">
        <v>21</v>
      </c>
    </row>
    <row r="3" customFormat="false" ht="15" hidden="false" customHeight="false" outlineLevel="0" collapsed="false">
      <c r="A3" s="30" t="str">
        <f aca="false">IF(NOT(ISNUMBER(B3)),"",IF(B3&lt;=0,"",IF(ABS(B3*64-ROUND(B3*64,0))&gt;0.0005,"≈ ","")&amp;IF(INT(ROUND(B3*64,0)/64)&gt;0,INT(ROUND(B3*64,0)/64)&amp;IF(MOD(ROUND(B3*64,0),64)&gt;0," ",""),"")&amp;IF(MOD(ROUND(B3*64,0),64)&gt;0,MOD(ROUND(B3*64,0),64)/GCD(MOD(ROUND(B3*64,0),64),64)&amp;"/"&amp;64/GCD(MOD(ROUND(B3*64,0),64),64),IF(ROUND(B3*64,0)=0,"0",""))&amp;""""))</f>
        <v>1/8"</v>
      </c>
      <c r="B3" s="48" t="n">
        <f aca="false">1/8</f>
        <v>0.125</v>
      </c>
      <c r="C3" s="49" t="n">
        <f aca="false">B3*25.4</f>
        <v>3.175</v>
      </c>
      <c r="D3" s="50" t="n">
        <f aca="false">B3/2</f>
        <v>0.0625</v>
      </c>
      <c r="E3" s="49" t="n">
        <f aca="false">C3/2</f>
        <v>1.5875</v>
      </c>
    </row>
    <row r="4" customFormat="false" ht="15" hidden="false" customHeight="false" outlineLevel="0" collapsed="false">
      <c r="A4" s="51" t="str">
        <f aca="false">IF(NOT(ISNUMBER(B4)),"",IF(B4&lt;=0,"",IF(ABS(B4*64-ROUND(B4*64,0))&gt;0.0005,"≈ ","")&amp;IF(INT(ROUND(B4*64,0)/64)&gt;0,INT(ROUND(B4*64,0)/64)&amp;IF(MOD(ROUND(B4*64,0),64)&gt;0," ",""),"")&amp;IF(MOD(ROUND(B4*64,0),64)&gt;0,MOD(ROUND(B4*64,0),64)/GCD(MOD(ROUND(B4*64,0),64),64)&amp;"/"&amp;64/GCD(MOD(ROUND(B4*64,0),64),64),IF(ROUND(B4*64,0)=0,"0",""))&amp;""""))</f>
        <v>1/4"</v>
      </c>
      <c r="B4" s="52" t="n">
        <f aca="false">2/8</f>
        <v>0.25</v>
      </c>
      <c r="C4" s="53" t="n">
        <f aca="false">B4*25.4</f>
        <v>6.35</v>
      </c>
      <c r="D4" s="54" t="n">
        <f aca="false">B4/2</f>
        <v>0.125</v>
      </c>
      <c r="E4" s="53" t="n">
        <f aca="false">C4/2</f>
        <v>3.175</v>
      </c>
    </row>
    <row r="5" customFormat="false" ht="15" hidden="false" customHeight="false" outlineLevel="0" collapsed="false">
      <c r="A5" s="30" t="str">
        <f aca="false">IF(NOT(ISNUMBER(B5)),"",IF(B5&lt;=0,"",IF(ABS(B5*64-ROUND(B5*64,0))&gt;0.0005,"≈ ","")&amp;IF(INT(ROUND(B5*64,0)/64)&gt;0,INT(ROUND(B5*64,0)/64)&amp;IF(MOD(ROUND(B5*64,0),64)&gt;0," ",""),"")&amp;IF(MOD(ROUND(B5*64,0),64)&gt;0,MOD(ROUND(B5*64,0),64)/GCD(MOD(ROUND(B5*64,0),64),64)&amp;"/"&amp;64/GCD(MOD(ROUND(B5*64,0),64),64),IF(ROUND(B5*64,0)=0,"0",""))&amp;""""))</f>
        <v>3/8"</v>
      </c>
      <c r="B5" s="48" t="n">
        <f aca="false">3/8</f>
        <v>0.375</v>
      </c>
      <c r="C5" s="49" t="n">
        <f aca="false">B5*25.4</f>
        <v>9.525</v>
      </c>
      <c r="D5" s="50" t="n">
        <f aca="false">B5/2</f>
        <v>0.1875</v>
      </c>
      <c r="E5" s="49" t="n">
        <f aca="false">C5/2</f>
        <v>4.7625</v>
      </c>
    </row>
    <row r="6" customFormat="false" ht="15" hidden="false" customHeight="false" outlineLevel="0" collapsed="false">
      <c r="A6" s="51" t="str">
        <f aca="false">IF(NOT(ISNUMBER(B6)),"",IF(B6&lt;=0,"",IF(ABS(B6*64-ROUND(B6*64,0))&gt;0.0005,"≈ ","")&amp;IF(INT(ROUND(B6*64,0)/64)&gt;0,INT(ROUND(B6*64,0)/64)&amp;IF(MOD(ROUND(B6*64,0),64)&gt;0," ",""),"")&amp;IF(MOD(ROUND(B6*64,0),64)&gt;0,MOD(ROUND(B6*64,0),64)/GCD(MOD(ROUND(B6*64,0),64),64)&amp;"/"&amp;64/GCD(MOD(ROUND(B6*64,0),64),64),IF(ROUND(B6*64,0)=0,"0",""))&amp;""""))</f>
        <v>1/2"</v>
      </c>
      <c r="B6" s="52" t="n">
        <f aca="false">4/8</f>
        <v>0.5</v>
      </c>
      <c r="C6" s="53" t="n">
        <f aca="false">B6*25.4</f>
        <v>12.7</v>
      </c>
      <c r="D6" s="54" t="n">
        <f aca="false">B6/2</f>
        <v>0.25</v>
      </c>
      <c r="E6" s="53" t="n">
        <f aca="false">C6/2</f>
        <v>6.35</v>
      </c>
    </row>
    <row r="7" customFormat="false" ht="15" hidden="false" customHeight="false" outlineLevel="0" collapsed="false">
      <c r="A7" s="30" t="str">
        <f aca="false">IF(NOT(ISNUMBER(B7)),"",IF(B7&lt;=0,"",IF(ABS(B7*64-ROUND(B7*64,0))&gt;0.0005,"≈ ","")&amp;IF(INT(ROUND(B7*64,0)/64)&gt;0,INT(ROUND(B7*64,0)/64)&amp;IF(MOD(ROUND(B7*64,0),64)&gt;0," ",""),"")&amp;IF(MOD(ROUND(B7*64,0),64)&gt;0,MOD(ROUND(B7*64,0),64)/GCD(MOD(ROUND(B7*64,0),64),64)&amp;"/"&amp;64/GCD(MOD(ROUND(B7*64,0),64),64),IF(ROUND(B7*64,0)=0,"0",""))&amp;""""))</f>
        <v>5/8"</v>
      </c>
      <c r="B7" s="48" t="n">
        <f aca="false">5/8</f>
        <v>0.625</v>
      </c>
      <c r="C7" s="49" t="n">
        <f aca="false">B7*25.4</f>
        <v>15.875</v>
      </c>
      <c r="D7" s="50" t="n">
        <f aca="false">B7/2</f>
        <v>0.3125</v>
      </c>
      <c r="E7" s="49" t="n">
        <f aca="false">C7/2</f>
        <v>7.9375</v>
      </c>
    </row>
    <row r="8" customFormat="false" ht="15" hidden="false" customHeight="false" outlineLevel="0" collapsed="false">
      <c r="A8" s="51" t="str">
        <f aca="false">IF(NOT(ISNUMBER(B8)),"",IF(B8&lt;=0,"",IF(ABS(B8*64-ROUND(B8*64,0))&gt;0.0005,"≈ ","")&amp;IF(INT(ROUND(B8*64,0)/64)&gt;0,INT(ROUND(B8*64,0)/64)&amp;IF(MOD(ROUND(B8*64,0),64)&gt;0," ",""),"")&amp;IF(MOD(ROUND(B8*64,0),64)&gt;0,MOD(ROUND(B8*64,0),64)/GCD(MOD(ROUND(B8*64,0),64),64)&amp;"/"&amp;64/GCD(MOD(ROUND(B8*64,0),64),64),IF(ROUND(B8*64,0)=0,"0",""))&amp;""""))</f>
        <v>3/4"</v>
      </c>
      <c r="B8" s="52" t="n">
        <f aca="false">6/8</f>
        <v>0.75</v>
      </c>
      <c r="C8" s="53" t="n">
        <f aca="false">B8*25.4</f>
        <v>19.05</v>
      </c>
      <c r="D8" s="54" t="n">
        <f aca="false">B8/2</f>
        <v>0.375</v>
      </c>
      <c r="E8" s="53" t="n">
        <f aca="false">C8/2</f>
        <v>9.525</v>
      </c>
    </row>
    <row r="9" customFormat="false" ht="15" hidden="false" customHeight="false" outlineLevel="0" collapsed="false">
      <c r="A9" s="30" t="str">
        <f aca="false">IF(NOT(ISNUMBER(B9)),"",IF(B9&lt;=0,"",IF(ABS(B9*64-ROUND(B9*64,0))&gt;0.0005,"≈ ","")&amp;IF(INT(ROUND(B9*64,0)/64)&gt;0,INT(ROUND(B9*64,0)/64)&amp;IF(MOD(ROUND(B9*64,0),64)&gt;0," ",""),"")&amp;IF(MOD(ROUND(B9*64,0),64)&gt;0,MOD(ROUND(B9*64,0),64)/GCD(MOD(ROUND(B9*64,0),64),64)&amp;"/"&amp;64/GCD(MOD(ROUND(B9*64,0),64),64),IF(ROUND(B9*64,0)=0,"0",""))&amp;""""))</f>
        <v>7/8"</v>
      </c>
      <c r="B9" s="48" t="n">
        <f aca="false">7/8</f>
        <v>0.875</v>
      </c>
      <c r="C9" s="49" t="n">
        <f aca="false">B9*25.4</f>
        <v>22.225</v>
      </c>
      <c r="D9" s="50" t="n">
        <f aca="false">B9/2</f>
        <v>0.4375</v>
      </c>
      <c r="E9" s="49" t="n">
        <f aca="false">C9/2</f>
        <v>11.1125</v>
      </c>
    </row>
    <row r="10" customFormat="false" ht="15" hidden="false" customHeight="false" outlineLevel="0" collapsed="false">
      <c r="A10" s="51" t="str">
        <f aca="false">IF(NOT(ISNUMBER(B10)),"",IF(B10&lt;=0,"",IF(ABS(B10*64-ROUND(B10*64,0))&gt;0.0005,"≈ ","")&amp;IF(INT(ROUND(B10*64,0)/64)&gt;0,INT(ROUND(B10*64,0)/64)&amp;IF(MOD(ROUND(B10*64,0),64)&gt;0," ",""),"")&amp;IF(MOD(ROUND(B10*64,0),64)&gt;0,MOD(ROUND(B10*64,0),64)/GCD(MOD(ROUND(B10*64,0),64),64)&amp;"/"&amp;64/GCD(MOD(ROUND(B10*64,0),64),64),IF(ROUND(B10*64,0)=0,"0",""))&amp;""""))</f>
        <v>1"</v>
      </c>
      <c r="B10" s="52" t="n">
        <f aca="false">8/8</f>
        <v>1</v>
      </c>
      <c r="C10" s="53" t="n">
        <f aca="false">B10*25.4</f>
        <v>25.4</v>
      </c>
      <c r="D10" s="54" t="n">
        <f aca="false">B10/2</f>
        <v>0.5</v>
      </c>
      <c r="E10" s="53" t="n">
        <f aca="false">C10/2</f>
        <v>12.7</v>
      </c>
    </row>
    <row r="11" customFormat="false" ht="15" hidden="false" customHeight="false" outlineLevel="0" collapsed="false">
      <c r="A11" s="30" t="str">
        <f aca="false">IF(NOT(ISNUMBER(B11)),"",IF(B11&lt;=0,"",IF(ABS(B11*64-ROUND(B11*64,0))&gt;0.0005,"≈ ","")&amp;IF(INT(ROUND(B11*64,0)/64)&gt;0,INT(ROUND(B11*64,0)/64)&amp;IF(MOD(ROUND(B11*64,0),64)&gt;0," ",""),"")&amp;IF(MOD(ROUND(B11*64,0),64)&gt;0,MOD(ROUND(B11*64,0),64)/GCD(MOD(ROUND(B11*64,0),64),64)&amp;"/"&amp;64/GCD(MOD(ROUND(B11*64,0),64),64),IF(ROUND(B11*64,0)=0,"0",""))&amp;""""))</f>
        <v>1 1/8"</v>
      </c>
      <c r="B11" s="48" t="n">
        <f aca="false">9/8</f>
        <v>1.125</v>
      </c>
      <c r="C11" s="49" t="n">
        <f aca="false">B11*25.4</f>
        <v>28.575</v>
      </c>
      <c r="D11" s="50" t="n">
        <f aca="false">B11/2</f>
        <v>0.5625</v>
      </c>
      <c r="E11" s="49" t="n">
        <f aca="false">C11/2</f>
        <v>14.2875</v>
      </c>
    </row>
    <row r="12" customFormat="false" ht="15" hidden="false" customHeight="false" outlineLevel="0" collapsed="false">
      <c r="A12" s="51" t="str">
        <f aca="false">IF(NOT(ISNUMBER(B12)),"",IF(B12&lt;=0,"",IF(ABS(B12*64-ROUND(B12*64,0))&gt;0.0005,"≈ ","")&amp;IF(INT(ROUND(B12*64,0)/64)&gt;0,INT(ROUND(B12*64,0)/64)&amp;IF(MOD(ROUND(B12*64,0),64)&gt;0," ",""),"")&amp;IF(MOD(ROUND(B12*64,0),64)&gt;0,MOD(ROUND(B12*64,0),64)/GCD(MOD(ROUND(B12*64,0),64),64)&amp;"/"&amp;64/GCD(MOD(ROUND(B12*64,0),64),64),IF(ROUND(B12*64,0)=0,"0",""))&amp;""""))</f>
        <v>1 1/4"</v>
      </c>
      <c r="B12" s="52" t="n">
        <f aca="false">10/8</f>
        <v>1.25</v>
      </c>
      <c r="C12" s="53" t="n">
        <f aca="false">B12*25.4</f>
        <v>31.75</v>
      </c>
      <c r="D12" s="54" t="n">
        <f aca="false">B12/2</f>
        <v>0.625</v>
      </c>
      <c r="E12" s="53" t="n">
        <f aca="false">C12/2</f>
        <v>15.875</v>
      </c>
    </row>
    <row r="13" customFormat="false" ht="15" hidden="false" customHeight="false" outlineLevel="0" collapsed="false">
      <c r="A13" s="30" t="str">
        <f aca="false">IF(NOT(ISNUMBER(B13)),"",IF(B13&lt;=0,"",IF(ABS(B13*64-ROUND(B13*64,0))&gt;0.0005,"≈ ","")&amp;IF(INT(ROUND(B13*64,0)/64)&gt;0,INT(ROUND(B13*64,0)/64)&amp;IF(MOD(ROUND(B13*64,0),64)&gt;0," ",""),"")&amp;IF(MOD(ROUND(B13*64,0),64)&gt;0,MOD(ROUND(B13*64,0),64)/GCD(MOD(ROUND(B13*64,0),64),64)&amp;"/"&amp;64/GCD(MOD(ROUND(B13*64,0),64),64),IF(ROUND(B13*64,0)=0,"0",""))&amp;""""))</f>
        <v>1 3/8"</v>
      </c>
      <c r="B13" s="48" t="n">
        <f aca="false">11/8</f>
        <v>1.375</v>
      </c>
      <c r="C13" s="49" t="n">
        <f aca="false">B13*25.4</f>
        <v>34.925</v>
      </c>
      <c r="D13" s="50" t="n">
        <f aca="false">B13/2</f>
        <v>0.6875</v>
      </c>
      <c r="E13" s="49" t="n">
        <f aca="false">C13/2</f>
        <v>17.4625</v>
      </c>
    </row>
    <row r="14" customFormat="false" ht="15" hidden="false" customHeight="false" outlineLevel="0" collapsed="false">
      <c r="A14" s="51" t="str">
        <f aca="false">IF(NOT(ISNUMBER(B14)),"",IF(B14&lt;=0,"",IF(ABS(B14*64-ROUND(B14*64,0))&gt;0.0005,"≈ ","")&amp;IF(INT(ROUND(B14*64,0)/64)&gt;0,INT(ROUND(B14*64,0)/64)&amp;IF(MOD(ROUND(B14*64,0),64)&gt;0," ",""),"")&amp;IF(MOD(ROUND(B14*64,0),64)&gt;0,MOD(ROUND(B14*64,0),64)/GCD(MOD(ROUND(B14*64,0),64),64)&amp;"/"&amp;64/GCD(MOD(ROUND(B14*64,0),64),64),IF(ROUND(B14*64,0)=0,"0",""))&amp;""""))</f>
        <v>1 1/2"</v>
      </c>
      <c r="B14" s="52" t="n">
        <f aca="false">12/8</f>
        <v>1.5</v>
      </c>
      <c r="C14" s="53" t="n">
        <f aca="false">B14*25.4</f>
        <v>38.1</v>
      </c>
      <c r="D14" s="54" t="n">
        <f aca="false">B14/2</f>
        <v>0.75</v>
      </c>
      <c r="E14" s="53" t="n">
        <f aca="false">C14/2</f>
        <v>19.05</v>
      </c>
    </row>
    <row r="15" customFormat="false" ht="15" hidden="false" customHeight="false" outlineLevel="0" collapsed="false">
      <c r="A15" s="30" t="str">
        <f aca="false">IF(NOT(ISNUMBER(B15)),"",IF(B15&lt;=0,"",IF(ABS(B15*64-ROUND(B15*64,0))&gt;0.0005,"≈ ","")&amp;IF(INT(ROUND(B15*64,0)/64)&gt;0,INT(ROUND(B15*64,0)/64)&amp;IF(MOD(ROUND(B15*64,0),64)&gt;0," ",""),"")&amp;IF(MOD(ROUND(B15*64,0),64)&gt;0,MOD(ROUND(B15*64,0),64)/GCD(MOD(ROUND(B15*64,0),64),64)&amp;"/"&amp;64/GCD(MOD(ROUND(B15*64,0),64),64),IF(ROUND(B15*64,0)=0,"0",""))&amp;""""))</f>
        <v>1 5/8"</v>
      </c>
      <c r="B15" s="48" t="n">
        <f aca="false">13/8</f>
        <v>1.625</v>
      </c>
      <c r="C15" s="49" t="n">
        <f aca="false">B15*25.4</f>
        <v>41.275</v>
      </c>
      <c r="D15" s="50" t="n">
        <f aca="false">B15/2</f>
        <v>0.8125</v>
      </c>
      <c r="E15" s="49" t="n">
        <f aca="false">C15/2</f>
        <v>20.6375</v>
      </c>
    </row>
    <row r="16" customFormat="false" ht="15" hidden="false" customHeight="false" outlineLevel="0" collapsed="false">
      <c r="A16" s="51" t="str">
        <f aca="false">IF(NOT(ISNUMBER(B16)),"",IF(B16&lt;=0,"",IF(ABS(B16*64-ROUND(B16*64,0))&gt;0.0005,"≈ ","")&amp;IF(INT(ROUND(B16*64,0)/64)&gt;0,INT(ROUND(B16*64,0)/64)&amp;IF(MOD(ROUND(B16*64,0),64)&gt;0," ",""),"")&amp;IF(MOD(ROUND(B16*64,0),64)&gt;0,MOD(ROUND(B16*64,0),64)/GCD(MOD(ROUND(B16*64,0),64),64)&amp;"/"&amp;64/GCD(MOD(ROUND(B16*64,0),64),64),IF(ROUND(B16*64,0)=0,"0",""))&amp;""""))</f>
        <v>1 3/4"</v>
      </c>
      <c r="B16" s="52" t="n">
        <f aca="false">14/8</f>
        <v>1.75</v>
      </c>
      <c r="C16" s="53" t="n">
        <f aca="false">B16*25.4</f>
        <v>44.45</v>
      </c>
      <c r="D16" s="54" t="n">
        <f aca="false">B16/2</f>
        <v>0.875</v>
      </c>
      <c r="E16" s="53" t="n">
        <f aca="false">C16/2</f>
        <v>22.225</v>
      </c>
    </row>
    <row r="17" customFormat="false" ht="15" hidden="false" customHeight="false" outlineLevel="0" collapsed="false">
      <c r="A17" s="30" t="str">
        <f aca="false">IF(NOT(ISNUMBER(B17)),"",IF(B17&lt;=0,"",IF(ABS(B17*64-ROUND(B17*64,0))&gt;0.0005,"≈ ","")&amp;IF(INT(ROUND(B17*64,0)/64)&gt;0,INT(ROUND(B17*64,0)/64)&amp;IF(MOD(ROUND(B17*64,0),64)&gt;0," ",""),"")&amp;IF(MOD(ROUND(B17*64,0),64)&gt;0,MOD(ROUND(B17*64,0),64)/GCD(MOD(ROUND(B17*64,0),64),64)&amp;"/"&amp;64/GCD(MOD(ROUND(B17*64,0),64),64),IF(ROUND(B17*64,0)=0,"0",""))&amp;""""))</f>
        <v>1 7/8"</v>
      </c>
      <c r="B17" s="48" t="n">
        <f aca="false">15/8</f>
        <v>1.875</v>
      </c>
      <c r="C17" s="49" t="n">
        <f aca="false">B17*25.4</f>
        <v>47.625</v>
      </c>
      <c r="D17" s="50" t="n">
        <f aca="false">B17/2</f>
        <v>0.9375</v>
      </c>
      <c r="E17" s="49" t="n">
        <f aca="false">C17/2</f>
        <v>23.8125</v>
      </c>
    </row>
    <row r="18" customFormat="false" ht="15" hidden="false" customHeight="false" outlineLevel="0" collapsed="false">
      <c r="A18" s="51" t="str">
        <f aca="false">IF(NOT(ISNUMBER(B18)),"",IF(B18&lt;=0,"",IF(ABS(B18*64-ROUND(B18*64,0))&gt;0.0005,"≈ ","")&amp;IF(INT(ROUND(B18*64,0)/64)&gt;0,INT(ROUND(B18*64,0)/64)&amp;IF(MOD(ROUND(B18*64,0),64)&gt;0," ",""),"")&amp;IF(MOD(ROUND(B18*64,0),64)&gt;0,MOD(ROUND(B18*64,0),64)/GCD(MOD(ROUND(B18*64,0),64),64)&amp;"/"&amp;64/GCD(MOD(ROUND(B18*64,0),64),64),IF(ROUND(B18*64,0)=0,"0",""))&amp;""""))</f>
        <v>2"</v>
      </c>
      <c r="B18" s="52" t="n">
        <f aca="false">16/8</f>
        <v>2</v>
      </c>
      <c r="C18" s="53" t="n">
        <f aca="false">B18*25.4</f>
        <v>50.8</v>
      </c>
      <c r="D18" s="54" t="n">
        <f aca="false">B18/2</f>
        <v>1</v>
      </c>
      <c r="E18" s="53" t="n">
        <f aca="false">C18/2</f>
        <v>25.4</v>
      </c>
    </row>
    <row r="19" customFormat="false" ht="15" hidden="false" customHeight="false" outlineLevel="0" collapsed="false">
      <c r="A19" s="30" t="str">
        <f aca="false">IF(NOT(ISNUMBER(B19)),"",IF(B19&lt;=0,"",IF(ABS(B19*64-ROUND(B19*64,0))&gt;0.0005,"≈ ","")&amp;IF(INT(ROUND(B19*64,0)/64)&gt;0,INT(ROUND(B19*64,0)/64)&amp;IF(MOD(ROUND(B19*64,0),64)&gt;0," ",""),"")&amp;IF(MOD(ROUND(B19*64,0),64)&gt;0,MOD(ROUND(B19*64,0),64)/GCD(MOD(ROUND(B19*64,0),64),64)&amp;"/"&amp;64/GCD(MOD(ROUND(B19*64,0),64),64),IF(ROUND(B19*64,0)=0,"0",""))&amp;""""))</f>
        <v>2 1/8"</v>
      </c>
      <c r="B19" s="48" t="n">
        <f aca="false">17/8</f>
        <v>2.125</v>
      </c>
      <c r="C19" s="49" t="n">
        <f aca="false">B19*25.4</f>
        <v>53.975</v>
      </c>
      <c r="D19" s="50" t="n">
        <f aca="false">B19/2</f>
        <v>1.0625</v>
      </c>
      <c r="E19" s="49" t="n">
        <f aca="false">C19/2</f>
        <v>26.9875</v>
      </c>
    </row>
    <row r="20" customFormat="false" ht="15" hidden="false" customHeight="false" outlineLevel="0" collapsed="false">
      <c r="A20" s="51" t="str">
        <f aca="false">IF(NOT(ISNUMBER(B20)),"",IF(B20&lt;=0,"",IF(ABS(B20*64-ROUND(B20*64,0))&gt;0.0005,"≈ ","")&amp;IF(INT(ROUND(B20*64,0)/64)&gt;0,INT(ROUND(B20*64,0)/64)&amp;IF(MOD(ROUND(B20*64,0),64)&gt;0," ",""),"")&amp;IF(MOD(ROUND(B20*64,0),64)&gt;0,MOD(ROUND(B20*64,0),64)/GCD(MOD(ROUND(B20*64,0),64),64)&amp;"/"&amp;64/GCD(MOD(ROUND(B20*64,0),64),64),IF(ROUND(B20*64,0)=0,"0",""))&amp;""""))</f>
        <v>2 1/4"</v>
      </c>
      <c r="B20" s="52" t="n">
        <f aca="false">18/8</f>
        <v>2.25</v>
      </c>
      <c r="C20" s="53" t="n">
        <f aca="false">B20*25.4</f>
        <v>57.15</v>
      </c>
      <c r="D20" s="54" t="n">
        <f aca="false">B20/2</f>
        <v>1.125</v>
      </c>
      <c r="E20" s="53" t="n">
        <f aca="false">C20/2</f>
        <v>28.575</v>
      </c>
    </row>
    <row r="21" customFormat="false" ht="15" hidden="false" customHeight="false" outlineLevel="0" collapsed="false">
      <c r="A21" s="30" t="str">
        <f aca="false">IF(NOT(ISNUMBER(B21)),"",IF(B21&lt;=0,"",IF(ABS(B21*64-ROUND(B21*64,0))&gt;0.0005,"≈ ","")&amp;IF(INT(ROUND(B21*64,0)/64)&gt;0,INT(ROUND(B21*64,0)/64)&amp;IF(MOD(ROUND(B21*64,0),64)&gt;0," ",""),"")&amp;IF(MOD(ROUND(B21*64,0),64)&gt;0,MOD(ROUND(B21*64,0),64)/GCD(MOD(ROUND(B21*64,0),64),64)&amp;"/"&amp;64/GCD(MOD(ROUND(B21*64,0),64),64),IF(ROUND(B21*64,0)=0,"0",""))&amp;""""))</f>
        <v>2 3/8"</v>
      </c>
      <c r="B21" s="48" t="n">
        <f aca="false">19/8</f>
        <v>2.375</v>
      </c>
      <c r="C21" s="49" t="n">
        <f aca="false">B21*25.4</f>
        <v>60.325</v>
      </c>
      <c r="D21" s="50" t="n">
        <f aca="false">B21/2</f>
        <v>1.1875</v>
      </c>
      <c r="E21" s="49" t="n">
        <f aca="false">C21/2</f>
        <v>30.1625</v>
      </c>
    </row>
    <row r="22" customFormat="false" ht="15" hidden="false" customHeight="false" outlineLevel="0" collapsed="false">
      <c r="A22" s="51" t="str">
        <f aca="false">IF(NOT(ISNUMBER(B22)),"",IF(B22&lt;=0,"",IF(ABS(B22*64-ROUND(B22*64,0))&gt;0.0005,"≈ ","")&amp;IF(INT(ROUND(B22*64,0)/64)&gt;0,INT(ROUND(B22*64,0)/64)&amp;IF(MOD(ROUND(B22*64,0),64)&gt;0," ",""),"")&amp;IF(MOD(ROUND(B22*64,0),64)&gt;0,MOD(ROUND(B22*64,0),64)/GCD(MOD(ROUND(B22*64,0),64),64)&amp;"/"&amp;64/GCD(MOD(ROUND(B22*64,0),64),64),IF(ROUND(B22*64,0)=0,"0",""))&amp;""""))</f>
        <v>2 1/2"</v>
      </c>
      <c r="B22" s="52" t="n">
        <f aca="false">20/8</f>
        <v>2.5</v>
      </c>
      <c r="C22" s="53" t="n">
        <f aca="false">B22*25.4</f>
        <v>63.5</v>
      </c>
      <c r="D22" s="54" t="n">
        <f aca="false">B22/2</f>
        <v>1.25</v>
      </c>
      <c r="E22" s="53" t="n">
        <f aca="false">C22/2</f>
        <v>31.75</v>
      </c>
    </row>
    <row r="23" customFormat="false" ht="15" hidden="false" customHeight="false" outlineLevel="0" collapsed="false">
      <c r="A23" s="30" t="str">
        <f aca="false">IF(NOT(ISNUMBER(B23)),"",IF(B23&lt;=0,"",IF(ABS(B23*64-ROUND(B23*64,0))&gt;0.0005,"≈ ","")&amp;IF(INT(ROUND(B23*64,0)/64)&gt;0,INT(ROUND(B23*64,0)/64)&amp;IF(MOD(ROUND(B23*64,0),64)&gt;0," ",""),"")&amp;IF(MOD(ROUND(B23*64,0),64)&gt;0,MOD(ROUND(B23*64,0),64)/GCD(MOD(ROUND(B23*64,0),64),64)&amp;"/"&amp;64/GCD(MOD(ROUND(B23*64,0),64),64),IF(ROUND(B23*64,0)=0,"0",""))&amp;""""))</f>
        <v>2 5/8"</v>
      </c>
      <c r="B23" s="48" t="n">
        <f aca="false">21/8</f>
        <v>2.625</v>
      </c>
      <c r="C23" s="49" t="n">
        <f aca="false">B23*25.4</f>
        <v>66.675</v>
      </c>
      <c r="D23" s="50" t="n">
        <f aca="false">B23/2</f>
        <v>1.3125</v>
      </c>
      <c r="E23" s="49" t="n">
        <f aca="false">C23/2</f>
        <v>33.3375</v>
      </c>
    </row>
    <row r="24" customFormat="false" ht="15" hidden="false" customHeight="false" outlineLevel="0" collapsed="false">
      <c r="A24" s="51" t="str">
        <f aca="false">IF(NOT(ISNUMBER(B24)),"",IF(B24&lt;=0,"",IF(ABS(B24*64-ROUND(B24*64,0))&gt;0.0005,"≈ ","")&amp;IF(INT(ROUND(B24*64,0)/64)&gt;0,INT(ROUND(B24*64,0)/64)&amp;IF(MOD(ROUND(B24*64,0),64)&gt;0," ",""),"")&amp;IF(MOD(ROUND(B24*64,0),64)&gt;0,MOD(ROUND(B24*64,0),64)/GCD(MOD(ROUND(B24*64,0),64),64)&amp;"/"&amp;64/GCD(MOD(ROUND(B24*64,0),64),64),IF(ROUND(B24*64,0)=0,"0",""))&amp;""""))</f>
        <v>2 3/4"</v>
      </c>
      <c r="B24" s="52" t="n">
        <f aca="false">22/8</f>
        <v>2.75</v>
      </c>
      <c r="C24" s="53" t="n">
        <f aca="false">B24*25.4</f>
        <v>69.85</v>
      </c>
      <c r="D24" s="54" t="n">
        <f aca="false">B24/2</f>
        <v>1.375</v>
      </c>
      <c r="E24" s="53" t="n">
        <f aca="false">C24/2</f>
        <v>34.925</v>
      </c>
    </row>
    <row r="25" customFormat="false" ht="15" hidden="false" customHeight="false" outlineLevel="0" collapsed="false">
      <c r="A25" s="30" t="str">
        <f aca="false">IF(NOT(ISNUMBER(B25)),"",IF(B25&lt;=0,"",IF(ABS(B25*64-ROUND(B25*64,0))&gt;0.0005,"≈ ","")&amp;IF(INT(ROUND(B25*64,0)/64)&gt;0,INT(ROUND(B25*64,0)/64)&amp;IF(MOD(ROUND(B25*64,0),64)&gt;0," ",""),"")&amp;IF(MOD(ROUND(B25*64,0),64)&gt;0,MOD(ROUND(B25*64,0),64)/GCD(MOD(ROUND(B25*64,0),64),64)&amp;"/"&amp;64/GCD(MOD(ROUND(B25*64,0),64),64),IF(ROUND(B25*64,0)=0,"0",""))&amp;""""))</f>
        <v>2 7/8"</v>
      </c>
      <c r="B25" s="48" t="n">
        <f aca="false">23/8</f>
        <v>2.875</v>
      </c>
      <c r="C25" s="49" t="n">
        <f aca="false">B25*25.4</f>
        <v>73.025</v>
      </c>
      <c r="D25" s="50" t="n">
        <f aca="false">B25/2</f>
        <v>1.4375</v>
      </c>
      <c r="E25" s="49" t="n">
        <f aca="false">C25/2</f>
        <v>36.5125</v>
      </c>
    </row>
    <row r="26" customFormat="false" ht="15" hidden="false" customHeight="false" outlineLevel="0" collapsed="false">
      <c r="A26" s="51" t="str">
        <f aca="false">IF(NOT(ISNUMBER(B26)),"",IF(B26&lt;=0,"",IF(ABS(B26*64-ROUND(B26*64,0))&gt;0.0005,"≈ ","")&amp;IF(INT(ROUND(B26*64,0)/64)&gt;0,INT(ROUND(B26*64,0)/64)&amp;IF(MOD(ROUND(B26*64,0),64)&gt;0," ",""),"")&amp;IF(MOD(ROUND(B26*64,0),64)&gt;0,MOD(ROUND(B26*64,0),64)/GCD(MOD(ROUND(B26*64,0),64),64)&amp;"/"&amp;64/GCD(MOD(ROUND(B26*64,0),64),64),IF(ROUND(B26*64,0)=0,"0",""))&amp;""""))</f>
        <v>3"</v>
      </c>
      <c r="B26" s="52" t="n">
        <f aca="false">24/8</f>
        <v>3</v>
      </c>
      <c r="C26" s="53" t="n">
        <f aca="false">B26*25.4</f>
        <v>76.2</v>
      </c>
      <c r="D26" s="54" t="n">
        <f aca="false">B26/2</f>
        <v>1.5</v>
      </c>
      <c r="E26" s="53" t="n">
        <f aca="false">C26/2</f>
        <v>38.1</v>
      </c>
    </row>
    <row r="27" customFormat="false" ht="15" hidden="false" customHeight="false" outlineLevel="0" collapsed="false">
      <c r="A27" s="30" t="str">
        <f aca="false">IF(NOT(ISNUMBER(B27)),"",IF(B27&lt;=0,"",IF(ABS(B27*64-ROUND(B27*64,0))&gt;0.0005,"≈ ","")&amp;IF(INT(ROUND(B27*64,0)/64)&gt;0,INT(ROUND(B27*64,0)/64)&amp;IF(MOD(ROUND(B27*64,0),64)&gt;0," ",""),"")&amp;IF(MOD(ROUND(B27*64,0),64)&gt;0,MOD(ROUND(B27*64,0),64)/GCD(MOD(ROUND(B27*64,0),64),64)&amp;"/"&amp;64/GCD(MOD(ROUND(B27*64,0),64),64),IF(ROUND(B27*64,0)=0,"0",""))&amp;""""))</f>
        <v>3 1/8"</v>
      </c>
      <c r="B27" s="48" t="n">
        <f aca="false">25/8</f>
        <v>3.125</v>
      </c>
      <c r="C27" s="49" t="n">
        <f aca="false">B27*25.4</f>
        <v>79.375</v>
      </c>
      <c r="D27" s="50" t="n">
        <f aca="false">B27/2</f>
        <v>1.5625</v>
      </c>
      <c r="E27" s="49" t="n">
        <f aca="false">C27/2</f>
        <v>39.6875</v>
      </c>
    </row>
    <row r="28" customFormat="false" ht="15" hidden="false" customHeight="false" outlineLevel="0" collapsed="false">
      <c r="A28" s="51" t="str">
        <f aca="false">IF(NOT(ISNUMBER(B28)),"",IF(B28&lt;=0,"",IF(ABS(B28*64-ROUND(B28*64,0))&gt;0.0005,"≈ ","")&amp;IF(INT(ROUND(B28*64,0)/64)&gt;0,INT(ROUND(B28*64,0)/64)&amp;IF(MOD(ROUND(B28*64,0),64)&gt;0," ",""),"")&amp;IF(MOD(ROUND(B28*64,0),64)&gt;0,MOD(ROUND(B28*64,0),64)/GCD(MOD(ROUND(B28*64,0),64),64)&amp;"/"&amp;64/GCD(MOD(ROUND(B28*64,0),64),64),IF(ROUND(B28*64,0)=0,"0",""))&amp;""""))</f>
        <v>3 1/4"</v>
      </c>
      <c r="B28" s="52" t="n">
        <f aca="false">26/8</f>
        <v>3.25</v>
      </c>
      <c r="C28" s="53" t="n">
        <f aca="false">B28*25.4</f>
        <v>82.55</v>
      </c>
      <c r="D28" s="54" t="n">
        <f aca="false">B28/2</f>
        <v>1.625</v>
      </c>
      <c r="E28" s="53" t="n">
        <f aca="false">C28/2</f>
        <v>41.275</v>
      </c>
    </row>
    <row r="29" customFormat="false" ht="15" hidden="false" customHeight="false" outlineLevel="0" collapsed="false">
      <c r="A29" s="30" t="str">
        <f aca="false">IF(NOT(ISNUMBER(B29)),"",IF(B29&lt;=0,"",IF(ABS(B29*64-ROUND(B29*64,0))&gt;0.0005,"≈ ","")&amp;IF(INT(ROUND(B29*64,0)/64)&gt;0,INT(ROUND(B29*64,0)/64)&amp;IF(MOD(ROUND(B29*64,0),64)&gt;0," ",""),"")&amp;IF(MOD(ROUND(B29*64,0),64)&gt;0,MOD(ROUND(B29*64,0),64)/GCD(MOD(ROUND(B29*64,0),64),64)&amp;"/"&amp;64/GCD(MOD(ROUND(B29*64,0),64),64),IF(ROUND(B29*64,0)=0,"0",""))&amp;""""))</f>
        <v>3 3/8"</v>
      </c>
      <c r="B29" s="48" t="n">
        <f aca="false">27/8</f>
        <v>3.375</v>
      </c>
      <c r="C29" s="49" t="n">
        <f aca="false">B29*25.4</f>
        <v>85.725</v>
      </c>
      <c r="D29" s="50" t="n">
        <f aca="false">B29/2</f>
        <v>1.6875</v>
      </c>
      <c r="E29" s="49" t="n">
        <f aca="false">C29/2</f>
        <v>42.8625</v>
      </c>
    </row>
    <row r="30" customFormat="false" ht="15" hidden="false" customHeight="false" outlineLevel="0" collapsed="false">
      <c r="A30" s="51" t="str">
        <f aca="false">IF(NOT(ISNUMBER(B30)),"",IF(B30&lt;=0,"",IF(ABS(B30*64-ROUND(B30*64,0))&gt;0.0005,"≈ ","")&amp;IF(INT(ROUND(B30*64,0)/64)&gt;0,INT(ROUND(B30*64,0)/64)&amp;IF(MOD(ROUND(B30*64,0),64)&gt;0," ",""),"")&amp;IF(MOD(ROUND(B30*64,0),64)&gt;0,MOD(ROUND(B30*64,0),64)/GCD(MOD(ROUND(B30*64,0),64),64)&amp;"/"&amp;64/GCD(MOD(ROUND(B30*64,0),64),64),IF(ROUND(B30*64,0)=0,"0",""))&amp;""""))</f>
        <v>3 1/2"</v>
      </c>
      <c r="B30" s="52" t="n">
        <f aca="false">28/8</f>
        <v>3.5</v>
      </c>
      <c r="C30" s="53" t="n">
        <f aca="false">B30*25.4</f>
        <v>88.9</v>
      </c>
      <c r="D30" s="54" t="n">
        <f aca="false">B30/2</f>
        <v>1.75</v>
      </c>
      <c r="E30" s="53" t="n">
        <f aca="false">C30/2</f>
        <v>44.45</v>
      </c>
    </row>
    <row r="31" customFormat="false" ht="15" hidden="false" customHeight="false" outlineLevel="0" collapsed="false">
      <c r="A31" s="30" t="str">
        <f aca="false">IF(NOT(ISNUMBER(B31)),"",IF(B31&lt;=0,"",IF(ABS(B31*64-ROUND(B31*64,0))&gt;0.0005,"≈ ","")&amp;IF(INT(ROUND(B31*64,0)/64)&gt;0,INT(ROUND(B31*64,0)/64)&amp;IF(MOD(ROUND(B31*64,0),64)&gt;0," ",""),"")&amp;IF(MOD(ROUND(B31*64,0),64)&gt;0,MOD(ROUND(B31*64,0),64)/GCD(MOD(ROUND(B31*64,0),64),64)&amp;"/"&amp;64/GCD(MOD(ROUND(B31*64,0),64),64),IF(ROUND(B31*64,0)=0,"0",""))&amp;""""))</f>
        <v>3 5/8"</v>
      </c>
      <c r="B31" s="48" t="n">
        <f aca="false">29/8</f>
        <v>3.625</v>
      </c>
      <c r="C31" s="49" t="n">
        <f aca="false">B31*25.4</f>
        <v>92.075</v>
      </c>
      <c r="D31" s="50" t="n">
        <f aca="false">B31/2</f>
        <v>1.8125</v>
      </c>
      <c r="E31" s="49" t="n">
        <f aca="false">C31/2</f>
        <v>46.0375</v>
      </c>
    </row>
    <row r="32" customFormat="false" ht="15" hidden="false" customHeight="false" outlineLevel="0" collapsed="false">
      <c r="A32" s="51" t="str">
        <f aca="false">IF(NOT(ISNUMBER(B32)),"",IF(B32&lt;=0,"",IF(ABS(B32*64-ROUND(B32*64,0))&gt;0.0005,"≈ ","")&amp;IF(INT(ROUND(B32*64,0)/64)&gt;0,INT(ROUND(B32*64,0)/64)&amp;IF(MOD(ROUND(B32*64,0),64)&gt;0," ",""),"")&amp;IF(MOD(ROUND(B32*64,0),64)&gt;0,MOD(ROUND(B32*64,0),64)/GCD(MOD(ROUND(B32*64,0),64),64)&amp;"/"&amp;64/GCD(MOD(ROUND(B32*64,0),64),64),IF(ROUND(B32*64,0)=0,"0",""))&amp;""""))</f>
        <v>3 3/4"</v>
      </c>
      <c r="B32" s="52" t="n">
        <f aca="false">30/8</f>
        <v>3.75</v>
      </c>
      <c r="C32" s="53" t="n">
        <f aca="false">B32*25.4</f>
        <v>95.25</v>
      </c>
      <c r="D32" s="54" t="n">
        <f aca="false">B32/2</f>
        <v>1.875</v>
      </c>
      <c r="E32" s="53" t="n">
        <f aca="false">C32/2</f>
        <v>47.625</v>
      </c>
    </row>
    <row r="33" customFormat="false" ht="15" hidden="false" customHeight="false" outlineLevel="0" collapsed="false">
      <c r="A33" s="30" t="str">
        <f aca="false">IF(NOT(ISNUMBER(B33)),"",IF(B33&lt;=0,"",IF(ABS(B33*64-ROUND(B33*64,0))&gt;0.0005,"≈ ","")&amp;IF(INT(ROUND(B33*64,0)/64)&gt;0,INT(ROUND(B33*64,0)/64)&amp;IF(MOD(ROUND(B33*64,0),64)&gt;0," ",""),"")&amp;IF(MOD(ROUND(B33*64,0),64)&gt;0,MOD(ROUND(B33*64,0),64)/GCD(MOD(ROUND(B33*64,0),64),64)&amp;"/"&amp;64/GCD(MOD(ROUND(B33*64,0),64),64),IF(ROUND(B33*64,0)=0,"0",""))&amp;""""))</f>
        <v>3 7/8"</v>
      </c>
      <c r="B33" s="48" t="n">
        <f aca="false">31/8</f>
        <v>3.875</v>
      </c>
      <c r="C33" s="49" t="n">
        <f aca="false">B33*25.4</f>
        <v>98.425</v>
      </c>
      <c r="D33" s="50" t="n">
        <f aca="false">B33/2</f>
        <v>1.9375</v>
      </c>
      <c r="E33" s="49" t="n">
        <f aca="false">C33/2</f>
        <v>49.2125</v>
      </c>
    </row>
    <row r="34" customFormat="false" ht="15" hidden="false" customHeight="false" outlineLevel="0" collapsed="false">
      <c r="A34" s="51" t="str">
        <f aca="false">IF(NOT(ISNUMBER(B34)),"",IF(B34&lt;=0,"",IF(ABS(B34*64-ROUND(B34*64,0))&gt;0.0005,"≈ ","")&amp;IF(INT(ROUND(B34*64,0)/64)&gt;0,INT(ROUND(B34*64,0)/64)&amp;IF(MOD(ROUND(B34*64,0),64)&gt;0," ",""),"")&amp;IF(MOD(ROUND(B34*64,0),64)&gt;0,MOD(ROUND(B34*64,0),64)/GCD(MOD(ROUND(B34*64,0),64),64)&amp;"/"&amp;64/GCD(MOD(ROUND(B34*64,0),64),64),IF(ROUND(B34*64,0)=0,"0",""))&amp;""""))</f>
        <v>4"</v>
      </c>
      <c r="B34" s="52" t="n">
        <f aca="false">32/8</f>
        <v>4</v>
      </c>
      <c r="C34" s="53" t="n">
        <f aca="false">B34*25.4</f>
        <v>101.6</v>
      </c>
      <c r="D34" s="54" t="n">
        <f aca="false">B34/2</f>
        <v>2</v>
      </c>
      <c r="E34" s="53" t="n">
        <f aca="false">C34/2</f>
        <v>50.8</v>
      </c>
    </row>
  </sheetData>
  <conditionalFormatting sqref="A3:E34">
    <cfRule type="expression" priority="2" aboveAverage="0" equalAverage="0" bottom="0" percent="0" rank="0" text="" dxfId="7">
      <formula>AND(Calcul!$C$13=8,ABS($B3-Convertisseur!$C$14)&lt;0.000001)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5"/>
  </cols>
  <sheetData>
    <row r="1" customFormat="false" ht="16.15" hidden="false" customHeight="false" outlineLevel="0" collapsed="false">
      <c r="A1" s="47" t="s">
        <v>642</v>
      </c>
    </row>
    <row r="2" customFormat="false" ht="15" hidden="false" customHeight="false" outlineLevel="0" collapsed="false">
      <c r="A2" s="12" t="s">
        <v>6</v>
      </c>
      <c r="B2" s="12" t="s">
        <v>18</v>
      </c>
      <c r="C2" s="12" t="s">
        <v>19</v>
      </c>
      <c r="D2" s="12" t="s">
        <v>20</v>
      </c>
      <c r="E2" s="12" t="s">
        <v>21</v>
      </c>
    </row>
    <row r="3" customFormat="false" ht="15" hidden="false" customHeight="false" outlineLevel="0" collapsed="false">
      <c r="A3" s="30" t="str">
        <f aca="false">IF(NOT(ISNUMBER(B3)),"",IF(B3&lt;=0,"",IF(ABS(B3*64-ROUND(B3*64,0))&gt;0.0005,"≈ ","")&amp;IF(INT(ROUND(B3*64,0)/64)&gt;0,INT(ROUND(B3*64,0)/64)&amp;IF(MOD(ROUND(B3*64,0),64)&gt;0," ",""),"")&amp;IF(MOD(ROUND(B3*64,0),64)&gt;0,MOD(ROUND(B3*64,0),64)/GCD(MOD(ROUND(B3*64,0),64),64)&amp;"/"&amp;64/GCD(MOD(ROUND(B3*64,0),64),64),IF(ROUND(B3*64,0)=0,"0",""))&amp;""""))</f>
        <v>1/16"</v>
      </c>
      <c r="B3" s="48" t="n">
        <f aca="false">1/16</f>
        <v>0.0625</v>
      </c>
      <c r="C3" s="49" t="n">
        <f aca="false">B3*25.4</f>
        <v>1.5875</v>
      </c>
      <c r="D3" s="50" t="n">
        <f aca="false">B3/2</f>
        <v>0.03125</v>
      </c>
      <c r="E3" s="49" t="n">
        <f aca="false">C3/2</f>
        <v>0.79375</v>
      </c>
    </row>
    <row r="4" customFormat="false" ht="15" hidden="false" customHeight="false" outlineLevel="0" collapsed="false">
      <c r="A4" s="51" t="str">
        <f aca="false">IF(NOT(ISNUMBER(B4)),"",IF(B4&lt;=0,"",IF(ABS(B4*64-ROUND(B4*64,0))&gt;0.0005,"≈ ","")&amp;IF(INT(ROUND(B4*64,0)/64)&gt;0,INT(ROUND(B4*64,0)/64)&amp;IF(MOD(ROUND(B4*64,0),64)&gt;0," ",""),"")&amp;IF(MOD(ROUND(B4*64,0),64)&gt;0,MOD(ROUND(B4*64,0),64)/GCD(MOD(ROUND(B4*64,0),64),64)&amp;"/"&amp;64/GCD(MOD(ROUND(B4*64,0),64),64),IF(ROUND(B4*64,0)=0,"0",""))&amp;""""))</f>
        <v>1/8"</v>
      </c>
      <c r="B4" s="52" t="n">
        <f aca="false">2/16</f>
        <v>0.125</v>
      </c>
      <c r="C4" s="53" t="n">
        <f aca="false">B4*25.4</f>
        <v>3.175</v>
      </c>
      <c r="D4" s="54" t="n">
        <f aca="false">B4/2</f>
        <v>0.0625</v>
      </c>
      <c r="E4" s="53" t="n">
        <f aca="false">C4/2</f>
        <v>1.5875</v>
      </c>
    </row>
    <row r="5" customFormat="false" ht="15" hidden="false" customHeight="false" outlineLevel="0" collapsed="false">
      <c r="A5" s="30" t="str">
        <f aca="false">IF(NOT(ISNUMBER(B5)),"",IF(B5&lt;=0,"",IF(ABS(B5*64-ROUND(B5*64,0))&gt;0.0005,"≈ ","")&amp;IF(INT(ROUND(B5*64,0)/64)&gt;0,INT(ROUND(B5*64,0)/64)&amp;IF(MOD(ROUND(B5*64,0),64)&gt;0," ",""),"")&amp;IF(MOD(ROUND(B5*64,0),64)&gt;0,MOD(ROUND(B5*64,0),64)/GCD(MOD(ROUND(B5*64,0),64),64)&amp;"/"&amp;64/GCD(MOD(ROUND(B5*64,0),64),64),IF(ROUND(B5*64,0)=0,"0",""))&amp;""""))</f>
        <v>3/16"</v>
      </c>
      <c r="B5" s="48" t="n">
        <f aca="false">3/16</f>
        <v>0.1875</v>
      </c>
      <c r="C5" s="49" t="n">
        <f aca="false">B5*25.4</f>
        <v>4.7625</v>
      </c>
      <c r="D5" s="50" t="n">
        <f aca="false">B5/2</f>
        <v>0.09375</v>
      </c>
      <c r="E5" s="49" t="n">
        <f aca="false">C5/2</f>
        <v>2.38125</v>
      </c>
    </row>
    <row r="6" customFormat="false" ht="15" hidden="false" customHeight="false" outlineLevel="0" collapsed="false">
      <c r="A6" s="51" t="str">
        <f aca="false">IF(NOT(ISNUMBER(B6)),"",IF(B6&lt;=0,"",IF(ABS(B6*64-ROUND(B6*64,0))&gt;0.0005,"≈ ","")&amp;IF(INT(ROUND(B6*64,0)/64)&gt;0,INT(ROUND(B6*64,0)/64)&amp;IF(MOD(ROUND(B6*64,0),64)&gt;0," ",""),"")&amp;IF(MOD(ROUND(B6*64,0),64)&gt;0,MOD(ROUND(B6*64,0),64)/GCD(MOD(ROUND(B6*64,0),64),64)&amp;"/"&amp;64/GCD(MOD(ROUND(B6*64,0),64),64),IF(ROUND(B6*64,0)=0,"0",""))&amp;""""))</f>
        <v>1/4"</v>
      </c>
      <c r="B6" s="52" t="n">
        <f aca="false">4/16</f>
        <v>0.25</v>
      </c>
      <c r="C6" s="53" t="n">
        <f aca="false">B6*25.4</f>
        <v>6.35</v>
      </c>
      <c r="D6" s="54" t="n">
        <f aca="false">B6/2</f>
        <v>0.125</v>
      </c>
      <c r="E6" s="53" t="n">
        <f aca="false">C6/2</f>
        <v>3.175</v>
      </c>
    </row>
    <row r="7" customFormat="false" ht="15" hidden="false" customHeight="false" outlineLevel="0" collapsed="false">
      <c r="A7" s="30" t="str">
        <f aca="false">IF(NOT(ISNUMBER(B7)),"",IF(B7&lt;=0,"",IF(ABS(B7*64-ROUND(B7*64,0))&gt;0.0005,"≈ ","")&amp;IF(INT(ROUND(B7*64,0)/64)&gt;0,INT(ROUND(B7*64,0)/64)&amp;IF(MOD(ROUND(B7*64,0),64)&gt;0," ",""),"")&amp;IF(MOD(ROUND(B7*64,0),64)&gt;0,MOD(ROUND(B7*64,0),64)/GCD(MOD(ROUND(B7*64,0),64),64)&amp;"/"&amp;64/GCD(MOD(ROUND(B7*64,0),64),64),IF(ROUND(B7*64,0)=0,"0",""))&amp;""""))</f>
        <v>5/16"</v>
      </c>
      <c r="B7" s="48" t="n">
        <f aca="false">5/16</f>
        <v>0.3125</v>
      </c>
      <c r="C7" s="49" t="n">
        <f aca="false">B7*25.4</f>
        <v>7.9375</v>
      </c>
      <c r="D7" s="50" t="n">
        <f aca="false">B7/2</f>
        <v>0.15625</v>
      </c>
      <c r="E7" s="49" t="n">
        <f aca="false">C7/2</f>
        <v>3.96875</v>
      </c>
    </row>
    <row r="8" customFormat="false" ht="15" hidden="false" customHeight="false" outlineLevel="0" collapsed="false">
      <c r="A8" s="51" t="str">
        <f aca="false">IF(NOT(ISNUMBER(B8)),"",IF(B8&lt;=0,"",IF(ABS(B8*64-ROUND(B8*64,0))&gt;0.0005,"≈ ","")&amp;IF(INT(ROUND(B8*64,0)/64)&gt;0,INT(ROUND(B8*64,0)/64)&amp;IF(MOD(ROUND(B8*64,0),64)&gt;0," ",""),"")&amp;IF(MOD(ROUND(B8*64,0),64)&gt;0,MOD(ROUND(B8*64,0),64)/GCD(MOD(ROUND(B8*64,0),64),64)&amp;"/"&amp;64/GCD(MOD(ROUND(B8*64,0),64),64),IF(ROUND(B8*64,0)=0,"0",""))&amp;""""))</f>
        <v>3/8"</v>
      </c>
      <c r="B8" s="52" t="n">
        <f aca="false">6/16</f>
        <v>0.375</v>
      </c>
      <c r="C8" s="53" t="n">
        <f aca="false">B8*25.4</f>
        <v>9.525</v>
      </c>
      <c r="D8" s="54" t="n">
        <f aca="false">B8/2</f>
        <v>0.1875</v>
      </c>
      <c r="E8" s="53" t="n">
        <f aca="false">C8/2</f>
        <v>4.7625</v>
      </c>
    </row>
    <row r="9" customFormat="false" ht="15" hidden="false" customHeight="false" outlineLevel="0" collapsed="false">
      <c r="A9" s="30" t="str">
        <f aca="false">IF(NOT(ISNUMBER(B9)),"",IF(B9&lt;=0,"",IF(ABS(B9*64-ROUND(B9*64,0))&gt;0.0005,"≈ ","")&amp;IF(INT(ROUND(B9*64,0)/64)&gt;0,INT(ROUND(B9*64,0)/64)&amp;IF(MOD(ROUND(B9*64,0),64)&gt;0," ",""),"")&amp;IF(MOD(ROUND(B9*64,0),64)&gt;0,MOD(ROUND(B9*64,0),64)/GCD(MOD(ROUND(B9*64,0),64),64)&amp;"/"&amp;64/GCD(MOD(ROUND(B9*64,0),64),64),IF(ROUND(B9*64,0)=0,"0",""))&amp;""""))</f>
        <v>7/16"</v>
      </c>
      <c r="B9" s="48" t="n">
        <f aca="false">7/16</f>
        <v>0.4375</v>
      </c>
      <c r="C9" s="49" t="n">
        <f aca="false">B9*25.4</f>
        <v>11.1125</v>
      </c>
      <c r="D9" s="50" t="n">
        <f aca="false">B9/2</f>
        <v>0.21875</v>
      </c>
      <c r="E9" s="49" t="n">
        <f aca="false">C9/2</f>
        <v>5.55625</v>
      </c>
    </row>
    <row r="10" customFormat="false" ht="15" hidden="false" customHeight="false" outlineLevel="0" collapsed="false">
      <c r="A10" s="51" t="str">
        <f aca="false">IF(NOT(ISNUMBER(B10)),"",IF(B10&lt;=0,"",IF(ABS(B10*64-ROUND(B10*64,0))&gt;0.0005,"≈ ","")&amp;IF(INT(ROUND(B10*64,0)/64)&gt;0,INT(ROUND(B10*64,0)/64)&amp;IF(MOD(ROUND(B10*64,0),64)&gt;0," ",""),"")&amp;IF(MOD(ROUND(B10*64,0),64)&gt;0,MOD(ROUND(B10*64,0),64)/GCD(MOD(ROUND(B10*64,0),64),64)&amp;"/"&amp;64/GCD(MOD(ROUND(B10*64,0),64),64),IF(ROUND(B10*64,0)=0,"0",""))&amp;""""))</f>
        <v>1/2"</v>
      </c>
      <c r="B10" s="52" t="n">
        <f aca="false">8/16</f>
        <v>0.5</v>
      </c>
      <c r="C10" s="53" t="n">
        <f aca="false">B10*25.4</f>
        <v>12.7</v>
      </c>
      <c r="D10" s="54" t="n">
        <f aca="false">B10/2</f>
        <v>0.25</v>
      </c>
      <c r="E10" s="53" t="n">
        <f aca="false">C10/2</f>
        <v>6.35</v>
      </c>
    </row>
    <row r="11" customFormat="false" ht="15" hidden="false" customHeight="false" outlineLevel="0" collapsed="false">
      <c r="A11" s="30" t="str">
        <f aca="false">IF(NOT(ISNUMBER(B11)),"",IF(B11&lt;=0,"",IF(ABS(B11*64-ROUND(B11*64,0))&gt;0.0005,"≈ ","")&amp;IF(INT(ROUND(B11*64,0)/64)&gt;0,INT(ROUND(B11*64,0)/64)&amp;IF(MOD(ROUND(B11*64,0),64)&gt;0," ",""),"")&amp;IF(MOD(ROUND(B11*64,0),64)&gt;0,MOD(ROUND(B11*64,0),64)/GCD(MOD(ROUND(B11*64,0),64),64)&amp;"/"&amp;64/GCD(MOD(ROUND(B11*64,0),64),64),IF(ROUND(B11*64,0)=0,"0",""))&amp;""""))</f>
        <v>9/16"</v>
      </c>
      <c r="B11" s="48" t="n">
        <f aca="false">9/16</f>
        <v>0.5625</v>
      </c>
      <c r="C11" s="49" t="n">
        <f aca="false">B11*25.4</f>
        <v>14.2875</v>
      </c>
      <c r="D11" s="50" t="n">
        <f aca="false">B11/2</f>
        <v>0.28125</v>
      </c>
      <c r="E11" s="49" t="n">
        <f aca="false">C11/2</f>
        <v>7.14375</v>
      </c>
    </row>
    <row r="12" customFormat="false" ht="15" hidden="false" customHeight="false" outlineLevel="0" collapsed="false">
      <c r="A12" s="51" t="str">
        <f aca="false">IF(NOT(ISNUMBER(B12)),"",IF(B12&lt;=0,"",IF(ABS(B12*64-ROUND(B12*64,0))&gt;0.0005,"≈ ","")&amp;IF(INT(ROUND(B12*64,0)/64)&gt;0,INT(ROUND(B12*64,0)/64)&amp;IF(MOD(ROUND(B12*64,0),64)&gt;0," ",""),"")&amp;IF(MOD(ROUND(B12*64,0),64)&gt;0,MOD(ROUND(B12*64,0),64)/GCD(MOD(ROUND(B12*64,0),64),64)&amp;"/"&amp;64/GCD(MOD(ROUND(B12*64,0),64),64),IF(ROUND(B12*64,0)=0,"0",""))&amp;""""))</f>
        <v>5/8"</v>
      </c>
      <c r="B12" s="52" t="n">
        <f aca="false">10/16</f>
        <v>0.625</v>
      </c>
      <c r="C12" s="53" t="n">
        <f aca="false">B12*25.4</f>
        <v>15.875</v>
      </c>
      <c r="D12" s="54" t="n">
        <f aca="false">B12/2</f>
        <v>0.3125</v>
      </c>
      <c r="E12" s="53" t="n">
        <f aca="false">C12/2</f>
        <v>7.9375</v>
      </c>
    </row>
    <row r="13" customFormat="false" ht="15" hidden="false" customHeight="false" outlineLevel="0" collapsed="false">
      <c r="A13" s="30" t="str">
        <f aca="false">IF(NOT(ISNUMBER(B13)),"",IF(B13&lt;=0,"",IF(ABS(B13*64-ROUND(B13*64,0))&gt;0.0005,"≈ ","")&amp;IF(INT(ROUND(B13*64,0)/64)&gt;0,INT(ROUND(B13*64,0)/64)&amp;IF(MOD(ROUND(B13*64,0),64)&gt;0," ",""),"")&amp;IF(MOD(ROUND(B13*64,0),64)&gt;0,MOD(ROUND(B13*64,0),64)/GCD(MOD(ROUND(B13*64,0),64),64)&amp;"/"&amp;64/GCD(MOD(ROUND(B13*64,0),64),64),IF(ROUND(B13*64,0)=0,"0",""))&amp;""""))</f>
        <v>11/16"</v>
      </c>
      <c r="B13" s="48" t="n">
        <f aca="false">11/16</f>
        <v>0.6875</v>
      </c>
      <c r="C13" s="49" t="n">
        <f aca="false">B13*25.4</f>
        <v>17.4625</v>
      </c>
      <c r="D13" s="50" t="n">
        <f aca="false">B13/2</f>
        <v>0.34375</v>
      </c>
      <c r="E13" s="49" t="n">
        <f aca="false">C13/2</f>
        <v>8.73125</v>
      </c>
    </row>
    <row r="14" customFormat="false" ht="15" hidden="false" customHeight="false" outlineLevel="0" collapsed="false">
      <c r="A14" s="51" t="str">
        <f aca="false">IF(NOT(ISNUMBER(B14)),"",IF(B14&lt;=0,"",IF(ABS(B14*64-ROUND(B14*64,0))&gt;0.0005,"≈ ","")&amp;IF(INT(ROUND(B14*64,0)/64)&gt;0,INT(ROUND(B14*64,0)/64)&amp;IF(MOD(ROUND(B14*64,0),64)&gt;0," ",""),"")&amp;IF(MOD(ROUND(B14*64,0),64)&gt;0,MOD(ROUND(B14*64,0),64)/GCD(MOD(ROUND(B14*64,0),64),64)&amp;"/"&amp;64/GCD(MOD(ROUND(B14*64,0),64),64),IF(ROUND(B14*64,0)=0,"0",""))&amp;""""))</f>
        <v>3/4"</v>
      </c>
      <c r="B14" s="52" t="n">
        <f aca="false">12/16</f>
        <v>0.75</v>
      </c>
      <c r="C14" s="53" t="n">
        <f aca="false">B14*25.4</f>
        <v>19.05</v>
      </c>
      <c r="D14" s="54" t="n">
        <f aca="false">B14/2</f>
        <v>0.375</v>
      </c>
      <c r="E14" s="53" t="n">
        <f aca="false">C14/2</f>
        <v>9.525</v>
      </c>
    </row>
    <row r="15" customFormat="false" ht="15" hidden="false" customHeight="false" outlineLevel="0" collapsed="false">
      <c r="A15" s="30" t="str">
        <f aca="false">IF(NOT(ISNUMBER(B15)),"",IF(B15&lt;=0,"",IF(ABS(B15*64-ROUND(B15*64,0))&gt;0.0005,"≈ ","")&amp;IF(INT(ROUND(B15*64,0)/64)&gt;0,INT(ROUND(B15*64,0)/64)&amp;IF(MOD(ROUND(B15*64,0),64)&gt;0," ",""),"")&amp;IF(MOD(ROUND(B15*64,0),64)&gt;0,MOD(ROUND(B15*64,0),64)/GCD(MOD(ROUND(B15*64,0),64),64)&amp;"/"&amp;64/GCD(MOD(ROUND(B15*64,0),64),64),IF(ROUND(B15*64,0)=0,"0",""))&amp;""""))</f>
        <v>13/16"</v>
      </c>
      <c r="B15" s="48" t="n">
        <f aca="false">13/16</f>
        <v>0.8125</v>
      </c>
      <c r="C15" s="49" t="n">
        <f aca="false">B15*25.4</f>
        <v>20.6375</v>
      </c>
      <c r="D15" s="50" t="n">
        <f aca="false">B15/2</f>
        <v>0.40625</v>
      </c>
      <c r="E15" s="49" t="n">
        <f aca="false">C15/2</f>
        <v>10.31875</v>
      </c>
    </row>
    <row r="16" customFormat="false" ht="15" hidden="false" customHeight="false" outlineLevel="0" collapsed="false">
      <c r="A16" s="51" t="str">
        <f aca="false">IF(NOT(ISNUMBER(B16)),"",IF(B16&lt;=0,"",IF(ABS(B16*64-ROUND(B16*64,0))&gt;0.0005,"≈ ","")&amp;IF(INT(ROUND(B16*64,0)/64)&gt;0,INT(ROUND(B16*64,0)/64)&amp;IF(MOD(ROUND(B16*64,0),64)&gt;0," ",""),"")&amp;IF(MOD(ROUND(B16*64,0),64)&gt;0,MOD(ROUND(B16*64,0),64)/GCD(MOD(ROUND(B16*64,0),64),64)&amp;"/"&amp;64/GCD(MOD(ROUND(B16*64,0),64),64),IF(ROUND(B16*64,0)=0,"0",""))&amp;""""))</f>
        <v>7/8"</v>
      </c>
      <c r="B16" s="52" t="n">
        <f aca="false">14/16</f>
        <v>0.875</v>
      </c>
      <c r="C16" s="53" t="n">
        <f aca="false">B16*25.4</f>
        <v>22.225</v>
      </c>
      <c r="D16" s="54" t="n">
        <f aca="false">B16/2</f>
        <v>0.4375</v>
      </c>
      <c r="E16" s="53" t="n">
        <f aca="false">C16/2</f>
        <v>11.1125</v>
      </c>
    </row>
    <row r="17" customFormat="false" ht="15" hidden="false" customHeight="false" outlineLevel="0" collapsed="false">
      <c r="A17" s="30" t="str">
        <f aca="false">IF(NOT(ISNUMBER(B17)),"",IF(B17&lt;=0,"",IF(ABS(B17*64-ROUND(B17*64,0))&gt;0.0005,"≈ ","")&amp;IF(INT(ROUND(B17*64,0)/64)&gt;0,INT(ROUND(B17*64,0)/64)&amp;IF(MOD(ROUND(B17*64,0),64)&gt;0," ",""),"")&amp;IF(MOD(ROUND(B17*64,0),64)&gt;0,MOD(ROUND(B17*64,0),64)/GCD(MOD(ROUND(B17*64,0),64),64)&amp;"/"&amp;64/GCD(MOD(ROUND(B17*64,0),64),64),IF(ROUND(B17*64,0)=0,"0",""))&amp;""""))</f>
        <v>15/16"</v>
      </c>
      <c r="B17" s="48" t="n">
        <f aca="false">15/16</f>
        <v>0.9375</v>
      </c>
      <c r="C17" s="49" t="n">
        <f aca="false">B17*25.4</f>
        <v>23.8125</v>
      </c>
      <c r="D17" s="50" t="n">
        <f aca="false">B17/2</f>
        <v>0.46875</v>
      </c>
      <c r="E17" s="49" t="n">
        <f aca="false">C17/2</f>
        <v>11.90625</v>
      </c>
    </row>
    <row r="18" customFormat="false" ht="15" hidden="false" customHeight="false" outlineLevel="0" collapsed="false">
      <c r="A18" s="51" t="str">
        <f aca="false">IF(NOT(ISNUMBER(B18)),"",IF(B18&lt;=0,"",IF(ABS(B18*64-ROUND(B18*64,0))&gt;0.0005,"≈ ","")&amp;IF(INT(ROUND(B18*64,0)/64)&gt;0,INT(ROUND(B18*64,0)/64)&amp;IF(MOD(ROUND(B18*64,0),64)&gt;0," ",""),"")&amp;IF(MOD(ROUND(B18*64,0),64)&gt;0,MOD(ROUND(B18*64,0),64)/GCD(MOD(ROUND(B18*64,0),64),64)&amp;"/"&amp;64/GCD(MOD(ROUND(B18*64,0),64),64),IF(ROUND(B18*64,0)=0,"0",""))&amp;""""))</f>
        <v>1"</v>
      </c>
      <c r="B18" s="52" t="n">
        <f aca="false">16/16</f>
        <v>1</v>
      </c>
      <c r="C18" s="53" t="n">
        <f aca="false">B18*25.4</f>
        <v>25.4</v>
      </c>
      <c r="D18" s="54" t="n">
        <f aca="false">B18/2</f>
        <v>0.5</v>
      </c>
      <c r="E18" s="53" t="n">
        <f aca="false">C18/2</f>
        <v>12.7</v>
      </c>
    </row>
    <row r="19" customFormat="false" ht="15" hidden="false" customHeight="false" outlineLevel="0" collapsed="false">
      <c r="A19" s="30" t="str">
        <f aca="false">IF(NOT(ISNUMBER(B19)),"",IF(B19&lt;=0,"",IF(ABS(B19*64-ROUND(B19*64,0))&gt;0.0005,"≈ ","")&amp;IF(INT(ROUND(B19*64,0)/64)&gt;0,INT(ROUND(B19*64,0)/64)&amp;IF(MOD(ROUND(B19*64,0),64)&gt;0," ",""),"")&amp;IF(MOD(ROUND(B19*64,0),64)&gt;0,MOD(ROUND(B19*64,0),64)/GCD(MOD(ROUND(B19*64,0),64),64)&amp;"/"&amp;64/GCD(MOD(ROUND(B19*64,0),64),64),IF(ROUND(B19*64,0)=0,"0",""))&amp;""""))</f>
        <v>1 1/16"</v>
      </c>
      <c r="B19" s="48" t="n">
        <f aca="false">17/16</f>
        <v>1.0625</v>
      </c>
      <c r="C19" s="49" t="n">
        <f aca="false">B19*25.4</f>
        <v>26.9875</v>
      </c>
      <c r="D19" s="50" t="n">
        <f aca="false">B19/2</f>
        <v>0.53125</v>
      </c>
      <c r="E19" s="49" t="n">
        <f aca="false">C19/2</f>
        <v>13.49375</v>
      </c>
    </row>
    <row r="20" customFormat="false" ht="15" hidden="false" customHeight="false" outlineLevel="0" collapsed="false">
      <c r="A20" s="51" t="str">
        <f aca="false">IF(NOT(ISNUMBER(B20)),"",IF(B20&lt;=0,"",IF(ABS(B20*64-ROUND(B20*64,0))&gt;0.0005,"≈ ","")&amp;IF(INT(ROUND(B20*64,0)/64)&gt;0,INT(ROUND(B20*64,0)/64)&amp;IF(MOD(ROUND(B20*64,0),64)&gt;0," ",""),"")&amp;IF(MOD(ROUND(B20*64,0),64)&gt;0,MOD(ROUND(B20*64,0),64)/GCD(MOD(ROUND(B20*64,0),64),64)&amp;"/"&amp;64/GCD(MOD(ROUND(B20*64,0),64),64),IF(ROUND(B20*64,0)=0,"0",""))&amp;""""))</f>
        <v>1 1/8"</v>
      </c>
      <c r="B20" s="52" t="n">
        <f aca="false">18/16</f>
        <v>1.125</v>
      </c>
      <c r="C20" s="53" t="n">
        <f aca="false">B20*25.4</f>
        <v>28.575</v>
      </c>
      <c r="D20" s="54" t="n">
        <f aca="false">B20/2</f>
        <v>0.5625</v>
      </c>
      <c r="E20" s="53" t="n">
        <f aca="false">C20/2</f>
        <v>14.2875</v>
      </c>
    </row>
    <row r="21" customFormat="false" ht="15" hidden="false" customHeight="false" outlineLevel="0" collapsed="false">
      <c r="A21" s="30" t="str">
        <f aca="false">IF(NOT(ISNUMBER(B21)),"",IF(B21&lt;=0,"",IF(ABS(B21*64-ROUND(B21*64,0))&gt;0.0005,"≈ ","")&amp;IF(INT(ROUND(B21*64,0)/64)&gt;0,INT(ROUND(B21*64,0)/64)&amp;IF(MOD(ROUND(B21*64,0),64)&gt;0," ",""),"")&amp;IF(MOD(ROUND(B21*64,0),64)&gt;0,MOD(ROUND(B21*64,0),64)/GCD(MOD(ROUND(B21*64,0),64),64)&amp;"/"&amp;64/GCD(MOD(ROUND(B21*64,0),64),64),IF(ROUND(B21*64,0)=0,"0",""))&amp;""""))</f>
        <v>1 3/16"</v>
      </c>
      <c r="B21" s="48" t="n">
        <f aca="false">19/16</f>
        <v>1.1875</v>
      </c>
      <c r="C21" s="49" t="n">
        <f aca="false">B21*25.4</f>
        <v>30.1625</v>
      </c>
      <c r="D21" s="50" t="n">
        <f aca="false">B21/2</f>
        <v>0.59375</v>
      </c>
      <c r="E21" s="49" t="n">
        <f aca="false">C21/2</f>
        <v>15.08125</v>
      </c>
    </row>
    <row r="22" customFormat="false" ht="15" hidden="false" customHeight="false" outlineLevel="0" collapsed="false">
      <c r="A22" s="51" t="str">
        <f aca="false">IF(NOT(ISNUMBER(B22)),"",IF(B22&lt;=0,"",IF(ABS(B22*64-ROUND(B22*64,0))&gt;0.0005,"≈ ","")&amp;IF(INT(ROUND(B22*64,0)/64)&gt;0,INT(ROUND(B22*64,0)/64)&amp;IF(MOD(ROUND(B22*64,0),64)&gt;0," ",""),"")&amp;IF(MOD(ROUND(B22*64,0),64)&gt;0,MOD(ROUND(B22*64,0),64)/GCD(MOD(ROUND(B22*64,0),64),64)&amp;"/"&amp;64/GCD(MOD(ROUND(B22*64,0),64),64),IF(ROUND(B22*64,0)=0,"0",""))&amp;""""))</f>
        <v>1 1/4"</v>
      </c>
      <c r="B22" s="52" t="n">
        <f aca="false">20/16</f>
        <v>1.25</v>
      </c>
      <c r="C22" s="53" t="n">
        <f aca="false">B22*25.4</f>
        <v>31.75</v>
      </c>
      <c r="D22" s="54" t="n">
        <f aca="false">B22/2</f>
        <v>0.625</v>
      </c>
      <c r="E22" s="53" t="n">
        <f aca="false">C22/2</f>
        <v>15.875</v>
      </c>
    </row>
    <row r="23" customFormat="false" ht="15" hidden="false" customHeight="false" outlineLevel="0" collapsed="false">
      <c r="A23" s="30" t="str">
        <f aca="false">IF(NOT(ISNUMBER(B23)),"",IF(B23&lt;=0,"",IF(ABS(B23*64-ROUND(B23*64,0))&gt;0.0005,"≈ ","")&amp;IF(INT(ROUND(B23*64,0)/64)&gt;0,INT(ROUND(B23*64,0)/64)&amp;IF(MOD(ROUND(B23*64,0),64)&gt;0," ",""),"")&amp;IF(MOD(ROUND(B23*64,0),64)&gt;0,MOD(ROUND(B23*64,0),64)/GCD(MOD(ROUND(B23*64,0),64),64)&amp;"/"&amp;64/GCD(MOD(ROUND(B23*64,0),64),64),IF(ROUND(B23*64,0)=0,"0",""))&amp;""""))</f>
        <v>1 5/16"</v>
      </c>
      <c r="B23" s="48" t="n">
        <f aca="false">21/16</f>
        <v>1.3125</v>
      </c>
      <c r="C23" s="49" t="n">
        <f aca="false">B23*25.4</f>
        <v>33.3375</v>
      </c>
      <c r="D23" s="50" t="n">
        <f aca="false">B23/2</f>
        <v>0.65625</v>
      </c>
      <c r="E23" s="49" t="n">
        <f aca="false">C23/2</f>
        <v>16.66875</v>
      </c>
    </row>
    <row r="24" customFormat="false" ht="15" hidden="false" customHeight="false" outlineLevel="0" collapsed="false">
      <c r="A24" s="51" t="str">
        <f aca="false">IF(NOT(ISNUMBER(B24)),"",IF(B24&lt;=0,"",IF(ABS(B24*64-ROUND(B24*64,0))&gt;0.0005,"≈ ","")&amp;IF(INT(ROUND(B24*64,0)/64)&gt;0,INT(ROUND(B24*64,0)/64)&amp;IF(MOD(ROUND(B24*64,0),64)&gt;0," ",""),"")&amp;IF(MOD(ROUND(B24*64,0),64)&gt;0,MOD(ROUND(B24*64,0),64)/GCD(MOD(ROUND(B24*64,0),64),64)&amp;"/"&amp;64/GCD(MOD(ROUND(B24*64,0),64),64),IF(ROUND(B24*64,0)=0,"0",""))&amp;""""))</f>
        <v>1 3/8"</v>
      </c>
      <c r="B24" s="52" t="n">
        <f aca="false">22/16</f>
        <v>1.375</v>
      </c>
      <c r="C24" s="53" t="n">
        <f aca="false">B24*25.4</f>
        <v>34.925</v>
      </c>
      <c r="D24" s="54" t="n">
        <f aca="false">B24/2</f>
        <v>0.6875</v>
      </c>
      <c r="E24" s="53" t="n">
        <f aca="false">C24/2</f>
        <v>17.4625</v>
      </c>
    </row>
    <row r="25" customFormat="false" ht="15" hidden="false" customHeight="false" outlineLevel="0" collapsed="false">
      <c r="A25" s="30" t="str">
        <f aca="false">IF(NOT(ISNUMBER(B25)),"",IF(B25&lt;=0,"",IF(ABS(B25*64-ROUND(B25*64,0))&gt;0.0005,"≈ ","")&amp;IF(INT(ROUND(B25*64,0)/64)&gt;0,INT(ROUND(B25*64,0)/64)&amp;IF(MOD(ROUND(B25*64,0),64)&gt;0," ",""),"")&amp;IF(MOD(ROUND(B25*64,0),64)&gt;0,MOD(ROUND(B25*64,0),64)/GCD(MOD(ROUND(B25*64,0),64),64)&amp;"/"&amp;64/GCD(MOD(ROUND(B25*64,0),64),64),IF(ROUND(B25*64,0)=0,"0",""))&amp;""""))</f>
        <v>1 7/16"</v>
      </c>
      <c r="B25" s="48" t="n">
        <f aca="false">23/16</f>
        <v>1.4375</v>
      </c>
      <c r="C25" s="49" t="n">
        <f aca="false">B25*25.4</f>
        <v>36.5125</v>
      </c>
      <c r="D25" s="50" t="n">
        <f aca="false">B25/2</f>
        <v>0.71875</v>
      </c>
      <c r="E25" s="49" t="n">
        <f aca="false">C25/2</f>
        <v>18.25625</v>
      </c>
    </row>
    <row r="26" customFormat="false" ht="15" hidden="false" customHeight="false" outlineLevel="0" collapsed="false">
      <c r="A26" s="51" t="str">
        <f aca="false">IF(NOT(ISNUMBER(B26)),"",IF(B26&lt;=0,"",IF(ABS(B26*64-ROUND(B26*64,0))&gt;0.0005,"≈ ","")&amp;IF(INT(ROUND(B26*64,0)/64)&gt;0,INT(ROUND(B26*64,0)/64)&amp;IF(MOD(ROUND(B26*64,0),64)&gt;0," ",""),"")&amp;IF(MOD(ROUND(B26*64,0),64)&gt;0,MOD(ROUND(B26*64,0),64)/GCD(MOD(ROUND(B26*64,0),64),64)&amp;"/"&amp;64/GCD(MOD(ROUND(B26*64,0),64),64),IF(ROUND(B26*64,0)=0,"0",""))&amp;""""))</f>
        <v>1 1/2"</v>
      </c>
      <c r="B26" s="52" t="n">
        <f aca="false">24/16</f>
        <v>1.5</v>
      </c>
      <c r="C26" s="53" t="n">
        <f aca="false">B26*25.4</f>
        <v>38.1</v>
      </c>
      <c r="D26" s="54" t="n">
        <f aca="false">B26/2</f>
        <v>0.75</v>
      </c>
      <c r="E26" s="53" t="n">
        <f aca="false">C26/2</f>
        <v>19.05</v>
      </c>
    </row>
    <row r="27" customFormat="false" ht="15" hidden="false" customHeight="false" outlineLevel="0" collapsed="false">
      <c r="A27" s="30" t="str">
        <f aca="false">IF(NOT(ISNUMBER(B27)),"",IF(B27&lt;=0,"",IF(ABS(B27*64-ROUND(B27*64,0))&gt;0.0005,"≈ ","")&amp;IF(INT(ROUND(B27*64,0)/64)&gt;0,INT(ROUND(B27*64,0)/64)&amp;IF(MOD(ROUND(B27*64,0),64)&gt;0," ",""),"")&amp;IF(MOD(ROUND(B27*64,0),64)&gt;0,MOD(ROUND(B27*64,0),64)/GCD(MOD(ROUND(B27*64,0),64),64)&amp;"/"&amp;64/GCD(MOD(ROUND(B27*64,0),64),64),IF(ROUND(B27*64,0)=0,"0",""))&amp;""""))</f>
        <v>1 9/16"</v>
      </c>
      <c r="B27" s="48" t="n">
        <f aca="false">25/16</f>
        <v>1.5625</v>
      </c>
      <c r="C27" s="49" t="n">
        <f aca="false">B27*25.4</f>
        <v>39.6875</v>
      </c>
      <c r="D27" s="50" t="n">
        <f aca="false">B27/2</f>
        <v>0.78125</v>
      </c>
      <c r="E27" s="49" t="n">
        <f aca="false">C27/2</f>
        <v>19.84375</v>
      </c>
    </row>
    <row r="28" customFormat="false" ht="15" hidden="false" customHeight="false" outlineLevel="0" collapsed="false">
      <c r="A28" s="51" t="str">
        <f aca="false">IF(NOT(ISNUMBER(B28)),"",IF(B28&lt;=0,"",IF(ABS(B28*64-ROUND(B28*64,0))&gt;0.0005,"≈ ","")&amp;IF(INT(ROUND(B28*64,0)/64)&gt;0,INT(ROUND(B28*64,0)/64)&amp;IF(MOD(ROUND(B28*64,0),64)&gt;0," ",""),"")&amp;IF(MOD(ROUND(B28*64,0),64)&gt;0,MOD(ROUND(B28*64,0),64)/GCD(MOD(ROUND(B28*64,0),64),64)&amp;"/"&amp;64/GCD(MOD(ROUND(B28*64,0),64),64),IF(ROUND(B28*64,0)=0,"0",""))&amp;""""))</f>
        <v>1 5/8"</v>
      </c>
      <c r="B28" s="52" t="n">
        <f aca="false">26/16</f>
        <v>1.625</v>
      </c>
      <c r="C28" s="53" t="n">
        <f aca="false">B28*25.4</f>
        <v>41.275</v>
      </c>
      <c r="D28" s="54" t="n">
        <f aca="false">B28/2</f>
        <v>0.8125</v>
      </c>
      <c r="E28" s="53" t="n">
        <f aca="false">C28/2</f>
        <v>20.6375</v>
      </c>
    </row>
    <row r="29" customFormat="false" ht="15" hidden="false" customHeight="false" outlineLevel="0" collapsed="false">
      <c r="A29" s="30" t="str">
        <f aca="false">IF(NOT(ISNUMBER(B29)),"",IF(B29&lt;=0,"",IF(ABS(B29*64-ROUND(B29*64,0))&gt;0.0005,"≈ ","")&amp;IF(INT(ROUND(B29*64,0)/64)&gt;0,INT(ROUND(B29*64,0)/64)&amp;IF(MOD(ROUND(B29*64,0),64)&gt;0," ",""),"")&amp;IF(MOD(ROUND(B29*64,0),64)&gt;0,MOD(ROUND(B29*64,0),64)/GCD(MOD(ROUND(B29*64,0),64),64)&amp;"/"&amp;64/GCD(MOD(ROUND(B29*64,0),64),64),IF(ROUND(B29*64,0)=0,"0",""))&amp;""""))</f>
        <v>1 11/16"</v>
      </c>
      <c r="B29" s="48" t="n">
        <f aca="false">27/16</f>
        <v>1.6875</v>
      </c>
      <c r="C29" s="49" t="n">
        <f aca="false">B29*25.4</f>
        <v>42.8625</v>
      </c>
      <c r="D29" s="50" t="n">
        <f aca="false">B29/2</f>
        <v>0.84375</v>
      </c>
      <c r="E29" s="49" t="n">
        <f aca="false">C29/2</f>
        <v>21.43125</v>
      </c>
    </row>
    <row r="30" customFormat="false" ht="15" hidden="false" customHeight="false" outlineLevel="0" collapsed="false">
      <c r="A30" s="51" t="str">
        <f aca="false">IF(NOT(ISNUMBER(B30)),"",IF(B30&lt;=0,"",IF(ABS(B30*64-ROUND(B30*64,0))&gt;0.0005,"≈ ","")&amp;IF(INT(ROUND(B30*64,0)/64)&gt;0,INT(ROUND(B30*64,0)/64)&amp;IF(MOD(ROUND(B30*64,0),64)&gt;0," ",""),"")&amp;IF(MOD(ROUND(B30*64,0),64)&gt;0,MOD(ROUND(B30*64,0),64)/GCD(MOD(ROUND(B30*64,0),64),64)&amp;"/"&amp;64/GCD(MOD(ROUND(B30*64,0),64),64),IF(ROUND(B30*64,0)=0,"0",""))&amp;""""))</f>
        <v>1 3/4"</v>
      </c>
      <c r="B30" s="52" t="n">
        <f aca="false">28/16</f>
        <v>1.75</v>
      </c>
      <c r="C30" s="53" t="n">
        <f aca="false">B30*25.4</f>
        <v>44.45</v>
      </c>
      <c r="D30" s="54" t="n">
        <f aca="false">B30/2</f>
        <v>0.875</v>
      </c>
      <c r="E30" s="53" t="n">
        <f aca="false">C30/2</f>
        <v>22.225</v>
      </c>
    </row>
    <row r="31" customFormat="false" ht="15" hidden="false" customHeight="false" outlineLevel="0" collapsed="false">
      <c r="A31" s="30" t="str">
        <f aca="false">IF(NOT(ISNUMBER(B31)),"",IF(B31&lt;=0,"",IF(ABS(B31*64-ROUND(B31*64,0))&gt;0.0005,"≈ ","")&amp;IF(INT(ROUND(B31*64,0)/64)&gt;0,INT(ROUND(B31*64,0)/64)&amp;IF(MOD(ROUND(B31*64,0),64)&gt;0," ",""),"")&amp;IF(MOD(ROUND(B31*64,0),64)&gt;0,MOD(ROUND(B31*64,0),64)/GCD(MOD(ROUND(B31*64,0),64),64)&amp;"/"&amp;64/GCD(MOD(ROUND(B31*64,0),64),64),IF(ROUND(B31*64,0)=0,"0",""))&amp;""""))</f>
        <v>1 13/16"</v>
      </c>
      <c r="B31" s="48" t="n">
        <f aca="false">29/16</f>
        <v>1.8125</v>
      </c>
      <c r="C31" s="49" t="n">
        <f aca="false">B31*25.4</f>
        <v>46.0375</v>
      </c>
      <c r="D31" s="50" t="n">
        <f aca="false">B31/2</f>
        <v>0.90625</v>
      </c>
      <c r="E31" s="49" t="n">
        <f aca="false">C31/2</f>
        <v>23.01875</v>
      </c>
    </row>
    <row r="32" customFormat="false" ht="15" hidden="false" customHeight="false" outlineLevel="0" collapsed="false">
      <c r="A32" s="51" t="str">
        <f aca="false">IF(NOT(ISNUMBER(B32)),"",IF(B32&lt;=0,"",IF(ABS(B32*64-ROUND(B32*64,0))&gt;0.0005,"≈ ","")&amp;IF(INT(ROUND(B32*64,0)/64)&gt;0,INT(ROUND(B32*64,0)/64)&amp;IF(MOD(ROUND(B32*64,0),64)&gt;0," ",""),"")&amp;IF(MOD(ROUND(B32*64,0),64)&gt;0,MOD(ROUND(B32*64,0),64)/GCD(MOD(ROUND(B32*64,0),64),64)&amp;"/"&amp;64/GCD(MOD(ROUND(B32*64,0),64),64),IF(ROUND(B32*64,0)=0,"0",""))&amp;""""))</f>
        <v>1 7/8"</v>
      </c>
      <c r="B32" s="52" t="n">
        <f aca="false">30/16</f>
        <v>1.875</v>
      </c>
      <c r="C32" s="53" t="n">
        <f aca="false">B32*25.4</f>
        <v>47.625</v>
      </c>
      <c r="D32" s="54" t="n">
        <f aca="false">B32/2</f>
        <v>0.9375</v>
      </c>
      <c r="E32" s="53" t="n">
        <f aca="false">C32/2</f>
        <v>23.8125</v>
      </c>
    </row>
    <row r="33" customFormat="false" ht="15" hidden="false" customHeight="false" outlineLevel="0" collapsed="false">
      <c r="A33" s="30" t="str">
        <f aca="false">IF(NOT(ISNUMBER(B33)),"",IF(B33&lt;=0,"",IF(ABS(B33*64-ROUND(B33*64,0))&gt;0.0005,"≈ ","")&amp;IF(INT(ROUND(B33*64,0)/64)&gt;0,INT(ROUND(B33*64,0)/64)&amp;IF(MOD(ROUND(B33*64,0),64)&gt;0," ",""),"")&amp;IF(MOD(ROUND(B33*64,0),64)&gt;0,MOD(ROUND(B33*64,0),64)/GCD(MOD(ROUND(B33*64,0),64),64)&amp;"/"&amp;64/GCD(MOD(ROUND(B33*64,0),64),64),IF(ROUND(B33*64,0)=0,"0",""))&amp;""""))</f>
        <v>1 15/16"</v>
      </c>
      <c r="B33" s="48" t="n">
        <f aca="false">31/16</f>
        <v>1.9375</v>
      </c>
      <c r="C33" s="49" t="n">
        <f aca="false">B33*25.4</f>
        <v>49.2125</v>
      </c>
      <c r="D33" s="50" t="n">
        <f aca="false">B33/2</f>
        <v>0.96875</v>
      </c>
      <c r="E33" s="49" t="n">
        <f aca="false">C33/2</f>
        <v>24.60625</v>
      </c>
    </row>
    <row r="34" customFormat="false" ht="15" hidden="false" customHeight="false" outlineLevel="0" collapsed="false">
      <c r="A34" s="51" t="str">
        <f aca="false">IF(NOT(ISNUMBER(B34)),"",IF(B34&lt;=0,"",IF(ABS(B34*64-ROUND(B34*64,0))&gt;0.0005,"≈ ","")&amp;IF(INT(ROUND(B34*64,0)/64)&gt;0,INT(ROUND(B34*64,0)/64)&amp;IF(MOD(ROUND(B34*64,0),64)&gt;0," ",""),"")&amp;IF(MOD(ROUND(B34*64,0),64)&gt;0,MOD(ROUND(B34*64,0),64)/GCD(MOD(ROUND(B34*64,0),64),64)&amp;"/"&amp;64/GCD(MOD(ROUND(B34*64,0),64),64),IF(ROUND(B34*64,0)=0,"0",""))&amp;""""))</f>
        <v>2"</v>
      </c>
      <c r="B34" s="52" t="n">
        <f aca="false">32/16</f>
        <v>2</v>
      </c>
      <c r="C34" s="53" t="n">
        <f aca="false">B34*25.4</f>
        <v>50.8</v>
      </c>
      <c r="D34" s="54" t="n">
        <f aca="false">B34/2</f>
        <v>1</v>
      </c>
      <c r="E34" s="53" t="n">
        <f aca="false">C34/2</f>
        <v>25.4</v>
      </c>
    </row>
    <row r="35" customFormat="false" ht="15" hidden="false" customHeight="false" outlineLevel="0" collapsed="false">
      <c r="A35" s="30" t="str">
        <f aca="false">IF(NOT(ISNUMBER(B35)),"",IF(B35&lt;=0,"",IF(ABS(B35*64-ROUND(B35*64,0))&gt;0.0005,"≈ ","")&amp;IF(INT(ROUND(B35*64,0)/64)&gt;0,INT(ROUND(B35*64,0)/64)&amp;IF(MOD(ROUND(B35*64,0),64)&gt;0," ",""),"")&amp;IF(MOD(ROUND(B35*64,0),64)&gt;0,MOD(ROUND(B35*64,0),64)/GCD(MOD(ROUND(B35*64,0),64),64)&amp;"/"&amp;64/GCD(MOD(ROUND(B35*64,0),64),64),IF(ROUND(B35*64,0)=0,"0",""))&amp;""""))</f>
        <v>2 1/16"</v>
      </c>
      <c r="B35" s="48" t="n">
        <f aca="false">33/16</f>
        <v>2.0625</v>
      </c>
      <c r="C35" s="49" t="n">
        <f aca="false">B35*25.4</f>
        <v>52.3875</v>
      </c>
      <c r="D35" s="50" t="n">
        <f aca="false">B35/2</f>
        <v>1.03125</v>
      </c>
      <c r="E35" s="49" t="n">
        <f aca="false">C35/2</f>
        <v>26.19375</v>
      </c>
    </row>
    <row r="36" customFormat="false" ht="15" hidden="false" customHeight="false" outlineLevel="0" collapsed="false">
      <c r="A36" s="51" t="str">
        <f aca="false">IF(NOT(ISNUMBER(B36)),"",IF(B36&lt;=0,"",IF(ABS(B36*64-ROUND(B36*64,0))&gt;0.0005,"≈ ","")&amp;IF(INT(ROUND(B36*64,0)/64)&gt;0,INT(ROUND(B36*64,0)/64)&amp;IF(MOD(ROUND(B36*64,0),64)&gt;0," ",""),"")&amp;IF(MOD(ROUND(B36*64,0),64)&gt;0,MOD(ROUND(B36*64,0),64)/GCD(MOD(ROUND(B36*64,0),64),64)&amp;"/"&amp;64/GCD(MOD(ROUND(B36*64,0),64),64),IF(ROUND(B36*64,0)=0,"0",""))&amp;""""))</f>
        <v>2 1/8"</v>
      </c>
      <c r="B36" s="52" t="n">
        <f aca="false">34/16</f>
        <v>2.125</v>
      </c>
      <c r="C36" s="53" t="n">
        <f aca="false">B36*25.4</f>
        <v>53.975</v>
      </c>
      <c r="D36" s="54" t="n">
        <f aca="false">B36/2</f>
        <v>1.0625</v>
      </c>
      <c r="E36" s="53" t="n">
        <f aca="false">C36/2</f>
        <v>26.9875</v>
      </c>
    </row>
    <row r="37" customFormat="false" ht="15" hidden="false" customHeight="false" outlineLevel="0" collapsed="false">
      <c r="A37" s="30" t="str">
        <f aca="false">IF(NOT(ISNUMBER(B37)),"",IF(B37&lt;=0,"",IF(ABS(B37*64-ROUND(B37*64,0))&gt;0.0005,"≈ ","")&amp;IF(INT(ROUND(B37*64,0)/64)&gt;0,INT(ROUND(B37*64,0)/64)&amp;IF(MOD(ROUND(B37*64,0),64)&gt;0," ",""),"")&amp;IF(MOD(ROUND(B37*64,0),64)&gt;0,MOD(ROUND(B37*64,0),64)/GCD(MOD(ROUND(B37*64,0),64),64)&amp;"/"&amp;64/GCD(MOD(ROUND(B37*64,0),64),64),IF(ROUND(B37*64,0)=0,"0",""))&amp;""""))</f>
        <v>2 3/16"</v>
      </c>
      <c r="B37" s="48" t="n">
        <f aca="false">35/16</f>
        <v>2.1875</v>
      </c>
      <c r="C37" s="49" t="n">
        <f aca="false">B37*25.4</f>
        <v>55.5625</v>
      </c>
      <c r="D37" s="50" t="n">
        <f aca="false">B37/2</f>
        <v>1.09375</v>
      </c>
      <c r="E37" s="49" t="n">
        <f aca="false">C37/2</f>
        <v>27.78125</v>
      </c>
    </row>
    <row r="38" customFormat="false" ht="15" hidden="false" customHeight="false" outlineLevel="0" collapsed="false">
      <c r="A38" s="51" t="str">
        <f aca="false">IF(NOT(ISNUMBER(B38)),"",IF(B38&lt;=0,"",IF(ABS(B38*64-ROUND(B38*64,0))&gt;0.0005,"≈ ","")&amp;IF(INT(ROUND(B38*64,0)/64)&gt;0,INT(ROUND(B38*64,0)/64)&amp;IF(MOD(ROUND(B38*64,0),64)&gt;0," ",""),"")&amp;IF(MOD(ROUND(B38*64,0),64)&gt;0,MOD(ROUND(B38*64,0),64)/GCD(MOD(ROUND(B38*64,0),64),64)&amp;"/"&amp;64/GCD(MOD(ROUND(B38*64,0),64),64),IF(ROUND(B38*64,0)=0,"0",""))&amp;""""))</f>
        <v>2 1/4"</v>
      </c>
      <c r="B38" s="52" t="n">
        <f aca="false">36/16</f>
        <v>2.25</v>
      </c>
      <c r="C38" s="53" t="n">
        <f aca="false">B38*25.4</f>
        <v>57.15</v>
      </c>
      <c r="D38" s="54" t="n">
        <f aca="false">B38/2</f>
        <v>1.125</v>
      </c>
      <c r="E38" s="53" t="n">
        <f aca="false">C38/2</f>
        <v>28.575</v>
      </c>
    </row>
    <row r="39" customFormat="false" ht="15" hidden="false" customHeight="false" outlineLevel="0" collapsed="false">
      <c r="A39" s="30" t="str">
        <f aca="false">IF(NOT(ISNUMBER(B39)),"",IF(B39&lt;=0,"",IF(ABS(B39*64-ROUND(B39*64,0))&gt;0.0005,"≈ ","")&amp;IF(INT(ROUND(B39*64,0)/64)&gt;0,INT(ROUND(B39*64,0)/64)&amp;IF(MOD(ROUND(B39*64,0),64)&gt;0," ",""),"")&amp;IF(MOD(ROUND(B39*64,0),64)&gt;0,MOD(ROUND(B39*64,0),64)/GCD(MOD(ROUND(B39*64,0),64),64)&amp;"/"&amp;64/GCD(MOD(ROUND(B39*64,0),64),64),IF(ROUND(B39*64,0)=0,"0",""))&amp;""""))</f>
        <v>2 5/16"</v>
      </c>
      <c r="B39" s="48" t="n">
        <f aca="false">37/16</f>
        <v>2.3125</v>
      </c>
      <c r="C39" s="49" t="n">
        <f aca="false">B39*25.4</f>
        <v>58.7375</v>
      </c>
      <c r="D39" s="50" t="n">
        <f aca="false">B39/2</f>
        <v>1.15625</v>
      </c>
      <c r="E39" s="49" t="n">
        <f aca="false">C39/2</f>
        <v>29.36875</v>
      </c>
    </row>
    <row r="40" customFormat="false" ht="15" hidden="false" customHeight="false" outlineLevel="0" collapsed="false">
      <c r="A40" s="51" t="str">
        <f aca="false">IF(NOT(ISNUMBER(B40)),"",IF(B40&lt;=0,"",IF(ABS(B40*64-ROUND(B40*64,0))&gt;0.0005,"≈ ","")&amp;IF(INT(ROUND(B40*64,0)/64)&gt;0,INT(ROUND(B40*64,0)/64)&amp;IF(MOD(ROUND(B40*64,0),64)&gt;0," ",""),"")&amp;IF(MOD(ROUND(B40*64,0),64)&gt;0,MOD(ROUND(B40*64,0),64)/GCD(MOD(ROUND(B40*64,0),64),64)&amp;"/"&amp;64/GCD(MOD(ROUND(B40*64,0),64),64),IF(ROUND(B40*64,0)=0,"0",""))&amp;""""))</f>
        <v>2 3/8"</v>
      </c>
      <c r="B40" s="52" t="n">
        <f aca="false">38/16</f>
        <v>2.375</v>
      </c>
      <c r="C40" s="53" t="n">
        <f aca="false">B40*25.4</f>
        <v>60.325</v>
      </c>
      <c r="D40" s="54" t="n">
        <f aca="false">B40/2</f>
        <v>1.1875</v>
      </c>
      <c r="E40" s="53" t="n">
        <f aca="false">C40/2</f>
        <v>30.1625</v>
      </c>
    </row>
    <row r="41" customFormat="false" ht="15" hidden="false" customHeight="false" outlineLevel="0" collapsed="false">
      <c r="A41" s="30" t="str">
        <f aca="false">IF(NOT(ISNUMBER(B41)),"",IF(B41&lt;=0,"",IF(ABS(B41*64-ROUND(B41*64,0))&gt;0.0005,"≈ ","")&amp;IF(INT(ROUND(B41*64,0)/64)&gt;0,INT(ROUND(B41*64,0)/64)&amp;IF(MOD(ROUND(B41*64,0),64)&gt;0," ",""),"")&amp;IF(MOD(ROUND(B41*64,0),64)&gt;0,MOD(ROUND(B41*64,0),64)/GCD(MOD(ROUND(B41*64,0),64),64)&amp;"/"&amp;64/GCD(MOD(ROUND(B41*64,0),64),64),IF(ROUND(B41*64,0)=0,"0",""))&amp;""""))</f>
        <v>2 7/16"</v>
      </c>
      <c r="B41" s="48" t="n">
        <f aca="false">39/16</f>
        <v>2.4375</v>
      </c>
      <c r="C41" s="49" t="n">
        <f aca="false">B41*25.4</f>
        <v>61.9125</v>
      </c>
      <c r="D41" s="50" t="n">
        <f aca="false">B41/2</f>
        <v>1.21875</v>
      </c>
      <c r="E41" s="49" t="n">
        <f aca="false">C41/2</f>
        <v>30.95625</v>
      </c>
    </row>
    <row r="42" customFormat="false" ht="15" hidden="false" customHeight="false" outlineLevel="0" collapsed="false">
      <c r="A42" s="51" t="str">
        <f aca="false">IF(NOT(ISNUMBER(B42)),"",IF(B42&lt;=0,"",IF(ABS(B42*64-ROUND(B42*64,0))&gt;0.0005,"≈ ","")&amp;IF(INT(ROUND(B42*64,0)/64)&gt;0,INT(ROUND(B42*64,0)/64)&amp;IF(MOD(ROUND(B42*64,0),64)&gt;0," ",""),"")&amp;IF(MOD(ROUND(B42*64,0),64)&gt;0,MOD(ROUND(B42*64,0),64)/GCD(MOD(ROUND(B42*64,0),64),64)&amp;"/"&amp;64/GCD(MOD(ROUND(B42*64,0),64),64),IF(ROUND(B42*64,0)=0,"0",""))&amp;""""))</f>
        <v>2 1/2"</v>
      </c>
      <c r="B42" s="52" t="n">
        <f aca="false">40/16</f>
        <v>2.5</v>
      </c>
      <c r="C42" s="53" t="n">
        <f aca="false">B42*25.4</f>
        <v>63.5</v>
      </c>
      <c r="D42" s="54" t="n">
        <f aca="false">B42/2</f>
        <v>1.25</v>
      </c>
      <c r="E42" s="53" t="n">
        <f aca="false">C42/2</f>
        <v>31.75</v>
      </c>
    </row>
    <row r="43" customFormat="false" ht="15" hidden="false" customHeight="false" outlineLevel="0" collapsed="false">
      <c r="A43" s="30" t="str">
        <f aca="false">IF(NOT(ISNUMBER(B43)),"",IF(B43&lt;=0,"",IF(ABS(B43*64-ROUND(B43*64,0))&gt;0.0005,"≈ ","")&amp;IF(INT(ROUND(B43*64,0)/64)&gt;0,INT(ROUND(B43*64,0)/64)&amp;IF(MOD(ROUND(B43*64,0),64)&gt;0," ",""),"")&amp;IF(MOD(ROUND(B43*64,0),64)&gt;0,MOD(ROUND(B43*64,0),64)/GCD(MOD(ROUND(B43*64,0),64),64)&amp;"/"&amp;64/GCD(MOD(ROUND(B43*64,0),64),64),IF(ROUND(B43*64,0)=0,"0",""))&amp;""""))</f>
        <v>2 9/16"</v>
      </c>
      <c r="B43" s="48" t="n">
        <f aca="false">41/16</f>
        <v>2.5625</v>
      </c>
      <c r="C43" s="49" t="n">
        <f aca="false">B43*25.4</f>
        <v>65.0875</v>
      </c>
      <c r="D43" s="50" t="n">
        <f aca="false">B43/2</f>
        <v>1.28125</v>
      </c>
      <c r="E43" s="49" t="n">
        <f aca="false">C43/2</f>
        <v>32.54375</v>
      </c>
    </row>
    <row r="44" customFormat="false" ht="15" hidden="false" customHeight="false" outlineLevel="0" collapsed="false">
      <c r="A44" s="51" t="str">
        <f aca="false">IF(NOT(ISNUMBER(B44)),"",IF(B44&lt;=0,"",IF(ABS(B44*64-ROUND(B44*64,0))&gt;0.0005,"≈ ","")&amp;IF(INT(ROUND(B44*64,0)/64)&gt;0,INT(ROUND(B44*64,0)/64)&amp;IF(MOD(ROUND(B44*64,0),64)&gt;0," ",""),"")&amp;IF(MOD(ROUND(B44*64,0),64)&gt;0,MOD(ROUND(B44*64,0),64)/GCD(MOD(ROUND(B44*64,0),64),64)&amp;"/"&amp;64/GCD(MOD(ROUND(B44*64,0),64),64),IF(ROUND(B44*64,0)=0,"0",""))&amp;""""))</f>
        <v>2 5/8"</v>
      </c>
      <c r="B44" s="52" t="n">
        <f aca="false">42/16</f>
        <v>2.625</v>
      </c>
      <c r="C44" s="53" t="n">
        <f aca="false">B44*25.4</f>
        <v>66.675</v>
      </c>
      <c r="D44" s="54" t="n">
        <f aca="false">B44/2</f>
        <v>1.3125</v>
      </c>
      <c r="E44" s="53" t="n">
        <f aca="false">C44/2</f>
        <v>33.3375</v>
      </c>
    </row>
    <row r="45" customFormat="false" ht="15" hidden="false" customHeight="false" outlineLevel="0" collapsed="false">
      <c r="A45" s="30" t="str">
        <f aca="false">IF(NOT(ISNUMBER(B45)),"",IF(B45&lt;=0,"",IF(ABS(B45*64-ROUND(B45*64,0))&gt;0.0005,"≈ ","")&amp;IF(INT(ROUND(B45*64,0)/64)&gt;0,INT(ROUND(B45*64,0)/64)&amp;IF(MOD(ROUND(B45*64,0),64)&gt;0," ",""),"")&amp;IF(MOD(ROUND(B45*64,0),64)&gt;0,MOD(ROUND(B45*64,0),64)/GCD(MOD(ROUND(B45*64,0),64),64)&amp;"/"&amp;64/GCD(MOD(ROUND(B45*64,0),64),64),IF(ROUND(B45*64,0)=0,"0",""))&amp;""""))</f>
        <v>2 11/16"</v>
      </c>
      <c r="B45" s="48" t="n">
        <f aca="false">43/16</f>
        <v>2.6875</v>
      </c>
      <c r="C45" s="49" t="n">
        <f aca="false">B45*25.4</f>
        <v>68.2625</v>
      </c>
      <c r="D45" s="50" t="n">
        <f aca="false">B45/2</f>
        <v>1.34375</v>
      </c>
      <c r="E45" s="49" t="n">
        <f aca="false">C45/2</f>
        <v>34.13125</v>
      </c>
    </row>
    <row r="46" customFormat="false" ht="15" hidden="false" customHeight="false" outlineLevel="0" collapsed="false">
      <c r="A46" s="51" t="str">
        <f aca="false">IF(NOT(ISNUMBER(B46)),"",IF(B46&lt;=0,"",IF(ABS(B46*64-ROUND(B46*64,0))&gt;0.0005,"≈ ","")&amp;IF(INT(ROUND(B46*64,0)/64)&gt;0,INT(ROUND(B46*64,0)/64)&amp;IF(MOD(ROUND(B46*64,0),64)&gt;0," ",""),"")&amp;IF(MOD(ROUND(B46*64,0),64)&gt;0,MOD(ROUND(B46*64,0),64)/GCD(MOD(ROUND(B46*64,0),64),64)&amp;"/"&amp;64/GCD(MOD(ROUND(B46*64,0),64),64),IF(ROUND(B46*64,0)=0,"0",""))&amp;""""))</f>
        <v>2 3/4"</v>
      </c>
      <c r="B46" s="52" t="n">
        <f aca="false">44/16</f>
        <v>2.75</v>
      </c>
      <c r="C46" s="53" t="n">
        <f aca="false">B46*25.4</f>
        <v>69.85</v>
      </c>
      <c r="D46" s="54" t="n">
        <f aca="false">B46/2</f>
        <v>1.375</v>
      </c>
      <c r="E46" s="53" t="n">
        <f aca="false">C46/2</f>
        <v>34.925</v>
      </c>
    </row>
    <row r="47" customFormat="false" ht="15" hidden="false" customHeight="false" outlineLevel="0" collapsed="false">
      <c r="A47" s="30" t="str">
        <f aca="false">IF(NOT(ISNUMBER(B47)),"",IF(B47&lt;=0,"",IF(ABS(B47*64-ROUND(B47*64,0))&gt;0.0005,"≈ ","")&amp;IF(INT(ROUND(B47*64,0)/64)&gt;0,INT(ROUND(B47*64,0)/64)&amp;IF(MOD(ROUND(B47*64,0),64)&gt;0," ",""),"")&amp;IF(MOD(ROUND(B47*64,0),64)&gt;0,MOD(ROUND(B47*64,0),64)/GCD(MOD(ROUND(B47*64,0),64),64)&amp;"/"&amp;64/GCD(MOD(ROUND(B47*64,0),64),64),IF(ROUND(B47*64,0)=0,"0",""))&amp;""""))</f>
        <v>2 13/16"</v>
      </c>
      <c r="B47" s="48" t="n">
        <f aca="false">45/16</f>
        <v>2.8125</v>
      </c>
      <c r="C47" s="49" t="n">
        <f aca="false">B47*25.4</f>
        <v>71.4375</v>
      </c>
      <c r="D47" s="50" t="n">
        <f aca="false">B47/2</f>
        <v>1.40625</v>
      </c>
      <c r="E47" s="49" t="n">
        <f aca="false">C47/2</f>
        <v>35.71875</v>
      </c>
    </row>
    <row r="48" customFormat="false" ht="15" hidden="false" customHeight="false" outlineLevel="0" collapsed="false">
      <c r="A48" s="51" t="str">
        <f aca="false">IF(NOT(ISNUMBER(B48)),"",IF(B48&lt;=0,"",IF(ABS(B48*64-ROUND(B48*64,0))&gt;0.0005,"≈ ","")&amp;IF(INT(ROUND(B48*64,0)/64)&gt;0,INT(ROUND(B48*64,0)/64)&amp;IF(MOD(ROUND(B48*64,0),64)&gt;0," ",""),"")&amp;IF(MOD(ROUND(B48*64,0),64)&gt;0,MOD(ROUND(B48*64,0),64)/GCD(MOD(ROUND(B48*64,0),64),64)&amp;"/"&amp;64/GCD(MOD(ROUND(B48*64,0),64),64),IF(ROUND(B48*64,0)=0,"0",""))&amp;""""))</f>
        <v>2 7/8"</v>
      </c>
      <c r="B48" s="52" t="n">
        <f aca="false">46/16</f>
        <v>2.875</v>
      </c>
      <c r="C48" s="53" t="n">
        <f aca="false">B48*25.4</f>
        <v>73.025</v>
      </c>
      <c r="D48" s="54" t="n">
        <f aca="false">B48/2</f>
        <v>1.4375</v>
      </c>
      <c r="E48" s="53" t="n">
        <f aca="false">C48/2</f>
        <v>36.5125</v>
      </c>
    </row>
    <row r="49" customFormat="false" ht="15" hidden="false" customHeight="false" outlineLevel="0" collapsed="false">
      <c r="A49" s="30" t="str">
        <f aca="false">IF(NOT(ISNUMBER(B49)),"",IF(B49&lt;=0,"",IF(ABS(B49*64-ROUND(B49*64,0))&gt;0.0005,"≈ ","")&amp;IF(INT(ROUND(B49*64,0)/64)&gt;0,INT(ROUND(B49*64,0)/64)&amp;IF(MOD(ROUND(B49*64,0),64)&gt;0," ",""),"")&amp;IF(MOD(ROUND(B49*64,0),64)&gt;0,MOD(ROUND(B49*64,0),64)/GCD(MOD(ROUND(B49*64,0),64),64)&amp;"/"&amp;64/GCD(MOD(ROUND(B49*64,0),64),64),IF(ROUND(B49*64,0)=0,"0",""))&amp;""""))</f>
        <v>2 15/16"</v>
      </c>
      <c r="B49" s="48" t="n">
        <f aca="false">47/16</f>
        <v>2.9375</v>
      </c>
      <c r="C49" s="49" t="n">
        <f aca="false">B49*25.4</f>
        <v>74.6125</v>
      </c>
      <c r="D49" s="50" t="n">
        <f aca="false">B49/2</f>
        <v>1.46875</v>
      </c>
      <c r="E49" s="49" t="n">
        <f aca="false">C49/2</f>
        <v>37.30625</v>
      </c>
    </row>
    <row r="50" customFormat="false" ht="15" hidden="false" customHeight="false" outlineLevel="0" collapsed="false">
      <c r="A50" s="51" t="str">
        <f aca="false">IF(NOT(ISNUMBER(B50)),"",IF(B50&lt;=0,"",IF(ABS(B50*64-ROUND(B50*64,0))&gt;0.0005,"≈ ","")&amp;IF(INT(ROUND(B50*64,0)/64)&gt;0,INT(ROUND(B50*64,0)/64)&amp;IF(MOD(ROUND(B50*64,0),64)&gt;0," ",""),"")&amp;IF(MOD(ROUND(B50*64,0),64)&gt;0,MOD(ROUND(B50*64,0),64)/GCD(MOD(ROUND(B50*64,0),64),64)&amp;"/"&amp;64/GCD(MOD(ROUND(B50*64,0),64),64),IF(ROUND(B50*64,0)=0,"0",""))&amp;""""))</f>
        <v>3"</v>
      </c>
      <c r="B50" s="52" t="n">
        <f aca="false">48/16</f>
        <v>3</v>
      </c>
      <c r="C50" s="53" t="n">
        <f aca="false">B50*25.4</f>
        <v>76.2</v>
      </c>
      <c r="D50" s="54" t="n">
        <f aca="false">B50/2</f>
        <v>1.5</v>
      </c>
      <c r="E50" s="53" t="n">
        <f aca="false">C50/2</f>
        <v>38.1</v>
      </c>
    </row>
    <row r="51" customFormat="false" ht="15" hidden="false" customHeight="false" outlineLevel="0" collapsed="false">
      <c r="A51" s="30" t="str">
        <f aca="false">IF(NOT(ISNUMBER(B51)),"",IF(B51&lt;=0,"",IF(ABS(B51*64-ROUND(B51*64,0))&gt;0.0005,"≈ ","")&amp;IF(INT(ROUND(B51*64,0)/64)&gt;0,INT(ROUND(B51*64,0)/64)&amp;IF(MOD(ROUND(B51*64,0),64)&gt;0," ",""),"")&amp;IF(MOD(ROUND(B51*64,0),64)&gt;0,MOD(ROUND(B51*64,0),64)/GCD(MOD(ROUND(B51*64,0),64),64)&amp;"/"&amp;64/GCD(MOD(ROUND(B51*64,0),64),64),IF(ROUND(B51*64,0)=0,"0",""))&amp;""""))</f>
        <v>3 1/16"</v>
      </c>
      <c r="B51" s="48" t="n">
        <f aca="false">49/16</f>
        <v>3.0625</v>
      </c>
      <c r="C51" s="49" t="n">
        <f aca="false">B51*25.4</f>
        <v>77.7875</v>
      </c>
      <c r="D51" s="50" t="n">
        <f aca="false">B51/2</f>
        <v>1.53125</v>
      </c>
      <c r="E51" s="49" t="n">
        <f aca="false">C51/2</f>
        <v>38.89375</v>
      </c>
    </row>
    <row r="52" customFormat="false" ht="15" hidden="false" customHeight="false" outlineLevel="0" collapsed="false">
      <c r="A52" s="51" t="str">
        <f aca="false">IF(NOT(ISNUMBER(B52)),"",IF(B52&lt;=0,"",IF(ABS(B52*64-ROUND(B52*64,0))&gt;0.0005,"≈ ","")&amp;IF(INT(ROUND(B52*64,0)/64)&gt;0,INT(ROUND(B52*64,0)/64)&amp;IF(MOD(ROUND(B52*64,0),64)&gt;0," ",""),"")&amp;IF(MOD(ROUND(B52*64,0),64)&gt;0,MOD(ROUND(B52*64,0),64)/GCD(MOD(ROUND(B52*64,0),64),64)&amp;"/"&amp;64/GCD(MOD(ROUND(B52*64,0),64),64),IF(ROUND(B52*64,0)=0,"0",""))&amp;""""))</f>
        <v>3 1/8"</v>
      </c>
      <c r="B52" s="52" t="n">
        <f aca="false">50/16</f>
        <v>3.125</v>
      </c>
      <c r="C52" s="53" t="n">
        <f aca="false">B52*25.4</f>
        <v>79.375</v>
      </c>
      <c r="D52" s="54" t="n">
        <f aca="false">B52/2</f>
        <v>1.5625</v>
      </c>
      <c r="E52" s="53" t="n">
        <f aca="false">C52/2</f>
        <v>39.6875</v>
      </c>
    </row>
    <row r="53" customFormat="false" ht="15" hidden="false" customHeight="false" outlineLevel="0" collapsed="false">
      <c r="A53" s="30" t="str">
        <f aca="false">IF(NOT(ISNUMBER(B53)),"",IF(B53&lt;=0,"",IF(ABS(B53*64-ROUND(B53*64,0))&gt;0.0005,"≈ ","")&amp;IF(INT(ROUND(B53*64,0)/64)&gt;0,INT(ROUND(B53*64,0)/64)&amp;IF(MOD(ROUND(B53*64,0),64)&gt;0," ",""),"")&amp;IF(MOD(ROUND(B53*64,0),64)&gt;0,MOD(ROUND(B53*64,0),64)/GCD(MOD(ROUND(B53*64,0),64),64)&amp;"/"&amp;64/GCD(MOD(ROUND(B53*64,0),64),64),IF(ROUND(B53*64,0)=0,"0",""))&amp;""""))</f>
        <v>3 3/16"</v>
      </c>
      <c r="B53" s="48" t="n">
        <f aca="false">51/16</f>
        <v>3.1875</v>
      </c>
      <c r="C53" s="49" t="n">
        <f aca="false">B53*25.4</f>
        <v>80.9625</v>
      </c>
      <c r="D53" s="50" t="n">
        <f aca="false">B53/2</f>
        <v>1.59375</v>
      </c>
      <c r="E53" s="49" t="n">
        <f aca="false">C53/2</f>
        <v>40.48125</v>
      </c>
    </row>
    <row r="54" customFormat="false" ht="15" hidden="false" customHeight="false" outlineLevel="0" collapsed="false">
      <c r="A54" s="51" t="str">
        <f aca="false">IF(NOT(ISNUMBER(B54)),"",IF(B54&lt;=0,"",IF(ABS(B54*64-ROUND(B54*64,0))&gt;0.0005,"≈ ","")&amp;IF(INT(ROUND(B54*64,0)/64)&gt;0,INT(ROUND(B54*64,0)/64)&amp;IF(MOD(ROUND(B54*64,0),64)&gt;0," ",""),"")&amp;IF(MOD(ROUND(B54*64,0),64)&gt;0,MOD(ROUND(B54*64,0),64)/GCD(MOD(ROUND(B54*64,0),64),64)&amp;"/"&amp;64/GCD(MOD(ROUND(B54*64,0),64),64),IF(ROUND(B54*64,0)=0,"0",""))&amp;""""))</f>
        <v>3 1/4"</v>
      </c>
      <c r="B54" s="52" t="n">
        <f aca="false">52/16</f>
        <v>3.25</v>
      </c>
      <c r="C54" s="53" t="n">
        <f aca="false">B54*25.4</f>
        <v>82.55</v>
      </c>
      <c r="D54" s="54" t="n">
        <f aca="false">B54/2</f>
        <v>1.625</v>
      </c>
      <c r="E54" s="53" t="n">
        <f aca="false">C54/2</f>
        <v>41.275</v>
      </c>
    </row>
    <row r="55" customFormat="false" ht="15" hidden="false" customHeight="false" outlineLevel="0" collapsed="false">
      <c r="A55" s="30" t="str">
        <f aca="false">IF(NOT(ISNUMBER(B55)),"",IF(B55&lt;=0,"",IF(ABS(B55*64-ROUND(B55*64,0))&gt;0.0005,"≈ ","")&amp;IF(INT(ROUND(B55*64,0)/64)&gt;0,INT(ROUND(B55*64,0)/64)&amp;IF(MOD(ROUND(B55*64,0),64)&gt;0," ",""),"")&amp;IF(MOD(ROUND(B55*64,0),64)&gt;0,MOD(ROUND(B55*64,0),64)/GCD(MOD(ROUND(B55*64,0),64),64)&amp;"/"&amp;64/GCD(MOD(ROUND(B55*64,0),64),64),IF(ROUND(B55*64,0)=0,"0",""))&amp;""""))</f>
        <v>3 5/16"</v>
      </c>
      <c r="B55" s="48" t="n">
        <f aca="false">53/16</f>
        <v>3.3125</v>
      </c>
      <c r="C55" s="49" t="n">
        <f aca="false">B55*25.4</f>
        <v>84.1375</v>
      </c>
      <c r="D55" s="50" t="n">
        <f aca="false">B55/2</f>
        <v>1.65625</v>
      </c>
      <c r="E55" s="49" t="n">
        <f aca="false">C55/2</f>
        <v>42.06875</v>
      </c>
    </row>
    <row r="56" customFormat="false" ht="15" hidden="false" customHeight="false" outlineLevel="0" collapsed="false">
      <c r="A56" s="51" t="str">
        <f aca="false">IF(NOT(ISNUMBER(B56)),"",IF(B56&lt;=0,"",IF(ABS(B56*64-ROUND(B56*64,0))&gt;0.0005,"≈ ","")&amp;IF(INT(ROUND(B56*64,0)/64)&gt;0,INT(ROUND(B56*64,0)/64)&amp;IF(MOD(ROUND(B56*64,0),64)&gt;0," ",""),"")&amp;IF(MOD(ROUND(B56*64,0),64)&gt;0,MOD(ROUND(B56*64,0),64)/GCD(MOD(ROUND(B56*64,0),64),64)&amp;"/"&amp;64/GCD(MOD(ROUND(B56*64,0),64),64),IF(ROUND(B56*64,0)=0,"0",""))&amp;""""))</f>
        <v>3 3/8"</v>
      </c>
      <c r="B56" s="52" t="n">
        <f aca="false">54/16</f>
        <v>3.375</v>
      </c>
      <c r="C56" s="53" t="n">
        <f aca="false">B56*25.4</f>
        <v>85.725</v>
      </c>
      <c r="D56" s="54" t="n">
        <f aca="false">B56/2</f>
        <v>1.6875</v>
      </c>
      <c r="E56" s="53" t="n">
        <f aca="false">C56/2</f>
        <v>42.8625</v>
      </c>
    </row>
    <row r="57" customFormat="false" ht="15" hidden="false" customHeight="false" outlineLevel="0" collapsed="false">
      <c r="A57" s="30" t="str">
        <f aca="false">IF(NOT(ISNUMBER(B57)),"",IF(B57&lt;=0,"",IF(ABS(B57*64-ROUND(B57*64,0))&gt;0.0005,"≈ ","")&amp;IF(INT(ROUND(B57*64,0)/64)&gt;0,INT(ROUND(B57*64,0)/64)&amp;IF(MOD(ROUND(B57*64,0),64)&gt;0," ",""),"")&amp;IF(MOD(ROUND(B57*64,0),64)&gt;0,MOD(ROUND(B57*64,0),64)/GCD(MOD(ROUND(B57*64,0),64),64)&amp;"/"&amp;64/GCD(MOD(ROUND(B57*64,0),64),64),IF(ROUND(B57*64,0)=0,"0",""))&amp;""""))</f>
        <v>3 7/16"</v>
      </c>
      <c r="B57" s="48" t="n">
        <f aca="false">55/16</f>
        <v>3.4375</v>
      </c>
      <c r="C57" s="49" t="n">
        <f aca="false">B57*25.4</f>
        <v>87.3125</v>
      </c>
      <c r="D57" s="50" t="n">
        <f aca="false">B57/2</f>
        <v>1.71875</v>
      </c>
      <c r="E57" s="49" t="n">
        <f aca="false">C57/2</f>
        <v>43.65625</v>
      </c>
    </row>
    <row r="58" customFormat="false" ht="15" hidden="false" customHeight="false" outlineLevel="0" collapsed="false">
      <c r="A58" s="51" t="str">
        <f aca="false">IF(NOT(ISNUMBER(B58)),"",IF(B58&lt;=0,"",IF(ABS(B58*64-ROUND(B58*64,0))&gt;0.0005,"≈ ","")&amp;IF(INT(ROUND(B58*64,0)/64)&gt;0,INT(ROUND(B58*64,0)/64)&amp;IF(MOD(ROUND(B58*64,0),64)&gt;0," ",""),"")&amp;IF(MOD(ROUND(B58*64,0),64)&gt;0,MOD(ROUND(B58*64,0),64)/GCD(MOD(ROUND(B58*64,0),64),64)&amp;"/"&amp;64/GCD(MOD(ROUND(B58*64,0),64),64),IF(ROUND(B58*64,0)=0,"0",""))&amp;""""))</f>
        <v>3 1/2"</v>
      </c>
      <c r="B58" s="52" t="n">
        <f aca="false">56/16</f>
        <v>3.5</v>
      </c>
      <c r="C58" s="53" t="n">
        <f aca="false">B58*25.4</f>
        <v>88.9</v>
      </c>
      <c r="D58" s="54" t="n">
        <f aca="false">B58/2</f>
        <v>1.75</v>
      </c>
      <c r="E58" s="53" t="n">
        <f aca="false">C58/2</f>
        <v>44.45</v>
      </c>
    </row>
    <row r="59" customFormat="false" ht="15" hidden="false" customHeight="false" outlineLevel="0" collapsed="false">
      <c r="A59" s="30" t="str">
        <f aca="false">IF(NOT(ISNUMBER(B59)),"",IF(B59&lt;=0,"",IF(ABS(B59*64-ROUND(B59*64,0))&gt;0.0005,"≈ ","")&amp;IF(INT(ROUND(B59*64,0)/64)&gt;0,INT(ROUND(B59*64,0)/64)&amp;IF(MOD(ROUND(B59*64,0),64)&gt;0," ",""),"")&amp;IF(MOD(ROUND(B59*64,0),64)&gt;0,MOD(ROUND(B59*64,0),64)/GCD(MOD(ROUND(B59*64,0),64),64)&amp;"/"&amp;64/GCD(MOD(ROUND(B59*64,0),64),64),IF(ROUND(B59*64,0)=0,"0",""))&amp;""""))</f>
        <v>3 9/16"</v>
      </c>
      <c r="B59" s="48" t="n">
        <f aca="false">57/16</f>
        <v>3.5625</v>
      </c>
      <c r="C59" s="49" t="n">
        <f aca="false">B59*25.4</f>
        <v>90.4875</v>
      </c>
      <c r="D59" s="50" t="n">
        <f aca="false">B59/2</f>
        <v>1.78125</v>
      </c>
      <c r="E59" s="49" t="n">
        <f aca="false">C59/2</f>
        <v>45.24375</v>
      </c>
    </row>
    <row r="60" customFormat="false" ht="15" hidden="false" customHeight="false" outlineLevel="0" collapsed="false">
      <c r="A60" s="51" t="str">
        <f aca="false">IF(NOT(ISNUMBER(B60)),"",IF(B60&lt;=0,"",IF(ABS(B60*64-ROUND(B60*64,0))&gt;0.0005,"≈ ","")&amp;IF(INT(ROUND(B60*64,0)/64)&gt;0,INT(ROUND(B60*64,0)/64)&amp;IF(MOD(ROUND(B60*64,0),64)&gt;0," ",""),"")&amp;IF(MOD(ROUND(B60*64,0),64)&gt;0,MOD(ROUND(B60*64,0),64)/GCD(MOD(ROUND(B60*64,0),64),64)&amp;"/"&amp;64/GCD(MOD(ROUND(B60*64,0),64),64),IF(ROUND(B60*64,0)=0,"0",""))&amp;""""))</f>
        <v>3 5/8"</v>
      </c>
      <c r="B60" s="52" t="n">
        <f aca="false">58/16</f>
        <v>3.625</v>
      </c>
      <c r="C60" s="53" t="n">
        <f aca="false">B60*25.4</f>
        <v>92.075</v>
      </c>
      <c r="D60" s="54" t="n">
        <f aca="false">B60/2</f>
        <v>1.8125</v>
      </c>
      <c r="E60" s="53" t="n">
        <f aca="false">C60/2</f>
        <v>46.0375</v>
      </c>
    </row>
    <row r="61" customFormat="false" ht="15" hidden="false" customHeight="false" outlineLevel="0" collapsed="false">
      <c r="A61" s="30" t="str">
        <f aca="false">IF(NOT(ISNUMBER(B61)),"",IF(B61&lt;=0,"",IF(ABS(B61*64-ROUND(B61*64,0))&gt;0.0005,"≈ ","")&amp;IF(INT(ROUND(B61*64,0)/64)&gt;0,INT(ROUND(B61*64,0)/64)&amp;IF(MOD(ROUND(B61*64,0),64)&gt;0," ",""),"")&amp;IF(MOD(ROUND(B61*64,0),64)&gt;0,MOD(ROUND(B61*64,0),64)/GCD(MOD(ROUND(B61*64,0),64),64)&amp;"/"&amp;64/GCD(MOD(ROUND(B61*64,0),64),64),IF(ROUND(B61*64,0)=0,"0",""))&amp;""""))</f>
        <v>3 11/16"</v>
      </c>
      <c r="B61" s="48" t="n">
        <f aca="false">59/16</f>
        <v>3.6875</v>
      </c>
      <c r="C61" s="49" t="n">
        <f aca="false">B61*25.4</f>
        <v>93.6625</v>
      </c>
      <c r="D61" s="50" t="n">
        <f aca="false">B61/2</f>
        <v>1.84375</v>
      </c>
      <c r="E61" s="49" t="n">
        <f aca="false">C61/2</f>
        <v>46.83125</v>
      </c>
    </row>
    <row r="62" customFormat="false" ht="15" hidden="false" customHeight="false" outlineLevel="0" collapsed="false">
      <c r="A62" s="51" t="str">
        <f aca="false">IF(NOT(ISNUMBER(B62)),"",IF(B62&lt;=0,"",IF(ABS(B62*64-ROUND(B62*64,0))&gt;0.0005,"≈ ","")&amp;IF(INT(ROUND(B62*64,0)/64)&gt;0,INT(ROUND(B62*64,0)/64)&amp;IF(MOD(ROUND(B62*64,0),64)&gt;0," ",""),"")&amp;IF(MOD(ROUND(B62*64,0),64)&gt;0,MOD(ROUND(B62*64,0),64)/GCD(MOD(ROUND(B62*64,0),64),64)&amp;"/"&amp;64/GCD(MOD(ROUND(B62*64,0),64),64),IF(ROUND(B62*64,0)=0,"0",""))&amp;""""))</f>
        <v>3 3/4"</v>
      </c>
      <c r="B62" s="52" t="n">
        <f aca="false">60/16</f>
        <v>3.75</v>
      </c>
      <c r="C62" s="53" t="n">
        <f aca="false">B62*25.4</f>
        <v>95.25</v>
      </c>
      <c r="D62" s="54" t="n">
        <f aca="false">B62/2</f>
        <v>1.875</v>
      </c>
      <c r="E62" s="53" t="n">
        <f aca="false">C62/2</f>
        <v>47.625</v>
      </c>
    </row>
    <row r="63" customFormat="false" ht="15" hidden="false" customHeight="false" outlineLevel="0" collapsed="false">
      <c r="A63" s="30" t="str">
        <f aca="false">IF(NOT(ISNUMBER(B63)),"",IF(B63&lt;=0,"",IF(ABS(B63*64-ROUND(B63*64,0))&gt;0.0005,"≈ ","")&amp;IF(INT(ROUND(B63*64,0)/64)&gt;0,INT(ROUND(B63*64,0)/64)&amp;IF(MOD(ROUND(B63*64,0),64)&gt;0," ",""),"")&amp;IF(MOD(ROUND(B63*64,0),64)&gt;0,MOD(ROUND(B63*64,0),64)/GCD(MOD(ROUND(B63*64,0),64),64)&amp;"/"&amp;64/GCD(MOD(ROUND(B63*64,0),64),64),IF(ROUND(B63*64,0)=0,"0",""))&amp;""""))</f>
        <v>3 13/16"</v>
      </c>
      <c r="B63" s="48" t="n">
        <f aca="false">61/16</f>
        <v>3.8125</v>
      </c>
      <c r="C63" s="49" t="n">
        <f aca="false">B63*25.4</f>
        <v>96.8375</v>
      </c>
      <c r="D63" s="50" t="n">
        <f aca="false">B63/2</f>
        <v>1.90625</v>
      </c>
      <c r="E63" s="49" t="n">
        <f aca="false">C63/2</f>
        <v>48.41875</v>
      </c>
    </row>
    <row r="64" customFormat="false" ht="15" hidden="false" customHeight="false" outlineLevel="0" collapsed="false">
      <c r="A64" s="51" t="str">
        <f aca="false">IF(NOT(ISNUMBER(B64)),"",IF(B64&lt;=0,"",IF(ABS(B64*64-ROUND(B64*64,0))&gt;0.0005,"≈ ","")&amp;IF(INT(ROUND(B64*64,0)/64)&gt;0,INT(ROUND(B64*64,0)/64)&amp;IF(MOD(ROUND(B64*64,0),64)&gt;0," ",""),"")&amp;IF(MOD(ROUND(B64*64,0),64)&gt;0,MOD(ROUND(B64*64,0),64)/GCD(MOD(ROUND(B64*64,0),64),64)&amp;"/"&amp;64/GCD(MOD(ROUND(B64*64,0),64),64),IF(ROUND(B64*64,0)=0,"0",""))&amp;""""))</f>
        <v>3 7/8"</v>
      </c>
      <c r="B64" s="52" t="n">
        <f aca="false">62/16</f>
        <v>3.875</v>
      </c>
      <c r="C64" s="53" t="n">
        <f aca="false">B64*25.4</f>
        <v>98.425</v>
      </c>
      <c r="D64" s="54" t="n">
        <f aca="false">B64/2</f>
        <v>1.9375</v>
      </c>
      <c r="E64" s="53" t="n">
        <f aca="false">C64/2</f>
        <v>49.2125</v>
      </c>
    </row>
    <row r="65" customFormat="false" ht="15" hidden="false" customHeight="false" outlineLevel="0" collapsed="false">
      <c r="A65" s="30" t="str">
        <f aca="false">IF(NOT(ISNUMBER(B65)),"",IF(B65&lt;=0,"",IF(ABS(B65*64-ROUND(B65*64,0))&gt;0.0005,"≈ ","")&amp;IF(INT(ROUND(B65*64,0)/64)&gt;0,INT(ROUND(B65*64,0)/64)&amp;IF(MOD(ROUND(B65*64,0),64)&gt;0," ",""),"")&amp;IF(MOD(ROUND(B65*64,0),64)&gt;0,MOD(ROUND(B65*64,0),64)/GCD(MOD(ROUND(B65*64,0),64),64)&amp;"/"&amp;64/GCD(MOD(ROUND(B65*64,0),64),64),IF(ROUND(B65*64,0)=0,"0",""))&amp;""""))</f>
        <v>3 15/16"</v>
      </c>
      <c r="B65" s="48" t="n">
        <f aca="false">63/16</f>
        <v>3.9375</v>
      </c>
      <c r="C65" s="49" t="n">
        <f aca="false">B65*25.4</f>
        <v>100.0125</v>
      </c>
      <c r="D65" s="50" t="n">
        <f aca="false">B65/2</f>
        <v>1.96875</v>
      </c>
      <c r="E65" s="49" t="n">
        <f aca="false">C65/2</f>
        <v>50.00625</v>
      </c>
    </row>
    <row r="66" customFormat="false" ht="15" hidden="false" customHeight="false" outlineLevel="0" collapsed="false">
      <c r="A66" s="51" t="str">
        <f aca="false">IF(NOT(ISNUMBER(B66)),"",IF(B66&lt;=0,"",IF(ABS(B66*64-ROUND(B66*64,0))&gt;0.0005,"≈ ","")&amp;IF(INT(ROUND(B66*64,0)/64)&gt;0,INT(ROUND(B66*64,0)/64)&amp;IF(MOD(ROUND(B66*64,0),64)&gt;0," ",""),"")&amp;IF(MOD(ROUND(B66*64,0),64)&gt;0,MOD(ROUND(B66*64,0),64)/GCD(MOD(ROUND(B66*64,0),64),64)&amp;"/"&amp;64/GCD(MOD(ROUND(B66*64,0),64),64),IF(ROUND(B66*64,0)=0,"0",""))&amp;""""))</f>
        <v>4"</v>
      </c>
      <c r="B66" s="52" t="n">
        <f aca="false">64/16</f>
        <v>4</v>
      </c>
      <c r="C66" s="53" t="n">
        <f aca="false">B66*25.4</f>
        <v>101.6</v>
      </c>
      <c r="D66" s="54" t="n">
        <f aca="false">B66/2</f>
        <v>2</v>
      </c>
      <c r="E66" s="53" t="n">
        <f aca="false">C66/2</f>
        <v>50.8</v>
      </c>
    </row>
  </sheetData>
  <conditionalFormatting sqref="A3:E66">
    <cfRule type="expression" priority="2" aboveAverage="0" equalAverage="0" bottom="0" percent="0" rank="0" text="" dxfId="7">
      <formula>AND(Calcul!$C$13=16,ABS($B3-Convertisseur!$C$14)&lt;0.000001)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5"/>
  </cols>
  <sheetData>
    <row r="1" customFormat="false" ht="16.15" hidden="false" customHeight="false" outlineLevel="0" collapsed="false">
      <c r="A1" s="47" t="s">
        <v>643</v>
      </c>
    </row>
    <row r="2" customFormat="false" ht="15" hidden="false" customHeight="false" outlineLevel="0" collapsed="false">
      <c r="A2" s="12" t="s">
        <v>6</v>
      </c>
      <c r="B2" s="12" t="s">
        <v>18</v>
      </c>
      <c r="C2" s="12" t="s">
        <v>19</v>
      </c>
      <c r="D2" s="12" t="s">
        <v>20</v>
      </c>
      <c r="E2" s="12" t="s">
        <v>21</v>
      </c>
    </row>
    <row r="3" customFormat="false" ht="15" hidden="false" customHeight="false" outlineLevel="0" collapsed="false">
      <c r="A3" s="30" t="str">
        <f aca="false">IF(NOT(ISNUMBER(B3)),"",IF(B3&lt;=0,"",IF(ABS(B3*64-ROUND(B3*64,0))&gt;0.0005,"≈ ","")&amp;IF(INT(ROUND(B3*64,0)/64)&gt;0,INT(ROUND(B3*64,0)/64)&amp;IF(MOD(ROUND(B3*64,0),64)&gt;0," ",""),"")&amp;IF(MOD(ROUND(B3*64,0),64)&gt;0,MOD(ROUND(B3*64,0),64)/GCD(MOD(ROUND(B3*64,0),64),64)&amp;"/"&amp;64/GCD(MOD(ROUND(B3*64,0),64),64),IF(ROUND(B3*64,0)=0,"0",""))&amp;""""))</f>
        <v>1/32"</v>
      </c>
      <c r="B3" s="48" t="n">
        <f aca="false">1/32</f>
        <v>0.03125</v>
      </c>
      <c r="C3" s="49" t="n">
        <f aca="false">B3*25.4</f>
        <v>0.79375</v>
      </c>
      <c r="D3" s="50" t="n">
        <f aca="false">B3/2</f>
        <v>0.015625</v>
      </c>
      <c r="E3" s="49" t="n">
        <f aca="false">C3/2</f>
        <v>0.396875</v>
      </c>
    </row>
    <row r="4" customFormat="false" ht="15" hidden="false" customHeight="false" outlineLevel="0" collapsed="false">
      <c r="A4" s="51" t="str">
        <f aca="false">IF(NOT(ISNUMBER(B4)),"",IF(B4&lt;=0,"",IF(ABS(B4*64-ROUND(B4*64,0))&gt;0.0005,"≈ ","")&amp;IF(INT(ROUND(B4*64,0)/64)&gt;0,INT(ROUND(B4*64,0)/64)&amp;IF(MOD(ROUND(B4*64,0),64)&gt;0," ",""),"")&amp;IF(MOD(ROUND(B4*64,0),64)&gt;0,MOD(ROUND(B4*64,0),64)/GCD(MOD(ROUND(B4*64,0),64),64)&amp;"/"&amp;64/GCD(MOD(ROUND(B4*64,0),64),64),IF(ROUND(B4*64,0)=0,"0",""))&amp;""""))</f>
        <v>1/16"</v>
      </c>
      <c r="B4" s="52" t="n">
        <f aca="false">2/32</f>
        <v>0.0625</v>
      </c>
      <c r="C4" s="53" t="n">
        <f aca="false">B4*25.4</f>
        <v>1.5875</v>
      </c>
      <c r="D4" s="54" t="n">
        <f aca="false">B4/2</f>
        <v>0.03125</v>
      </c>
      <c r="E4" s="53" t="n">
        <f aca="false">C4/2</f>
        <v>0.79375</v>
      </c>
    </row>
    <row r="5" customFormat="false" ht="15" hidden="false" customHeight="false" outlineLevel="0" collapsed="false">
      <c r="A5" s="30" t="str">
        <f aca="false">IF(NOT(ISNUMBER(B5)),"",IF(B5&lt;=0,"",IF(ABS(B5*64-ROUND(B5*64,0))&gt;0.0005,"≈ ","")&amp;IF(INT(ROUND(B5*64,0)/64)&gt;0,INT(ROUND(B5*64,0)/64)&amp;IF(MOD(ROUND(B5*64,0),64)&gt;0," ",""),"")&amp;IF(MOD(ROUND(B5*64,0),64)&gt;0,MOD(ROUND(B5*64,0),64)/GCD(MOD(ROUND(B5*64,0),64),64)&amp;"/"&amp;64/GCD(MOD(ROUND(B5*64,0),64),64),IF(ROUND(B5*64,0)=0,"0",""))&amp;""""))</f>
        <v>3/32"</v>
      </c>
      <c r="B5" s="48" t="n">
        <f aca="false">3/32</f>
        <v>0.09375</v>
      </c>
      <c r="C5" s="49" t="n">
        <f aca="false">B5*25.4</f>
        <v>2.38125</v>
      </c>
      <c r="D5" s="50" t="n">
        <f aca="false">B5/2</f>
        <v>0.046875</v>
      </c>
      <c r="E5" s="49" t="n">
        <f aca="false">C5/2</f>
        <v>1.190625</v>
      </c>
    </row>
    <row r="6" customFormat="false" ht="15" hidden="false" customHeight="false" outlineLevel="0" collapsed="false">
      <c r="A6" s="51" t="str">
        <f aca="false">IF(NOT(ISNUMBER(B6)),"",IF(B6&lt;=0,"",IF(ABS(B6*64-ROUND(B6*64,0))&gt;0.0005,"≈ ","")&amp;IF(INT(ROUND(B6*64,0)/64)&gt;0,INT(ROUND(B6*64,0)/64)&amp;IF(MOD(ROUND(B6*64,0),64)&gt;0," ",""),"")&amp;IF(MOD(ROUND(B6*64,0),64)&gt;0,MOD(ROUND(B6*64,0),64)/GCD(MOD(ROUND(B6*64,0),64),64)&amp;"/"&amp;64/GCD(MOD(ROUND(B6*64,0),64),64),IF(ROUND(B6*64,0)=0,"0",""))&amp;""""))</f>
        <v>1/8"</v>
      </c>
      <c r="B6" s="52" t="n">
        <f aca="false">4/32</f>
        <v>0.125</v>
      </c>
      <c r="C6" s="53" t="n">
        <f aca="false">B6*25.4</f>
        <v>3.175</v>
      </c>
      <c r="D6" s="54" t="n">
        <f aca="false">B6/2</f>
        <v>0.0625</v>
      </c>
      <c r="E6" s="53" t="n">
        <f aca="false">C6/2</f>
        <v>1.5875</v>
      </c>
    </row>
    <row r="7" customFormat="false" ht="15" hidden="false" customHeight="false" outlineLevel="0" collapsed="false">
      <c r="A7" s="30" t="str">
        <f aca="false">IF(NOT(ISNUMBER(B7)),"",IF(B7&lt;=0,"",IF(ABS(B7*64-ROUND(B7*64,0))&gt;0.0005,"≈ ","")&amp;IF(INT(ROUND(B7*64,0)/64)&gt;0,INT(ROUND(B7*64,0)/64)&amp;IF(MOD(ROUND(B7*64,0),64)&gt;0," ",""),"")&amp;IF(MOD(ROUND(B7*64,0),64)&gt;0,MOD(ROUND(B7*64,0),64)/GCD(MOD(ROUND(B7*64,0),64),64)&amp;"/"&amp;64/GCD(MOD(ROUND(B7*64,0),64),64),IF(ROUND(B7*64,0)=0,"0",""))&amp;""""))</f>
        <v>5/32"</v>
      </c>
      <c r="B7" s="48" t="n">
        <f aca="false">5/32</f>
        <v>0.15625</v>
      </c>
      <c r="C7" s="49" t="n">
        <f aca="false">B7*25.4</f>
        <v>3.96875</v>
      </c>
      <c r="D7" s="50" t="n">
        <f aca="false">B7/2</f>
        <v>0.078125</v>
      </c>
      <c r="E7" s="49" t="n">
        <f aca="false">C7/2</f>
        <v>1.984375</v>
      </c>
    </row>
    <row r="8" customFormat="false" ht="15" hidden="false" customHeight="false" outlineLevel="0" collapsed="false">
      <c r="A8" s="51" t="str">
        <f aca="false">IF(NOT(ISNUMBER(B8)),"",IF(B8&lt;=0,"",IF(ABS(B8*64-ROUND(B8*64,0))&gt;0.0005,"≈ ","")&amp;IF(INT(ROUND(B8*64,0)/64)&gt;0,INT(ROUND(B8*64,0)/64)&amp;IF(MOD(ROUND(B8*64,0),64)&gt;0," ",""),"")&amp;IF(MOD(ROUND(B8*64,0),64)&gt;0,MOD(ROUND(B8*64,0),64)/GCD(MOD(ROUND(B8*64,0),64),64)&amp;"/"&amp;64/GCD(MOD(ROUND(B8*64,0),64),64),IF(ROUND(B8*64,0)=0,"0",""))&amp;""""))</f>
        <v>3/16"</v>
      </c>
      <c r="B8" s="52" t="n">
        <f aca="false">6/32</f>
        <v>0.1875</v>
      </c>
      <c r="C8" s="53" t="n">
        <f aca="false">B8*25.4</f>
        <v>4.7625</v>
      </c>
      <c r="D8" s="54" t="n">
        <f aca="false">B8/2</f>
        <v>0.09375</v>
      </c>
      <c r="E8" s="53" t="n">
        <f aca="false">C8/2</f>
        <v>2.38125</v>
      </c>
    </row>
    <row r="9" customFormat="false" ht="15" hidden="false" customHeight="false" outlineLevel="0" collapsed="false">
      <c r="A9" s="30" t="str">
        <f aca="false">IF(NOT(ISNUMBER(B9)),"",IF(B9&lt;=0,"",IF(ABS(B9*64-ROUND(B9*64,0))&gt;0.0005,"≈ ","")&amp;IF(INT(ROUND(B9*64,0)/64)&gt;0,INT(ROUND(B9*64,0)/64)&amp;IF(MOD(ROUND(B9*64,0),64)&gt;0," ",""),"")&amp;IF(MOD(ROUND(B9*64,0),64)&gt;0,MOD(ROUND(B9*64,0),64)/GCD(MOD(ROUND(B9*64,0),64),64)&amp;"/"&amp;64/GCD(MOD(ROUND(B9*64,0),64),64),IF(ROUND(B9*64,0)=0,"0",""))&amp;""""))</f>
        <v>7/32"</v>
      </c>
      <c r="B9" s="48" t="n">
        <f aca="false">7/32</f>
        <v>0.21875</v>
      </c>
      <c r="C9" s="49" t="n">
        <f aca="false">B9*25.4</f>
        <v>5.55625</v>
      </c>
      <c r="D9" s="50" t="n">
        <f aca="false">B9/2</f>
        <v>0.109375</v>
      </c>
      <c r="E9" s="49" t="n">
        <f aca="false">C9/2</f>
        <v>2.778125</v>
      </c>
    </row>
    <row r="10" customFormat="false" ht="15" hidden="false" customHeight="false" outlineLevel="0" collapsed="false">
      <c r="A10" s="51" t="str">
        <f aca="false">IF(NOT(ISNUMBER(B10)),"",IF(B10&lt;=0,"",IF(ABS(B10*64-ROUND(B10*64,0))&gt;0.0005,"≈ ","")&amp;IF(INT(ROUND(B10*64,0)/64)&gt;0,INT(ROUND(B10*64,0)/64)&amp;IF(MOD(ROUND(B10*64,0),64)&gt;0," ",""),"")&amp;IF(MOD(ROUND(B10*64,0),64)&gt;0,MOD(ROUND(B10*64,0),64)/GCD(MOD(ROUND(B10*64,0),64),64)&amp;"/"&amp;64/GCD(MOD(ROUND(B10*64,0),64),64),IF(ROUND(B10*64,0)=0,"0",""))&amp;""""))</f>
        <v>1/4"</v>
      </c>
      <c r="B10" s="52" t="n">
        <f aca="false">8/32</f>
        <v>0.25</v>
      </c>
      <c r="C10" s="53" t="n">
        <f aca="false">B10*25.4</f>
        <v>6.35</v>
      </c>
      <c r="D10" s="54" t="n">
        <f aca="false">B10/2</f>
        <v>0.125</v>
      </c>
      <c r="E10" s="53" t="n">
        <f aca="false">C10/2</f>
        <v>3.175</v>
      </c>
    </row>
    <row r="11" customFormat="false" ht="15" hidden="false" customHeight="false" outlineLevel="0" collapsed="false">
      <c r="A11" s="30" t="str">
        <f aca="false">IF(NOT(ISNUMBER(B11)),"",IF(B11&lt;=0,"",IF(ABS(B11*64-ROUND(B11*64,0))&gt;0.0005,"≈ ","")&amp;IF(INT(ROUND(B11*64,0)/64)&gt;0,INT(ROUND(B11*64,0)/64)&amp;IF(MOD(ROUND(B11*64,0),64)&gt;0," ",""),"")&amp;IF(MOD(ROUND(B11*64,0),64)&gt;0,MOD(ROUND(B11*64,0),64)/GCD(MOD(ROUND(B11*64,0),64),64)&amp;"/"&amp;64/GCD(MOD(ROUND(B11*64,0),64),64),IF(ROUND(B11*64,0)=0,"0",""))&amp;""""))</f>
        <v>9/32"</v>
      </c>
      <c r="B11" s="48" t="n">
        <f aca="false">9/32</f>
        <v>0.28125</v>
      </c>
      <c r="C11" s="49" t="n">
        <f aca="false">B11*25.4</f>
        <v>7.14375</v>
      </c>
      <c r="D11" s="50" t="n">
        <f aca="false">B11/2</f>
        <v>0.140625</v>
      </c>
      <c r="E11" s="49" t="n">
        <f aca="false">C11/2</f>
        <v>3.571875</v>
      </c>
    </row>
    <row r="12" customFormat="false" ht="15" hidden="false" customHeight="false" outlineLevel="0" collapsed="false">
      <c r="A12" s="51" t="str">
        <f aca="false">IF(NOT(ISNUMBER(B12)),"",IF(B12&lt;=0,"",IF(ABS(B12*64-ROUND(B12*64,0))&gt;0.0005,"≈ ","")&amp;IF(INT(ROUND(B12*64,0)/64)&gt;0,INT(ROUND(B12*64,0)/64)&amp;IF(MOD(ROUND(B12*64,0),64)&gt;0," ",""),"")&amp;IF(MOD(ROUND(B12*64,0),64)&gt;0,MOD(ROUND(B12*64,0),64)/GCD(MOD(ROUND(B12*64,0),64),64)&amp;"/"&amp;64/GCD(MOD(ROUND(B12*64,0),64),64),IF(ROUND(B12*64,0)=0,"0",""))&amp;""""))</f>
        <v>5/16"</v>
      </c>
      <c r="B12" s="52" t="n">
        <f aca="false">10/32</f>
        <v>0.3125</v>
      </c>
      <c r="C12" s="53" t="n">
        <f aca="false">B12*25.4</f>
        <v>7.9375</v>
      </c>
      <c r="D12" s="54" t="n">
        <f aca="false">B12/2</f>
        <v>0.15625</v>
      </c>
      <c r="E12" s="53" t="n">
        <f aca="false">C12/2</f>
        <v>3.96875</v>
      </c>
    </row>
    <row r="13" customFormat="false" ht="15" hidden="false" customHeight="false" outlineLevel="0" collapsed="false">
      <c r="A13" s="30" t="str">
        <f aca="false">IF(NOT(ISNUMBER(B13)),"",IF(B13&lt;=0,"",IF(ABS(B13*64-ROUND(B13*64,0))&gt;0.0005,"≈ ","")&amp;IF(INT(ROUND(B13*64,0)/64)&gt;0,INT(ROUND(B13*64,0)/64)&amp;IF(MOD(ROUND(B13*64,0),64)&gt;0," ",""),"")&amp;IF(MOD(ROUND(B13*64,0),64)&gt;0,MOD(ROUND(B13*64,0),64)/GCD(MOD(ROUND(B13*64,0),64),64)&amp;"/"&amp;64/GCD(MOD(ROUND(B13*64,0),64),64),IF(ROUND(B13*64,0)=0,"0",""))&amp;""""))</f>
        <v>11/32"</v>
      </c>
      <c r="B13" s="48" t="n">
        <f aca="false">11/32</f>
        <v>0.34375</v>
      </c>
      <c r="C13" s="49" t="n">
        <f aca="false">B13*25.4</f>
        <v>8.73125</v>
      </c>
      <c r="D13" s="50" t="n">
        <f aca="false">B13/2</f>
        <v>0.171875</v>
      </c>
      <c r="E13" s="49" t="n">
        <f aca="false">C13/2</f>
        <v>4.365625</v>
      </c>
    </row>
    <row r="14" customFormat="false" ht="15" hidden="false" customHeight="false" outlineLevel="0" collapsed="false">
      <c r="A14" s="51" t="str">
        <f aca="false">IF(NOT(ISNUMBER(B14)),"",IF(B14&lt;=0,"",IF(ABS(B14*64-ROUND(B14*64,0))&gt;0.0005,"≈ ","")&amp;IF(INT(ROUND(B14*64,0)/64)&gt;0,INT(ROUND(B14*64,0)/64)&amp;IF(MOD(ROUND(B14*64,0),64)&gt;0," ",""),"")&amp;IF(MOD(ROUND(B14*64,0),64)&gt;0,MOD(ROUND(B14*64,0),64)/GCD(MOD(ROUND(B14*64,0),64),64)&amp;"/"&amp;64/GCD(MOD(ROUND(B14*64,0),64),64),IF(ROUND(B14*64,0)=0,"0",""))&amp;""""))</f>
        <v>3/8"</v>
      </c>
      <c r="B14" s="52" t="n">
        <f aca="false">12/32</f>
        <v>0.375</v>
      </c>
      <c r="C14" s="53" t="n">
        <f aca="false">B14*25.4</f>
        <v>9.525</v>
      </c>
      <c r="D14" s="54" t="n">
        <f aca="false">B14/2</f>
        <v>0.1875</v>
      </c>
      <c r="E14" s="53" t="n">
        <f aca="false">C14/2</f>
        <v>4.7625</v>
      </c>
    </row>
    <row r="15" customFormat="false" ht="15" hidden="false" customHeight="false" outlineLevel="0" collapsed="false">
      <c r="A15" s="30" t="str">
        <f aca="false">IF(NOT(ISNUMBER(B15)),"",IF(B15&lt;=0,"",IF(ABS(B15*64-ROUND(B15*64,0))&gt;0.0005,"≈ ","")&amp;IF(INT(ROUND(B15*64,0)/64)&gt;0,INT(ROUND(B15*64,0)/64)&amp;IF(MOD(ROUND(B15*64,0),64)&gt;0," ",""),"")&amp;IF(MOD(ROUND(B15*64,0),64)&gt;0,MOD(ROUND(B15*64,0),64)/GCD(MOD(ROUND(B15*64,0),64),64)&amp;"/"&amp;64/GCD(MOD(ROUND(B15*64,0),64),64),IF(ROUND(B15*64,0)=0,"0",""))&amp;""""))</f>
        <v>13/32"</v>
      </c>
      <c r="B15" s="48" t="n">
        <f aca="false">13/32</f>
        <v>0.40625</v>
      </c>
      <c r="C15" s="49" t="n">
        <f aca="false">B15*25.4</f>
        <v>10.31875</v>
      </c>
      <c r="D15" s="50" t="n">
        <f aca="false">B15/2</f>
        <v>0.203125</v>
      </c>
      <c r="E15" s="49" t="n">
        <f aca="false">C15/2</f>
        <v>5.159375</v>
      </c>
    </row>
    <row r="16" customFormat="false" ht="15" hidden="false" customHeight="false" outlineLevel="0" collapsed="false">
      <c r="A16" s="51" t="str">
        <f aca="false">IF(NOT(ISNUMBER(B16)),"",IF(B16&lt;=0,"",IF(ABS(B16*64-ROUND(B16*64,0))&gt;0.0005,"≈ ","")&amp;IF(INT(ROUND(B16*64,0)/64)&gt;0,INT(ROUND(B16*64,0)/64)&amp;IF(MOD(ROUND(B16*64,0),64)&gt;0," ",""),"")&amp;IF(MOD(ROUND(B16*64,0),64)&gt;0,MOD(ROUND(B16*64,0),64)/GCD(MOD(ROUND(B16*64,0),64),64)&amp;"/"&amp;64/GCD(MOD(ROUND(B16*64,0),64),64),IF(ROUND(B16*64,0)=0,"0",""))&amp;""""))</f>
        <v>7/16"</v>
      </c>
      <c r="B16" s="52" t="n">
        <f aca="false">14/32</f>
        <v>0.4375</v>
      </c>
      <c r="C16" s="53" t="n">
        <f aca="false">B16*25.4</f>
        <v>11.1125</v>
      </c>
      <c r="D16" s="54" t="n">
        <f aca="false">B16/2</f>
        <v>0.21875</v>
      </c>
      <c r="E16" s="53" t="n">
        <f aca="false">C16/2</f>
        <v>5.55625</v>
      </c>
    </row>
    <row r="17" customFormat="false" ht="15" hidden="false" customHeight="false" outlineLevel="0" collapsed="false">
      <c r="A17" s="30" t="str">
        <f aca="false">IF(NOT(ISNUMBER(B17)),"",IF(B17&lt;=0,"",IF(ABS(B17*64-ROUND(B17*64,0))&gt;0.0005,"≈ ","")&amp;IF(INT(ROUND(B17*64,0)/64)&gt;0,INT(ROUND(B17*64,0)/64)&amp;IF(MOD(ROUND(B17*64,0),64)&gt;0," ",""),"")&amp;IF(MOD(ROUND(B17*64,0),64)&gt;0,MOD(ROUND(B17*64,0),64)/GCD(MOD(ROUND(B17*64,0),64),64)&amp;"/"&amp;64/GCD(MOD(ROUND(B17*64,0),64),64),IF(ROUND(B17*64,0)=0,"0",""))&amp;""""))</f>
        <v>15/32"</v>
      </c>
      <c r="B17" s="48" t="n">
        <f aca="false">15/32</f>
        <v>0.46875</v>
      </c>
      <c r="C17" s="49" t="n">
        <f aca="false">B17*25.4</f>
        <v>11.90625</v>
      </c>
      <c r="D17" s="50" t="n">
        <f aca="false">B17/2</f>
        <v>0.234375</v>
      </c>
      <c r="E17" s="49" t="n">
        <f aca="false">C17/2</f>
        <v>5.953125</v>
      </c>
    </row>
    <row r="18" customFormat="false" ht="15" hidden="false" customHeight="false" outlineLevel="0" collapsed="false">
      <c r="A18" s="51" t="str">
        <f aca="false">IF(NOT(ISNUMBER(B18)),"",IF(B18&lt;=0,"",IF(ABS(B18*64-ROUND(B18*64,0))&gt;0.0005,"≈ ","")&amp;IF(INT(ROUND(B18*64,0)/64)&gt;0,INT(ROUND(B18*64,0)/64)&amp;IF(MOD(ROUND(B18*64,0),64)&gt;0," ",""),"")&amp;IF(MOD(ROUND(B18*64,0),64)&gt;0,MOD(ROUND(B18*64,0),64)/GCD(MOD(ROUND(B18*64,0),64),64)&amp;"/"&amp;64/GCD(MOD(ROUND(B18*64,0),64),64),IF(ROUND(B18*64,0)=0,"0",""))&amp;""""))</f>
        <v>1/2"</v>
      </c>
      <c r="B18" s="52" t="n">
        <f aca="false">16/32</f>
        <v>0.5</v>
      </c>
      <c r="C18" s="53" t="n">
        <f aca="false">B18*25.4</f>
        <v>12.7</v>
      </c>
      <c r="D18" s="54" t="n">
        <f aca="false">B18/2</f>
        <v>0.25</v>
      </c>
      <c r="E18" s="53" t="n">
        <f aca="false">C18/2</f>
        <v>6.35</v>
      </c>
    </row>
    <row r="19" customFormat="false" ht="15" hidden="false" customHeight="false" outlineLevel="0" collapsed="false">
      <c r="A19" s="30" t="str">
        <f aca="false">IF(NOT(ISNUMBER(B19)),"",IF(B19&lt;=0,"",IF(ABS(B19*64-ROUND(B19*64,0))&gt;0.0005,"≈ ","")&amp;IF(INT(ROUND(B19*64,0)/64)&gt;0,INT(ROUND(B19*64,0)/64)&amp;IF(MOD(ROUND(B19*64,0),64)&gt;0," ",""),"")&amp;IF(MOD(ROUND(B19*64,0),64)&gt;0,MOD(ROUND(B19*64,0),64)/GCD(MOD(ROUND(B19*64,0),64),64)&amp;"/"&amp;64/GCD(MOD(ROUND(B19*64,0),64),64),IF(ROUND(B19*64,0)=0,"0",""))&amp;""""))</f>
        <v>17/32"</v>
      </c>
      <c r="B19" s="48" t="n">
        <f aca="false">17/32</f>
        <v>0.53125</v>
      </c>
      <c r="C19" s="49" t="n">
        <f aca="false">B19*25.4</f>
        <v>13.49375</v>
      </c>
      <c r="D19" s="50" t="n">
        <f aca="false">B19/2</f>
        <v>0.265625</v>
      </c>
      <c r="E19" s="49" t="n">
        <f aca="false">C19/2</f>
        <v>6.746875</v>
      </c>
    </row>
    <row r="20" customFormat="false" ht="15" hidden="false" customHeight="false" outlineLevel="0" collapsed="false">
      <c r="A20" s="51" t="str">
        <f aca="false">IF(NOT(ISNUMBER(B20)),"",IF(B20&lt;=0,"",IF(ABS(B20*64-ROUND(B20*64,0))&gt;0.0005,"≈ ","")&amp;IF(INT(ROUND(B20*64,0)/64)&gt;0,INT(ROUND(B20*64,0)/64)&amp;IF(MOD(ROUND(B20*64,0),64)&gt;0," ",""),"")&amp;IF(MOD(ROUND(B20*64,0),64)&gt;0,MOD(ROUND(B20*64,0),64)/GCD(MOD(ROUND(B20*64,0),64),64)&amp;"/"&amp;64/GCD(MOD(ROUND(B20*64,0),64),64),IF(ROUND(B20*64,0)=0,"0",""))&amp;""""))</f>
        <v>9/16"</v>
      </c>
      <c r="B20" s="52" t="n">
        <f aca="false">18/32</f>
        <v>0.5625</v>
      </c>
      <c r="C20" s="53" t="n">
        <f aca="false">B20*25.4</f>
        <v>14.2875</v>
      </c>
      <c r="D20" s="54" t="n">
        <f aca="false">B20/2</f>
        <v>0.28125</v>
      </c>
      <c r="E20" s="53" t="n">
        <f aca="false">C20/2</f>
        <v>7.14375</v>
      </c>
    </row>
    <row r="21" customFormat="false" ht="15" hidden="false" customHeight="false" outlineLevel="0" collapsed="false">
      <c r="A21" s="30" t="str">
        <f aca="false">IF(NOT(ISNUMBER(B21)),"",IF(B21&lt;=0,"",IF(ABS(B21*64-ROUND(B21*64,0))&gt;0.0005,"≈ ","")&amp;IF(INT(ROUND(B21*64,0)/64)&gt;0,INT(ROUND(B21*64,0)/64)&amp;IF(MOD(ROUND(B21*64,0),64)&gt;0," ",""),"")&amp;IF(MOD(ROUND(B21*64,0),64)&gt;0,MOD(ROUND(B21*64,0),64)/GCD(MOD(ROUND(B21*64,0),64),64)&amp;"/"&amp;64/GCD(MOD(ROUND(B21*64,0),64),64),IF(ROUND(B21*64,0)=0,"0",""))&amp;""""))</f>
        <v>19/32"</v>
      </c>
      <c r="B21" s="48" t="n">
        <f aca="false">19/32</f>
        <v>0.59375</v>
      </c>
      <c r="C21" s="49" t="n">
        <f aca="false">B21*25.4</f>
        <v>15.08125</v>
      </c>
      <c r="D21" s="50" t="n">
        <f aca="false">B21/2</f>
        <v>0.296875</v>
      </c>
      <c r="E21" s="49" t="n">
        <f aca="false">C21/2</f>
        <v>7.540625</v>
      </c>
    </row>
    <row r="22" customFormat="false" ht="15" hidden="false" customHeight="false" outlineLevel="0" collapsed="false">
      <c r="A22" s="51" t="str">
        <f aca="false">IF(NOT(ISNUMBER(B22)),"",IF(B22&lt;=0,"",IF(ABS(B22*64-ROUND(B22*64,0))&gt;0.0005,"≈ ","")&amp;IF(INT(ROUND(B22*64,0)/64)&gt;0,INT(ROUND(B22*64,0)/64)&amp;IF(MOD(ROUND(B22*64,0),64)&gt;0," ",""),"")&amp;IF(MOD(ROUND(B22*64,0),64)&gt;0,MOD(ROUND(B22*64,0),64)/GCD(MOD(ROUND(B22*64,0),64),64)&amp;"/"&amp;64/GCD(MOD(ROUND(B22*64,0),64),64),IF(ROUND(B22*64,0)=0,"0",""))&amp;""""))</f>
        <v>5/8"</v>
      </c>
      <c r="B22" s="52" t="n">
        <f aca="false">20/32</f>
        <v>0.625</v>
      </c>
      <c r="C22" s="53" t="n">
        <f aca="false">B22*25.4</f>
        <v>15.875</v>
      </c>
      <c r="D22" s="54" t="n">
        <f aca="false">B22/2</f>
        <v>0.3125</v>
      </c>
      <c r="E22" s="53" t="n">
        <f aca="false">C22/2</f>
        <v>7.9375</v>
      </c>
    </row>
    <row r="23" customFormat="false" ht="15" hidden="false" customHeight="false" outlineLevel="0" collapsed="false">
      <c r="A23" s="30" t="str">
        <f aca="false">IF(NOT(ISNUMBER(B23)),"",IF(B23&lt;=0,"",IF(ABS(B23*64-ROUND(B23*64,0))&gt;0.0005,"≈ ","")&amp;IF(INT(ROUND(B23*64,0)/64)&gt;0,INT(ROUND(B23*64,0)/64)&amp;IF(MOD(ROUND(B23*64,0),64)&gt;0," ",""),"")&amp;IF(MOD(ROUND(B23*64,0),64)&gt;0,MOD(ROUND(B23*64,0),64)/GCD(MOD(ROUND(B23*64,0),64),64)&amp;"/"&amp;64/GCD(MOD(ROUND(B23*64,0),64),64),IF(ROUND(B23*64,0)=0,"0",""))&amp;""""))</f>
        <v>21/32"</v>
      </c>
      <c r="B23" s="48" t="n">
        <f aca="false">21/32</f>
        <v>0.65625</v>
      </c>
      <c r="C23" s="49" t="n">
        <f aca="false">B23*25.4</f>
        <v>16.66875</v>
      </c>
      <c r="D23" s="50" t="n">
        <f aca="false">B23/2</f>
        <v>0.328125</v>
      </c>
      <c r="E23" s="49" t="n">
        <f aca="false">C23/2</f>
        <v>8.334375</v>
      </c>
    </row>
    <row r="24" customFormat="false" ht="15" hidden="false" customHeight="false" outlineLevel="0" collapsed="false">
      <c r="A24" s="51" t="str">
        <f aca="false">IF(NOT(ISNUMBER(B24)),"",IF(B24&lt;=0,"",IF(ABS(B24*64-ROUND(B24*64,0))&gt;0.0005,"≈ ","")&amp;IF(INT(ROUND(B24*64,0)/64)&gt;0,INT(ROUND(B24*64,0)/64)&amp;IF(MOD(ROUND(B24*64,0),64)&gt;0," ",""),"")&amp;IF(MOD(ROUND(B24*64,0),64)&gt;0,MOD(ROUND(B24*64,0),64)/GCD(MOD(ROUND(B24*64,0),64),64)&amp;"/"&amp;64/GCD(MOD(ROUND(B24*64,0),64),64),IF(ROUND(B24*64,0)=0,"0",""))&amp;""""))</f>
        <v>11/16"</v>
      </c>
      <c r="B24" s="52" t="n">
        <f aca="false">22/32</f>
        <v>0.6875</v>
      </c>
      <c r="C24" s="53" t="n">
        <f aca="false">B24*25.4</f>
        <v>17.4625</v>
      </c>
      <c r="D24" s="54" t="n">
        <f aca="false">B24/2</f>
        <v>0.34375</v>
      </c>
      <c r="E24" s="53" t="n">
        <f aca="false">C24/2</f>
        <v>8.73125</v>
      </c>
    </row>
    <row r="25" customFormat="false" ht="15" hidden="false" customHeight="false" outlineLevel="0" collapsed="false">
      <c r="A25" s="30" t="str">
        <f aca="false">IF(NOT(ISNUMBER(B25)),"",IF(B25&lt;=0,"",IF(ABS(B25*64-ROUND(B25*64,0))&gt;0.0005,"≈ ","")&amp;IF(INT(ROUND(B25*64,0)/64)&gt;0,INT(ROUND(B25*64,0)/64)&amp;IF(MOD(ROUND(B25*64,0),64)&gt;0," ",""),"")&amp;IF(MOD(ROUND(B25*64,0),64)&gt;0,MOD(ROUND(B25*64,0),64)/GCD(MOD(ROUND(B25*64,0),64),64)&amp;"/"&amp;64/GCD(MOD(ROUND(B25*64,0),64),64),IF(ROUND(B25*64,0)=0,"0",""))&amp;""""))</f>
        <v>23/32"</v>
      </c>
      <c r="B25" s="48" t="n">
        <f aca="false">23/32</f>
        <v>0.71875</v>
      </c>
      <c r="C25" s="49" t="n">
        <f aca="false">B25*25.4</f>
        <v>18.25625</v>
      </c>
      <c r="D25" s="50" t="n">
        <f aca="false">B25/2</f>
        <v>0.359375</v>
      </c>
      <c r="E25" s="49" t="n">
        <f aca="false">C25/2</f>
        <v>9.128125</v>
      </c>
    </row>
    <row r="26" customFormat="false" ht="15" hidden="false" customHeight="false" outlineLevel="0" collapsed="false">
      <c r="A26" s="51" t="str">
        <f aca="false">IF(NOT(ISNUMBER(B26)),"",IF(B26&lt;=0,"",IF(ABS(B26*64-ROUND(B26*64,0))&gt;0.0005,"≈ ","")&amp;IF(INT(ROUND(B26*64,0)/64)&gt;0,INT(ROUND(B26*64,0)/64)&amp;IF(MOD(ROUND(B26*64,0),64)&gt;0," ",""),"")&amp;IF(MOD(ROUND(B26*64,0),64)&gt;0,MOD(ROUND(B26*64,0),64)/GCD(MOD(ROUND(B26*64,0),64),64)&amp;"/"&amp;64/GCD(MOD(ROUND(B26*64,0),64),64),IF(ROUND(B26*64,0)=0,"0",""))&amp;""""))</f>
        <v>3/4"</v>
      </c>
      <c r="B26" s="52" t="n">
        <f aca="false">24/32</f>
        <v>0.75</v>
      </c>
      <c r="C26" s="53" t="n">
        <f aca="false">B26*25.4</f>
        <v>19.05</v>
      </c>
      <c r="D26" s="54" t="n">
        <f aca="false">B26/2</f>
        <v>0.375</v>
      </c>
      <c r="E26" s="53" t="n">
        <f aca="false">C26/2</f>
        <v>9.525</v>
      </c>
    </row>
    <row r="27" customFormat="false" ht="15" hidden="false" customHeight="false" outlineLevel="0" collapsed="false">
      <c r="A27" s="30" t="str">
        <f aca="false">IF(NOT(ISNUMBER(B27)),"",IF(B27&lt;=0,"",IF(ABS(B27*64-ROUND(B27*64,0))&gt;0.0005,"≈ ","")&amp;IF(INT(ROUND(B27*64,0)/64)&gt;0,INT(ROUND(B27*64,0)/64)&amp;IF(MOD(ROUND(B27*64,0),64)&gt;0," ",""),"")&amp;IF(MOD(ROUND(B27*64,0),64)&gt;0,MOD(ROUND(B27*64,0),64)/GCD(MOD(ROUND(B27*64,0),64),64)&amp;"/"&amp;64/GCD(MOD(ROUND(B27*64,0),64),64),IF(ROUND(B27*64,0)=0,"0",""))&amp;""""))</f>
        <v>25/32"</v>
      </c>
      <c r="B27" s="48" t="n">
        <f aca="false">25/32</f>
        <v>0.78125</v>
      </c>
      <c r="C27" s="49" t="n">
        <f aca="false">B27*25.4</f>
        <v>19.84375</v>
      </c>
      <c r="D27" s="50" t="n">
        <f aca="false">B27/2</f>
        <v>0.390625</v>
      </c>
      <c r="E27" s="49" t="n">
        <f aca="false">C27/2</f>
        <v>9.921875</v>
      </c>
    </row>
    <row r="28" customFormat="false" ht="15" hidden="false" customHeight="false" outlineLevel="0" collapsed="false">
      <c r="A28" s="51" t="str">
        <f aca="false">IF(NOT(ISNUMBER(B28)),"",IF(B28&lt;=0,"",IF(ABS(B28*64-ROUND(B28*64,0))&gt;0.0005,"≈ ","")&amp;IF(INT(ROUND(B28*64,0)/64)&gt;0,INT(ROUND(B28*64,0)/64)&amp;IF(MOD(ROUND(B28*64,0),64)&gt;0," ",""),"")&amp;IF(MOD(ROUND(B28*64,0),64)&gt;0,MOD(ROUND(B28*64,0),64)/GCD(MOD(ROUND(B28*64,0),64),64)&amp;"/"&amp;64/GCD(MOD(ROUND(B28*64,0),64),64),IF(ROUND(B28*64,0)=0,"0",""))&amp;""""))</f>
        <v>13/16"</v>
      </c>
      <c r="B28" s="52" t="n">
        <f aca="false">26/32</f>
        <v>0.8125</v>
      </c>
      <c r="C28" s="53" t="n">
        <f aca="false">B28*25.4</f>
        <v>20.6375</v>
      </c>
      <c r="D28" s="54" t="n">
        <f aca="false">B28/2</f>
        <v>0.40625</v>
      </c>
      <c r="E28" s="53" t="n">
        <f aca="false">C28/2</f>
        <v>10.31875</v>
      </c>
    </row>
    <row r="29" customFormat="false" ht="15" hidden="false" customHeight="false" outlineLevel="0" collapsed="false">
      <c r="A29" s="30" t="str">
        <f aca="false">IF(NOT(ISNUMBER(B29)),"",IF(B29&lt;=0,"",IF(ABS(B29*64-ROUND(B29*64,0))&gt;0.0005,"≈ ","")&amp;IF(INT(ROUND(B29*64,0)/64)&gt;0,INT(ROUND(B29*64,0)/64)&amp;IF(MOD(ROUND(B29*64,0),64)&gt;0," ",""),"")&amp;IF(MOD(ROUND(B29*64,0),64)&gt;0,MOD(ROUND(B29*64,0),64)/GCD(MOD(ROUND(B29*64,0),64),64)&amp;"/"&amp;64/GCD(MOD(ROUND(B29*64,0),64),64),IF(ROUND(B29*64,0)=0,"0",""))&amp;""""))</f>
        <v>27/32"</v>
      </c>
      <c r="B29" s="48" t="n">
        <f aca="false">27/32</f>
        <v>0.84375</v>
      </c>
      <c r="C29" s="49" t="n">
        <f aca="false">B29*25.4</f>
        <v>21.43125</v>
      </c>
      <c r="D29" s="50" t="n">
        <f aca="false">B29/2</f>
        <v>0.421875</v>
      </c>
      <c r="E29" s="49" t="n">
        <f aca="false">C29/2</f>
        <v>10.715625</v>
      </c>
    </row>
    <row r="30" customFormat="false" ht="15" hidden="false" customHeight="false" outlineLevel="0" collapsed="false">
      <c r="A30" s="51" t="str">
        <f aca="false">IF(NOT(ISNUMBER(B30)),"",IF(B30&lt;=0,"",IF(ABS(B30*64-ROUND(B30*64,0))&gt;0.0005,"≈ ","")&amp;IF(INT(ROUND(B30*64,0)/64)&gt;0,INT(ROUND(B30*64,0)/64)&amp;IF(MOD(ROUND(B30*64,0),64)&gt;0," ",""),"")&amp;IF(MOD(ROUND(B30*64,0),64)&gt;0,MOD(ROUND(B30*64,0),64)/GCD(MOD(ROUND(B30*64,0),64),64)&amp;"/"&amp;64/GCD(MOD(ROUND(B30*64,0),64),64),IF(ROUND(B30*64,0)=0,"0",""))&amp;""""))</f>
        <v>7/8"</v>
      </c>
      <c r="B30" s="52" t="n">
        <f aca="false">28/32</f>
        <v>0.875</v>
      </c>
      <c r="C30" s="53" t="n">
        <f aca="false">B30*25.4</f>
        <v>22.225</v>
      </c>
      <c r="D30" s="54" t="n">
        <f aca="false">B30/2</f>
        <v>0.4375</v>
      </c>
      <c r="E30" s="53" t="n">
        <f aca="false">C30/2</f>
        <v>11.1125</v>
      </c>
    </row>
    <row r="31" customFormat="false" ht="15" hidden="false" customHeight="false" outlineLevel="0" collapsed="false">
      <c r="A31" s="30" t="str">
        <f aca="false">IF(NOT(ISNUMBER(B31)),"",IF(B31&lt;=0,"",IF(ABS(B31*64-ROUND(B31*64,0))&gt;0.0005,"≈ ","")&amp;IF(INT(ROUND(B31*64,0)/64)&gt;0,INT(ROUND(B31*64,0)/64)&amp;IF(MOD(ROUND(B31*64,0),64)&gt;0," ",""),"")&amp;IF(MOD(ROUND(B31*64,0),64)&gt;0,MOD(ROUND(B31*64,0),64)/GCD(MOD(ROUND(B31*64,0),64),64)&amp;"/"&amp;64/GCD(MOD(ROUND(B31*64,0),64),64),IF(ROUND(B31*64,0)=0,"0",""))&amp;""""))</f>
        <v>29/32"</v>
      </c>
      <c r="B31" s="48" t="n">
        <f aca="false">29/32</f>
        <v>0.90625</v>
      </c>
      <c r="C31" s="49" t="n">
        <f aca="false">B31*25.4</f>
        <v>23.01875</v>
      </c>
      <c r="D31" s="50" t="n">
        <f aca="false">B31/2</f>
        <v>0.453125</v>
      </c>
      <c r="E31" s="49" t="n">
        <f aca="false">C31/2</f>
        <v>11.509375</v>
      </c>
    </row>
    <row r="32" customFormat="false" ht="15" hidden="false" customHeight="false" outlineLevel="0" collapsed="false">
      <c r="A32" s="51" t="str">
        <f aca="false">IF(NOT(ISNUMBER(B32)),"",IF(B32&lt;=0,"",IF(ABS(B32*64-ROUND(B32*64,0))&gt;0.0005,"≈ ","")&amp;IF(INT(ROUND(B32*64,0)/64)&gt;0,INT(ROUND(B32*64,0)/64)&amp;IF(MOD(ROUND(B32*64,0),64)&gt;0," ",""),"")&amp;IF(MOD(ROUND(B32*64,0),64)&gt;0,MOD(ROUND(B32*64,0),64)/GCD(MOD(ROUND(B32*64,0),64),64)&amp;"/"&amp;64/GCD(MOD(ROUND(B32*64,0),64),64),IF(ROUND(B32*64,0)=0,"0",""))&amp;""""))</f>
        <v>15/16"</v>
      </c>
      <c r="B32" s="52" t="n">
        <f aca="false">30/32</f>
        <v>0.9375</v>
      </c>
      <c r="C32" s="53" t="n">
        <f aca="false">B32*25.4</f>
        <v>23.8125</v>
      </c>
      <c r="D32" s="54" t="n">
        <f aca="false">B32/2</f>
        <v>0.46875</v>
      </c>
      <c r="E32" s="53" t="n">
        <f aca="false">C32/2</f>
        <v>11.90625</v>
      </c>
    </row>
    <row r="33" customFormat="false" ht="15" hidden="false" customHeight="false" outlineLevel="0" collapsed="false">
      <c r="A33" s="30" t="str">
        <f aca="false">IF(NOT(ISNUMBER(B33)),"",IF(B33&lt;=0,"",IF(ABS(B33*64-ROUND(B33*64,0))&gt;0.0005,"≈ ","")&amp;IF(INT(ROUND(B33*64,0)/64)&gt;0,INT(ROUND(B33*64,0)/64)&amp;IF(MOD(ROUND(B33*64,0),64)&gt;0," ",""),"")&amp;IF(MOD(ROUND(B33*64,0),64)&gt;0,MOD(ROUND(B33*64,0),64)/GCD(MOD(ROUND(B33*64,0),64),64)&amp;"/"&amp;64/GCD(MOD(ROUND(B33*64,0),64),64),IF(ROUND(B33*64,0)=0,"0",""))&amp;""""))</f>
        <v>31/32"</v>
      </c>
      <c r="B33" s="48" t="n">
        <f aca="false">31/32</f>
        <v>0.96875</v>
      </c>
      <c r="C33" s="49" t="n">
        <f aca="false">B33*25.4</f>
        <v>24.60625</v>
      </c>
      <c r="D33" s="50" t="n">
        <f aca="false">B33/2</f>
        <v>0.484375</v>
      </c>
      <c r="E33" s="49" t="n">
        <f aca="false">C33/2</f>
        <v>12.303125</v>
      </c>
    </row>
    <row r="34" customFormat="false" ht="15" hidden="false" customHeight="false" outlineLevel="0" collapsed="false">
      <c r="A34" s="51" t="str">
        <f aca="false">IF(NOT(ISNUMBER(B34)),"",IF(B34&lt;=0,"",IF(ABS(B34*64-ROUND(B34*64,0))&gt;0.0005,"≈ ","")&amp;IF(INT(ROUND(B34*64,0)/64)&gt;0,INT(ROUND(B34*64,0)/64)&amp;IF(MOD(ROUND(B34*64,0),64)&gt;0," ",""),"")&amp;IF(MOD(ROUND(B34*64,0),64)&gt;0,MOD(ROUND(B34*64,0),64)/GCD(MOD(ROUND(B34*64,0),64),64)&amp;"/"&amp;64/GCD(MOD(ROUND(B34*64,0),64),64),IF(ROUND(B34*64,0)=0,"0",""))&amp;""""))</f>
        <v>1"</v>
      </c>
      <c r="B34" s="52" t="n">
        <f aca="false">32/32</f>
        <v>1</v>
      </c>
      <c r="C34" s="53" t="n">
        <f aca="false">B34*25.4</f>
        <v>25.4</v>
      </c>
      <c r="D34" s="54" t="n">
        <f aca="false">B34/2</f>
        <v>0.5</v>
      </c>
      <c r="E34" s="53" t="n">
        <f aca="false">C34/2</f>
        <v>12.7</v>
      </c>
    </row>
    <row r="35" customFormat="false" ht="15" hidden="false" customHeight="false" outlineLevel="0" collapsed="false">
      <c r="A35" s="30" t="str">
        <f aca="false">IF(NOT(ISNUMBER(B35)),"",IF(B35&lt;=0,"",IF(ABS(B35*64-ROUND(B35*64,0))&gt;0.0005,"≈ ","")&amp;IF(INT(ROUND(B35*64,0)/64)&gt;0,INT(ROUND(B35*64,0)/64)&amp;IF(MOD(ROUND(B35*64,0),64)&gt;0," ",""),"")&amp;IF(MOD(ROUND(B35*64,0),64)&gt;0,MOD(ROUND(B35*64,0),64)/GCD(MOD(ROUND(B35*64,0),64),64)&amp;"/"&amp;64/GCD(MOD(ROUND(B35*64,0),64),64),IF(ROUND(B35*64,0)=0,"0",""))&amp;""""))</f>
        <v>1 1/32"</v>
      </c>
      <c r="B35" s="48" t="n">
        <f aca="false">33/32</f>
        <v>1.03125</v>
      </c>
      <c r="C35" s="49" t="n">
        <f aca="false">B35*25.4</f>
        <v>26.19375</v>
      </c>
      <c r="D35" s="50" t="n">
        <f aca="false">B35/2</f>
        <v>0.515625</v>
      </c>
      <c r="E35" s="49" t="n">
        <f aca="false">C35/2</f>
        <v>13.096875</v>
      </c>
    </row>
    <row r="36" customFormat="false" ht="15" hidden="false" customHeight="false" outlineLevel="0" collapsed="false">
      <c r="A36" s="51" t="str">
        <f aca="false">IF(NOT(ISNUMBER(B36)),"",IF(B36&lt;=0,"",IF(ABS(B36*64-ROUND(B36*64,0))&gt;0.0005,"≈ ","")&amp;IF(INT(ROUND(B36*64,0)/64)&gt;0,INT(ROUND(B36*64,0)/64)&amp;IF(MOD(ROUND(B36*64,0),64)&gt;0," ",""),"")&amp;IF(MOD(ROUND(B36*64,0),64)&gt;0,MOD(ROUND(B36*64,0),64)/GCD(MOD(ROUND(B36*64,0),64),64)&amp;"/"&amp;64/GCD(MOD(ROUND(B36*64,0),64),64),IF(ROUND(B36*64,0)=0,"0",""))&amp;""""))</f>
        <v>1 1/16"</v>
      </c>
      <c r="B36" s="52" t="n">
        <f aca="false">34/32</f>
        <v>1.0625</v>
      </c>
      <c r="C36" s="53" t="n">
        <f aca="false">B36*25.4</f>
        <v>26.9875</v>
      </c>
      <c r="D36" s="54" t="n">
        <f aca="false">B36/2</f>
        <v>0.53125</v>
      </c>
      <c r="E36" s="53" t="n">
        <f aca="false">C36/2</f>
        <v>13.49375</v>
      </c>
    </row>
    <row r="37" customFormat="false" ht="15" hidden="false" customHeight="false" outlineLevel="0" collapsed="false">
      <c r="A37" s="30" t="str">
        <f aca="false">IF(NOT(ISNUMBER(B37)),"",IF(B37&lt;=0,"",IF(ABS(B37*64-ROUND(B37*64,0))&gt;0.0005,"≈ ","")&amp;IF(INT(ROUND(B37*64,0)/64)&gt;0,INT(ROUND(B37*64,0)/64)&amp;IF(MOD(ROUND(B37*64,0),64)&gt;0," ",""),"")&amp;IF(MOD(ROUND(B37*64,0),64)&gt;0,MOD(ROUND(B37*64,0),64)/GCD(MOD(ROUND(B37*64,0),64),64)&amp;"/"&amp;64/GCD(MOD(ROUND(B37*64,0),64),64),IF(ROUND(B37*64,0)=0,"0",""))&amp;""""))</f>
        <v>1 3/32"</v>
      </c>
      <c r="B37" s="48" t="n">
        <f aca="false">35/32</f>
        <v>1.09375</v>
      </c>
      <c r="C37" s="49" t="n">
        <f aca="false">B37*25.4</f>
        <v>27.78125</v>
      </c>
      <c r="D37" s="50" t="n">
        <f aca="false">B37/2</f>
        <v>0.546875</v>
      </c>
      <c r="E37" s="49" t="n">
        <f aca="false">C37/2</f>
        <v>13.890625</v>
      </c>
    </row>
    <row r="38" customFormat="false" ht="15" hidden="false" customHeight="false" outlineLevel="0" collapsed="false">
      <c r="A38" s="51" t="str">
        <f aca="false">IF(NOT(ISNUMBER(B38)),"",IF(B38&lt;=0,"",IF(ABS(B38*64-ROUND(B38*64,0))&gt;0.0005,"≈ ","")&amp;IF(INT(ROUND(B38*64,0)/64)&gt;0,INT(ROUND(B38*64,0)/64)&amp;IF(MOD(ROUND(B38*64,0),64)&gt;0," ",""),"")&amp;IF(MOD(ROUND(B38*64,0),64)&gt;0,MOD(ROUND(B38*64,0),64)/GCD(MOD(ROUND(B38*64,0),64),64)&amp;"/"&amp;64/GCD(MOD(ROUND(B38*64,0),64),64),IF(ROUND(B38*64,0)=0,"0",""))&amp;""""))</f>
        <v>1 1/8"</v>
      </c>
      <c r="B38" s="52" t="n">
        <f aca="false">36/32</f>
        <v>1.125</v>
      </c>
      <c r="C38" s="53" t="n">
        <f aca="false">B38*25.4</f>
        <v>28.575</v>
      </c>
      <c r="D38" s="54" t="n">
        <f aca="false">B38/2</f>
        <v>0.5625</v>
      </c>
      <c r="E38" s="53" t="n">
        <f aca="false">C38/2</f>
        <v>14.2875</v>
      </c>
    </row>
    <row r="39" customFormat="false" ht="15" hidden="false" customHeight="false" outlineLevel="0" collapsed="false">
      <c r="A39" s="30" t="str">
        <f aca="false">IF(NOT(ISNUMBER(B39)),"",IF(B39&lt;=0,"",IF(ABS(B39*64-ROUND(B39*64,0))&gt;0.0005,"≈ ","")&amp;IF(INT(ROUND(B39*64,0)/64)&gt;0,INT(ROUND(B39*64,0)/64)&amp;IF(MOD(ROUND(B39*64,0),64)&gt;0," ",""),"")&amp;IF(MOD(ROUND(B39*64,0),64)&gt;0,MOD(ROUND(B39*64,0),64)/GCD(MOD(ROUND(B39*64,0),64),64)&amp;"/"&amp;64/GCD(MOD(ROUND(B39*64,0),64),64),IF(ROUND(B39*64,0)=0,"0",""))&amp;""""))</f>
        <v>1 5/32"</v>
      </c>
      <c r="B39" s="48" t="n">
        <f aca="false">37/32</f>
        <v>1.15625</v>
      </c>
      <c r="C39" s="49" t="n">
        <f aca="false">B39*25.4</f>
        <v>29.36875</v>
      </c>
      <c r="D39" s="50" t="n">
        <f aca="false">B39/2</f>
        <v>0.578125</v>
      </c>
      <c r="E39" s="49" t="n">
        <f aca="false">C39/2</f>
        <v>14.684375</v>
      </c>
    </row>
    <row r="40" customFormat="false" ht="15" hidden="false" customHeight="false" outlineLevel="0" collapsed="false">
      <c r="A40" s="51" t="str">
        <f aca="false">IF(NOT(ISNUMBER(B40)),"",IF(B40&lt;=0,"",IF(ABS(B40*64-ROUND(B40*64,0))&gt;0.0005,"≈ ","")&amp;IF(INT(ROUND(B40*64,0)/64)&gt;0,INT(ROUND(B40*64,0)/64)&amp;IF(MOD(ROUND(B40*64,0),64)&gt;0," ",""),"")&amp;IF(MOD(ROUND(B40*64,0),64)&gt;0,MOD(ROUND(B40*64,0),64)/GCD(MOD(ROUND(B40*64,0),64),64)&amp;"/"&amp;64/GCD(MOD(ROUND(B40*64,0),64),64),IF(ROUND(B40*64,0)=0,"0",""))&amp;""""))</f>
        <v>1 3/16"</v>
      </c>
      <c r="B40" s="52" t="n">
        <f aca="false">38/32</f>
        <v>1.1875</v>
      </c>
      <c r="C40" s="53" t="n">
        <f aca="false">B40*25.4</f>
        <v>30.1625</v>
      </c>
      <c r="D40" s="54" t="n">
        <f aca="false">B40/2</f>
        <v>0.59375</v>
      </c>
      <c r="E40" s="53" t="n">
        <f aca="false">C40/2</f>
        <v>15.08125</v>
      </c>
    </row>
    <row r="41" customFormat="false" ht="15" hidden="false" customHeight="false" outlineLevel="0" collapsed="false">
      <c r="A41" s="30" t="str">
        <f aca="false">IF(NOT(ISNUMBER(B41)),"",IF(B41&lt;=0,"",IF(ABS(B41*64-ROUND(B41*64,0))&gt;0.0005,"≈ ","")&amp;IF(INT(ROUND(B41*64,0)/64)&gt;0,INT(ROUND(B41*64,0)/64)&amp;IF(MOD(ROUND(B41*64,0),64)&gt;0," ",""),"")&amp;IF(MOD(ROUND(B41*64,0),64)&gt;0,MOD(ROUND(B41*64,0),64)/GCD(MOD(ROUND(B41*64,0),64),64)&amp;"/"&amp;64/GCD(MOD(ROUND(B41*64,0),64),64),IF(ROUND(B41*64,0)=0,"0",""))&amp;""""))</f>
        <v>1 7/32"</v>
      </c>
      <c r="B41" s="48" t="n">
        <f aca="false">39/32</f>
        <v>1.21875</v>
      </c>
      <c r="C41" s="49" t="n">
        <f aca="false">B41*25.4</f>
        <v>30.95625</v>
      </c>
      <c r="D41" s="50" t="n">
        <f aca="false">B41/2</f>
        <v>0.609375</v>
      </c>
      <c r="E41" s="49" t="n">
        <f aca="false">C41/2</f>
        <v>15.478125</v>
      </c>
    </row>
    <row r="42" customFormat="false" ht="15" hidden="false" customHeight="false" outlineLevel="0" collapsed="false">
      <c r="A42" s="51" t="str">
        <f aca="false">IF(NOT(ISNUMBER(B42)),"",IF(B42&lt;=0,"",IF(ABS(B42*64-ROUND(B42*64,0))&gt;0.0005,"≈ ","")&amp;IF(INT(ROUND(B42*64,0)/64)&gt;0,INT(ROUND(B42*64,0)/64)&amp;IF(MOD(ROUND(B42*64,0),64)&gt;0," ",""),"")&amp;IF(MOD(ROUND(B42*64,0),64)&gt;0,MOD(ROUND(B42*64,0),64)/GCD(MOD(ROUND(B42*64,0),64),64)&amp;"/"&amp;64/GCD(MOD(ROUND(B42*64,0),64),64),IF(ROUND(B42*64,0)=0,"0",""))&amp;""""))</f>
        <v>1 1/4"</v>
      </c>
      <c r="B42" s="52" t="n">
        <f aca="false">40/32</f>
        <v>1.25</v>
      </c>
      <c r="C42" s="53" t="n">
        <f aca="false">B42*25.4</f>
        <v>31.75</v>
      </c>
      <c r="D42" s="54" t="n">
        <f aca="false">B42/2</f>
        <v>0.625</v>
      </c>
      <c r="E42" s="53" t="n">
        <f aca="false">C42/2</f>
        <v>15.875</v>
      </c>
    </row>
    <row r="43" customFormat="false" ht="15" hidden="false" customHeight="false" outlineLevel="0" collapsed="false">
      <c r="A43" s="30" t="str">
        <f aca="false">IF(NOT(ISNUMBER(B43)),"",IF(B43&lt;=0,"",IF(ABS(B43*64-ROUND(B43*64,0))&gt;0.0005,"≈ ","")&amp;IF(INT(ROUND(B43*64,0)/64)&gt;0,INT(ROUND(B43*64,0)/64)&amp;IF(MOD(ROUND(B43*64,0),64)&gt;0," ",""),"")&amp;IF(MOD(ROUND(B43*64,0),64)&gt;0,MOD(ROUND(B43*64,0),64)/GCD(MOD(ROUND(B43*64,0),64),64)&amp;"/"&amp;64/GCD(MOD(ROUND(B43*64,0),64),64),IF(ROUND(B43*64,0)=0,"0",""))&amp;""""))</f>
        <v>1 9/32"</v>
      </c>
      <c r="B43" s="48" t="n">
        <f aca="false">41/32</f>
        <v>1.28125</v>
      </c>
      <c r="C43" s="49" t="n">
        <f aca="false">B43*25.4</f>
        <v>32.54375</v>
      </c>
      <c r="D43" s="50" t="n">
        <f aca="false">B43/2</f>
        <v>0.640625</v>
      </c>
      <c r="E43" s="49" t="n">
        <f aca="false">C43/2</f>
        <v>16.271875</v>
      </c>
    </row>
    <row r="44" customFormat="false" ht="15" hidden="false" customHeight="false" outlineLevel="0" collapsed="false">
      <c r="A44" s="51" t="str">
        <f aca="false">IF(NOT(ISNUMBER(B44)),"",IF(B44&lt;=0,"",IF(ABS(B44*64-ROUND(B44*64,0))&gt;0.0005,"≈ ","")&amp;IF(INT(ROUND(B44*64,0)/64)&gt;0,INT(ROUND(B44*64,0)/64)&amp;IF(MOD(ROUND(B44*64,0),64)&gt;0," ",""),"")&amp;IF(MOD(ROUND(B44*64,0),64)&gt;0,MOD(ROUND(B44*64,0),64)/GCD(MOD(ROUND(B44*64,0),64),64)&amp;"/"&amp;64/GCD(MOD(ROUND(B44*64,0),64),64),IF(ROUND(B44*64,0)=0,"0",""))&amp;""""))</f>
        <v>1 5/16"</v>
      </c>
      <c r="B44" s="52" t="n">
        <f aca="false">42/32</f>
        <v>1.3125</v>
      </c>
      <c r="C44" s="53" t="n">
        <f aca="false">B44*25.4</f>
        <v>33.3375</v>
      </c>
      <c r="D44" s="54" t="n">
        <f aca="false">B44/2</f>
        <v>0.65625</v>
      </c>
      <c r="E44" s="53" t="n">
        <f aca="false">C44/2</f>
        <v>16.66875</v>
      </c>
    </row>
    <row r="45" customFormat="false" ht="15" hidden="false" customHeight="false" outlineLevel="0" collapsed="false">
      <c r="A45" s="30" t="str">
        <f aca="false">IF(NOT(ISNUMBER(B45)),"",IF(B45&lt;=0,"",IF(ABS(B45*64-ROUND(B45*64,0))&gt;0.0005,"≈ ","")&amp;IF(INT(ROUND(B45*64,0)/64)&gt;0,INT(ROUND(B45*64,0)/64)&amp;IF(MOD(ROUND(B45*64,0),64)&gt;0," ",""),"")&amp;IF(MOD(ROUND(B45*64,0),64)&gt;0,MOD(ROUND(B45*64,0),64)/GCD(MOD(ROUND(B45*64,0),64),64)&amp;"/"&amp;64/GCD(MOD(ROUND(B45*64,0),64),64),IF(ROUND(B45*64,0)=0,"0",""))&amp;""""))</f>
        <v>1 11/32"</v>
      </c>
      <c r="B45" s="48" t="n">
        <f aca="false">43/32</f>
        <v>1.34375</v>
      </c>
      <c r="C45" s="49" t="n">
        <f aca="false">B45*25.4</f>
        <v>34.13125</v>
      </c>
      <c r="D45" s="50" t="n">
        <f aca="false">B45/2</f>
        <v>0.671875</v>
      </c>
      <c r="E45" s="49" t="n">
        <f aca="false">C45/2</f>
        <v>17.065625</v>
      </c>
    </row>
    <row r="46" customFormat="false" ht="15" hidden="false" customHeight="false" outlineLevel="0" collapsed="false">
      <c r="A46" s="51" t="str">
        <f aca="false">IF(NOT(ISNUMBER(B46)),"",IF(B46&lt;=0,"",IF(ABS(B46*64-ROUND(B46*64,0))&gt;0.0005,"≈ ","")&amp;IF(INT(ROUND(B46*64,0)/64)&gt;0,INT(ROUND(B46*64,0)/64)&amp;IF(MOD(ROUND(B46*64,0),64)&gt;0," ",""),"")&amp;IF(MOD(ROUND(B46*64,0),64)&gt;0,MOD(ROUND(B46*64,0),64)/GCD(MOD(ROUND(B46*64,0),64),64)&amp;"/"&amp;64/GCD(MOD(ROUND(B46*64,0),64),64),IF(ROUND(B46*64,0)=0,"0",""))&amp;""""))</f>
        <v>1 3/8"</v>
      </c>
      <c r="B46" s="52" t="n">
        <f aca="false">44/32</f>
        <v>1.375</v>
      </c>
      <c r="C46" s="53" t="n">
        <f aca="false">B46*25.4</f>
        <v>34.925</v>
      </c>
      <c r="D46" s="54" t="n">
        <f aca="false">B46/2</f>
        <v>0.6875</v>
      </c>
      <c r="E46" s="53" t="n">
        <f aca="false">C46/2</f>
        <v>17.4625</v>
      </c>
    </row>
    <row r="47" customFormat="false" ht="15" hidden="false" customHeight="false" outlineLevel="0" collapsed="false">
      <c r="A47" s="30" t="str">
        <f aca="false">IF(NOT(ISNUMBER(B47)),"",IF(B47&lt;=0,"",IF(ABS(B47*64-ROUND(B47*64,0))&gt;0.0005,"≈ ","")&amp;IF(INT(ROUND(B47*64,0)/64)&gt;0,INT(ROUND(B47*64,0)/64)&amp;IF(MOD(ROUND(B47*64,0),64)&gt;0," ",""),"")&amp;IF(MOD(ROUND(B47*64,0),64)&gt;0,MOD(ROUND(B47*64,0),64)/GCD(MOD(ROUND(B47*64,0),64),64)&amp;"/"&amp;64/GCD(MOD(ROUND(B47*64,0),64),64),IF(ROUND(B47*64,0)=0,"0",""))&amp;""""))</f>
        <v>1 13/32"</v>
      </c>
      <c r="B47" s="48" t="n">
        <f aca="false">45/32</f>
        <v>1.40625</v>
      </c>
      <c r="C47" s="49" t="n">
        <f aca="false">B47*25.4</f>
        <v>35.71875</v>
      </c>
      <c r="D47" s="50" t="n">
        <f aca="false">B47/2</f>
        <v>0.703125</v>
      </c>
      <c r="E47" s="49" t="n">
        <f aca="false">C47/2</f>
        <v>17.859375</v>
      </c>
    </row>
    <row r="48" customFormat="false" ht="15" hidden="false" customHeight="false" outlineLevel="0" collapsed="false">
      <c r="A48" s="51" t="str">
        <f aca="false">IF(NOT(ISNUMBER(B48)),"",IF(B48&lt;=0,"",IF(ABS(B48*64-ROUND(B48*64,0))&gt;0.0005,"≈ ","")&amp;IF(INT(ROUND(B48*64,0)/64)&gt;0,INT(ROUND(B48*64,0)/64)&amp;IF(MOD(ROUND(B48*64,0),64)&gt;0," ",""),"")&amp;IF(MOD(ROUND(B48*64,0),64)&gt;0,MOD(ROUND(B48*64,0),64)/GCD(MOD(ROUND(B48*64,0),64),64)&amp;"/"&amp;64/GCD(MOD(ROUND(B48*64,0),64),64),IF(ROUND(B48*64,0)=0,"0",""))&amp;""""))</f>
        <v>1 7/16"</v>
      </c>
      <c r="B48" s="52" t="n">
        <f aca="false">46/32</f>
        <v>1.4375</v>
      </c>
      <c r="C48" s="53" t="n">
        <f aca="false">B48*25.4</f>
        <v>36.5125</v>
      </c>
      <c r="D48" s="54" t="n">
        <f aca="false">B48/2</f>
        <v>0.71875</v>
      </c>
      <c r="E48" s="53" t="n">
        <f aca="false">C48/2</f>
        <v>18.25625</v>
      </c>
    </row>
    <row r="49" customFormat="false" ht="15" hidden="false" customHeight="false" outlineLevel="0" collapsed="false">
      <c r="A49" s="30" t="str">
        <f aca="false">IF(NOT(ISNUMBER(B49)),"",IF(B49&lt;=0,"",IF(ABS(B49*64-ROUND(B49*64,0))&gt;0.0005,"≈ ","")&amp;IF(INT(ROUND(B49*64,0)/64)&gt;0,INT(ROUND(B49*64,0)/64)&amp;IF(MOD(ROUND(B49*64,0),64)&gt;0," ",""),"")&amp;IF(MOD(ROUND(B49*64,0),64)&gt;0,MOD(ROUND(B49*64,0),64)/GCD(MOD(ROUND(B49*64,0),64),64)&amp;"/"&amp;64/GCD(MOD(ROUND(B49*64,0),64),64),IF(ROUND(B49*64,0)=0,"0",""))&amp;""""))</f>
        <v>1 15/32"</v>
      </c>
      <c r="B49" s="48" t="n">
        <f aca="false">47/32</f>
        <v>1.46875</v>
      </c>
      <c r="C49" s="49" t="n">
        <f aca="false">B49*25.4</f>
        <v>37.30625</v>
      </c>
      <c r="D49" s="50" t="n">
        <f aca="false">B49/2</f>
        <v>0.734375</v>
      </c>
      <c r="E49" s="49" t="n">
        <f aca="false">C49/2</f>
        <v>18.653125</v>
      </c>
    </row>
    <row r="50" customFormat="false" ht="15" hidden="false" customHeight="false" outlineLevel="0" collapsed="false">
      <c r="A50" s="51" t="str">
        <f aca="false">IF(NOT(ISNUMBER(B50)),"",IF(B50&lt;=0,"",IF(ABS(B50*64-ROUND(B50*64,0))&gt;0.0005,"≈ ","")&amp;IF(INT(ROUND(B50*64,0)/64)&gt;0,INT(ROUND(B50*64,0)/64)&amp;IF(MOD(ROUND(B50*64,0),64)&gt;0," ",""),"")&amp;IF(MOD(ROUND(B50*64,0),64)&gt;0,MOD(ROUND(B50*64,0),64)/GCD(MOD(ROUND(B50*64,0),64),64)&amp;"/"&amp;64/GCD(MOD(ROUND(B50*64,0),64),64),IF(ROUND(B50*64,0)=0,"0",""))&amp;""""))</f>
        <v>1 1/2"</v>
      </c>
      <c r="B50" s="52" t="n">
        <f aca="false">48/32</f>
        <v>1.5</v>
      </c>
      <c r="C50" s="53" t="n">
        <f aca="false">B50*25.4</f>
        <v>38.1</v>
      </c>
      <c r="D50" s="54" t="n">
        <f aca="false">B50/2</f>
        <v>0.75</v>
      </c>
      <c r="E50" s="53" t="n">
        <f aca="false">C50/2</f>
        <v>19.05</v>
      </c>
    </row>
    <row r="51" customFormat="false" ht="15" hidden="false" customHeight="false" outlineLevel="0" collapsed="false">
      <c r="A51" s="30" t="str">
        <f aca="false">IF(NOT(ISNUMBER(B51)),"",IF(B51&lt;=0,"",IF(ABS(B51*64-ROUND(B51*64,0))&gt;0.0005,"≈ ","")&amp;IF(INT(ROUND(B51*64,0)/64)&gt;0,INT(ROUND(B51*64,0)/64)&amp;IF(MOD(ROUND(B51*64,0),64)&gt;0," ",""),"")&amp;IF(MOD(ROUND(B51*64,0),64)&gt;0,MOD(ROUND(B51*64,0),64)/GCD(MOD(ROUND(B51*64,0),64),64)&amp;"/"&amp;64/GCD(MOD(ROUND(B51*64,0),64),64),IF(ROUND(B51*64,0)=0,"0",""))&amp;""""))</f>
        <v>1 17/32"</v>
      </c>
      <c r="B51" s="48" t="n">
        <f aca="false">49/32</f>
        <v>1.53125</v>
      </c>
      <c r="C51" s="49" t="n">
        <f aca="false">B51*25.4</f>
        <v>38.89375</v>
      </c>
      <c r="D51" s="50" t="n">
        <f aca="false">B51/2</f>
        <v>0.765625</v>
      </c>
      <c r="E51" s="49" t="n">
        <f aca="false">C51/2</f>
        <v>19.446875</v>
      </c>
    </row>
    <row r="52" customFormat="false" ht="15" hidden="false" customHeight="false" outlineLevel="0" collapsed="false">
      <c r="A52" s="51" t="str">
        <f aca="false">IF(NOT(ISNUMBER(B52)),"",IF(B52&lt;=0,"",IF(ABS(B52*64-ROUND(B52*64,0))&gt;0.0005,"≈ ","")&amp;IF(INT(ROUND(B52*64,0)/64)&gt;0,INT(ROUND(B52*64,0)/64)&amp;IF(MOD(ROUND(B52*64,0),64)&gt;0," ",""),"")&amp;IF(MOD(ROUND(B52*64,0),64)&gt;0,MOD(ROUND(B52*64,0),64)/GCD(MOD(ROUND(B52*64,0),64),64)&amp;"/"&amp;64/GCD(MOD(ROUND(B52*64,0),64),64),IF(ROUND(B52*64,0)=0,"0",""))&amp;""""))</f>
        <v>1 9/16"</v>
      </c>
      <c r="B52" s="52" t="n">
        <f aca="false">50/32</f>
        <v>1.5625</v>
      </c>
      <c r="C52" s="53" t="n">
        <f aca="false">B52*25.4</f>
        <v>39.6875</v>
      </c>
      <c r="D52" s="54" t="n">
        <f aca="false">B52/2</f>
        <v>0.78125</v>
      </c>
      <c r="E52" s="53" t="n">
        <f aca="false">C52/2</f>
        <v>19.84375</v>
      </c>
    </row>
    <row r="53" customFormat="false" ht="15" hidden="false" customHeight="false" outlineLevel="0" collapsed="false">
      <c r="A53" s="30" t="str">
        <f aca="false">IF(NOT(ISNUMBER(B53)),"",IF(B53&lt;=0,"",IF(ABS(B53*64-ROUND(B53*64,0))&gt;0.0005,"≈ ","")&amp;IF(INT(ROUND(B53*64,0)/64)&gt;0,INT(ROUND(B53*64,0)/64)&amp;IF(MOD(ROUND(B53*64,0),64)&gt;0," ",""),"")&amp;IF(MOD(ROUND(B53*64,0),64)&gt;0,MOD(ROUND(B53*64,0),64)/GCD(MOD(ROUND(B53*64,0),64),64)&amp;"/"&amp;64/GCD(MOD(ROUND(B53*64,0),64),64),IF(ROUND(B53*64,0)=0,"0",""))&amp;""""))</f>
        <v>1 19/32"</v>
      </c>
      <c r="B53" s="48" t="n">
        <f aca="false">51/32</f>
        <v>1.59375</v>
      </c>
      <c r="C53" s="49" t="n">
        <f aca="false">B53*25.4</f>
        <v>40.48125</v>
      </c>
      <c r="D53" s="50" t="n">
        <f aca="false">B53/2</f>
        <v>0.796875</v>
      </c>
      <c r="E53" s="49" t="n">
        <f aca="false">C53/2</f>
        <v>20.240625</v>
      </c>
    </row>
    <row r="54" customFormat="false" ht="15" hidden="false" customHeight="false" outlineLevel="0" collapsed="false">
      <c r="A54" s="51" t="str">
        <f aca="false">IF(NOT(ISNUMBER(B54)),"",IF(B54&lt;=0,"",IF(ABS(B54*64-ROUND(B54*64,0))&gt;0.0005,"≈ ","")&amp;IF(INT(ROUND(B54*64,0)/64)&gt;0,INT(ROUND(B54*64,0)/64)&amp;IF(MOD(ROUND(B54*64,0),64)&gt;0," ",""),"")&amp;IF(MOD(ROUND(B54*64,0),64)&gt;0,MOD(ROUND(B54*64,0),64)/GCD(MOD(ROUND(B54*64,0),64),64)&amp;"/"&amp;64/GCD(MOD(ROUND(B54*64,0),64),64),IF(ROUND(B54*64,0)=0,"0",""))&amp;""""))</f>
        <v>1 5/8"</v>
      </c>
      <c r="B54" s="52" t="n">
        <f aca="false">52/32</f>
        <v>1.625</v>
      </c>
      <c r="C54" s="53" t="n">
        <f aca="false">B54*25.4</f>
        <v>41.275</v>
      </c>
      <c r="D54" s="54" t="n">
        <f aca="false">B54/2</f>
        <v>0.8125</v>
      </c>
      <c r="E54" s="53" t="n">
        <f aca="false">C54/2</f>
        <v>20.6375</v>
      </c>
    </row>
    <row r="55" customFormat="false" ht="15" hidden="false" customHeight="false" outlineLevel="0" collapsed="false">
      <c r="A55" s="30" t="str">
        <f aca="false">IF(NOT(ISNUMBER(B55)),"",IF(B55&lt;=0,"",IF(ABS(B55*64-ROUND(B55*64,0))&gt;0.0005,"≈ ","")&amp;IF(INT(ROUND(B55*64,0)/64)&gt;0,INT(ROUND(B55*64,0)/64)&amp;IF(MOD(ROUND(B55*64,0),64)&gt;0," ",""),"")&amp;IF(MOD(ROUND(B55*64,0),64)&gt;0,MOD(ROUND(B55*64,0),64)/GCD(MOD(ROUND(B55*64,0),64),64)&amp;"/"&amp;64/GCD(MOD(ROUND(B55*64,0),64),64),IF(ROUND(B55*64,0)=0,"0",""))&amp;""""))</f>
        <v>1 21/32"</v>
      </c>
      <c r="B55" s="48" t="n">
        <f aca="false">53/32</f>
        <v>1.65625</v>
      </c>
      <c r="C55" s="49" t="n">
        <f aca="false">B55*25.4</f>
        <v>42.06875</v>
      </c>
      <c r="D55" s="50" t="n">
        <f aca="false">B55/2</f>
        <v>0.828125</v>
      </c>
      <c r="E55" s="49" t="n">
        <f aca="false">C55/2</f>
        <v>21.034375</v>
      </c>
    </row>
    <row r="56" customFormat="false" ht="15" hidden="false" customHeight="false" outlineLevel="0" collapsed="false">
      <c r="A56" s="51" t="str">
        <f aca="false">IF(NOT(ISNUMBER(B56)),"",IF(B56&lt;=0,"",IF(ABS(B56*64-ROUND(B56*64,0))&gt;0.0005,"≈ ","")&amp;IF(INT(ROUND(B56*64,0)/64)&gt;0,INT(ROUND(B56*64,0)/64)&amp;IF(MOD(ROUND(B56*64,0),64)&gt;0," ",""),"")&amp;IF(MOD(ROUND(B56*64,0),64)&gt;0,MOD(ROUND(B56*64,0),64)/GCD(MOD(ROUND(B56*64,0),64),64)&amp;"/"&amp;64/GCD(MOD(ROUND(B56*64,0),64),64),IF(ROUND(B56*64,0)=0,"0",""))&amp;""""))</f>
        <v>1 11/16"</v>
      </c>
      <c r="B56" s="52" t="n">
        <f aca="false">54/32</f>
        <v>1.6875</v>
      </c>
      <c r="C56" s="53" t="n">
        <f aca="false">B56*25.4</f>
        <v>42.8625</v>
      </c>
      <c r="D56" s="54" t="n">
        <f aca="false">B56/2</f>
        <v>0.84375</v>
      </c>
      <c r="E56" s="53" t="n">
        <f aca="false">C56/2</f>
        <v>21.43125</v>
      </c>
    </row>
    <row r="57" customFormat="false" ht="15" hidden="false" customHeight="false" outlineLevel="0" collapsed="false">
      <c r="A57" s="30" t="str">
        <f aca="false">IF(NOT(ISNUMBER(B57)),"",IF(B57&lt;=0,"",IF(ABS(B57*64-ROUND(B57*64,0))&gt;0.0005,"≈ ","")&amp;IF(INT(ROUND(B57*64,0)/64)&gt;0,INT(ROUND(B57*64,0)/64)&amp;IF(MOD(ROUND(B57*64,0),64)&gt;0," ",""),"")&amp;IF(MOD(ROUND(B57*64,0),64)&gt;0,MOD(ROUND(B57*64,0),64)/GCD(MOD(ROUND(B57*64,0),64),64)&amp;"/"&amp;64/GCD(MOD(ROUND(B57*64,0),64),64),IF(ROUND(B57*64,0)=0,"0",""))&amp;""""))</f>
        <v>1 23/32"</v>
      </c>
      <c r="B57" s="48" t="n">
        <f aca="false">55/32</f>
        <v>1.71875</v>
      </c>
      <c r="C57" s="49" t="n">
        <f aca="false">B57*25.4</f>
        <v>43.65625</v>
      </c>
      <c r="D57" s="50" t="n">
        <f aca="false">B57/2</f>
        <v>0.859375</v>
      </c>
      <c r="E57" s="49" t="n">
        <f aca="false">C57/2</f>
        <v>21.828125</v>
      </c>
    </row>
    <row r="58" customFormat="false" ht="15" hidden="false" customHeight="false" outlineLevel="0" collapsed="false">
      <c r="A58" s="51" t="str">
        <f aca="false">IF(NOT(ISNUMBER(B58)),"",IF(B58&lt;=0,"",IF(ABS(B58*64-ROUND(B58*64,0))&gt;0.0005,"≈ ","")&amp;IF(INT(ROUND(B58*64,0)/64)&gt;0,INT(ROUND(B58*64,0)/64)&amp;IF(MOD(ROUND(B58*64,0),64)&gt;0," ",""),"")&amp;IF(MOD(ROUND(B58*64,0),64)&gt;0,MOD(ROUND(B58*64,0),64)/GCD(MOD(ROUND(B58*64,0),64),64)&amp;"/"&amp;64/GCD(MOD(ROUND(B58*64,0),64),64),IF(ROUND(B58*64,0)=0,"0",""))&amp;""""))</f>
        <v>1 3/4"</v>
      </c>
      <c r="B58" s="52" t="n">
        <f aca="false">56/32</f>
        <v>1.75</v>
      </c>
      <c r="C58" s="53" t="n">
        <f aca="false">B58*25.4</f>
        <v>44.45</v>
      </c>
      <c r="D58" s="54" t="n">
        <f aca="false">B58/2</f>
        <v>0.875</v>
      </c>
      <c r="E58" s="53" t="n">
        <f aca="false">C58/2</f>
        <v>22.225</v>
      </c>
    </row>
    <row r="59" customFormat="false" ht="15" hidden="false" customHeight="false" outlineLevel="0" collapsed="false">
      <c r="A59" s="30" t="str">
        <f aca="false">IF(NOT(ISNUMBER(B59)),"",IF(B59&lt;=0,"",IF(ABS(B59*64-ROUND(B59*64,0))&gt;0.0005,"≈ ","")&amp;IF(INT(ROUND(B59*64,0)/64)&gt;0,INT(ROUND(B59*64,0)/64)&amp;IF(MOD(ROUND(B59*64,0),64)&gt;0," ",""),"")&amp;IF(MOD(ROUND(B59*64,0),64)&gt;0,MOD(ROUND(B59*64,0),64)/GCD(MOD(ROUND(B59*64,0),64),64)&amp;"/"&amp;64/GCD(MOD(ROUND(B59*64,0),64),64),IF(ROUND(B59*64,0)=0,"0",""))&amp;""""))</f>
        <v>1 25/32"</v>
      </c>
      <c r="B59" s="48" t="n">
        <f aca="false">57/32</f>
        <v>1.78125</v>
      </c>
      <c r="C59" s="49" t="n">
        <f aca="false">B59*25.4</f>
        <v>45.24375</v>
      </c>
      <c r="D59" s="50" t="n">
        <f aca="false">B59/2</f>
        <v>0.890625</v>
      </c>
      <c r="E59" s="49" t="n">
        <f aca="false">C59/2</f>
        <v>22.621875</v>
      </c>
    </row>
    <row r="60" customFormat="false" ht="15" hidden="false" customHeight="false" outlineLevel="0" collapsed="false">
      <c r="A60" s="51" t="str">
        <f aca="false">IF(NOT(ISNUMBER(B60)),"",IF(B60&lt;=0,"",IF(ABS(B60*64-ROUND(B60*64,0))&gt;0.0005,"≈ ","")&amp;IF(INT(ROUND(B60*64,0)/64)&gt;0,INT(ROUND(B60*64,0)/64)&amp;IF(MOD(ROUND(B60*64,0),64)&gt;0," ",""),"")&amp;IF(MOD(ROUND(B60*64,0),64)&gt;0,MOD(ROUND(B60*64,0),64)/GCD(MOD(ROUND(B60*64,0),64),64)&amp;"/"&amp;64/GCD(MOD(ROUND(B60*64,0),64),64),IF(ROUND(B60*64,0)=0,"0",""))&amp;""""))</f>
        <v>1 13/16"</v>
      </c>
      <c r="B60" s="52" t="n">
        <f aca="false">58/32</f>
        <v>1.8125</v>
      </c>
      <c r="C60" s="53" t="n">
        <f aca="false">B60*25.4</f>
        <v>46.0375</v>
      </c>
      <c r="D60" s="54" t="n">
        <f aca="false">B60/2</f>
        <v>0.90625</v>
      </c>
      <c r="E60" s="53" t="n">
        <f aca="false">C60/2</f>
        <v>23.01875</v>
      </c>
    </row>
    <row r="61" customFormat="false" ht="15" hidden="false" customHeight="false" outlineLevel="0" collapsed="false">
      <c r="A61" s="30" t="str">
        <f aca="false">IF(NOT(ISNUMBER(B61)),"",IF(B61&lt;=0,"",IF(ABS(B61*64-ROUND(B61*64,0))&gt;0.0005,"≈ ","")&amp;IF(INT(ROUND(B61*64,0)/64)&gt;0,INT(ROUND(B61*64,0)/64)&amp;IF(MOD(ROUND(B61*64,0),64)&gt;0," ",""),"")&amp;IF(MOD(ROUND(B61*64,0),64)&gt;0,MOD(ROUND(B61*64,0),64)/GCD(MOD(ROUND(B61*64,0),64),64)&amp;"/"&amp;64/GCD(MOD(ROUND(B61*64,0),64),64),IF(ROUND(B61*64,0)=0,"0",""))&amp;""""))</f>
        <v>1 27/32"</v>
      </c>
      <c r="B61" s="48" t="n">
        <f aca="false">59/32</f>
        <v>1.84375</v>
      </c>
      <c r="C61" s="49" t="n">
        <f aca="false">B61*25.4</f>
        <v>46.83125</v>
      </c>
      <c r="D61" s="50" t="n">
        <f aca="false">B61/2</f>
        <v>0.921875</v>
      </c>
      <c r="E61" s="49" t="n">
        <f aca="false">C61/2</f>
        <v>23.415625</v>
      </c>
    </row>
    <row r="62" customFormat="false" ht="15" hidden="false" customHeight="false" outlineLevel="0" collapsed="false">
      <c r="A62" s="51" t="str">
        <f aca="false">IF(NOT(ISNUMBER(B62)),"",IF(B62&lt;=0,"",IF(ABS(B62*64-ROUND(B62*64,0))&gt;0.0005,"≈ ","")&amp;IF(INT(ROUND(B62*64,0)/64)&gt;0,INT(ROUND(B62*64,0)/64)&amp;IF(MOD(ROUND(B62*64,0),64)&gt;0," ",""),"")&amp;IF(MOD(ROUND(B62*64,0),64)&gt;0,MOD(ROUND(B62*64,0),64)/GCD(MOD(ROUND(B62*64,0),64),64)&amp;"/"&amp;64/GCD(MOD(ROUND(B62*64,0),64),64),IF(ROUND(B62*64,0)=0,"0",""))&amp;""""))</f>
        <v>1 7/8"</v>
      </c>
      <c r="B62" s="52" t="n">
        <f aca="false">60/32</f>
        <v>1.875</v>
      </c>
      <c r="C62" s="53" t="n">
        <f aca="false">B62*25.4</f>
        <v>47.625</v>
      </c>
      <c r="D62" s="54" t="n">
        <f aca="false">B62/2</f>
        <v>0.9375</v>
      </c>
      <c r="E62" s="53" t="n">
        <f aca="false">C62/2</f>
        <v>23.8125</v>
      </c>
    </row>
    <row r="63" customFormat="false" ht="15" hidden="false" customHeight="false" outlineLevel="0" collapsed="false">
      <c r="A63" s="30" t="str">
        <f aca="false">IF(NOT(ISNUMBER(B63)),"",IF(B63&lt;=0,"",IF(ABS(B63*64-ROUND(B63*64,0))&gt;0.0005,"≈ ","")&amp;IF(INT(ROUND(B63*64,0)/64)&gt;0,INT(ROUND(B63*64,0)/64)&amp;IF(MOD(ROUND(B63*64,0),64)&gt;0," ",""),"")&amp;IF(MOD(ROUND(B63*64,0),64)&gt;0,MOD(ROUND(B63*64,0),64)/GCD(MOD(ROUND(B63*64,0),64),64)&amp;"/"&amp;64/GCD(MOD(ROUND(B63*64,0),64),64),IF(ROUND(B63*64,0)=0,"0",""))&amp;""""))</f>
        <v>1 29/32"</v>
      </c>
      <c r="B63" s="48" t="n">
        <f aca="false">61/32</f>
        <v>1.90625</v>
      </c>
      <c r="C63" s="49" t="n">
        <f aca="false">B63*25.4</f>
        <v>48.41875</v>
      </c>
      <c r="D63" s="50" t="n">
        <f aca="false">B63/2</f>
        <v>0.953125</v>
      </c>
      <c r="E63" s="49" t="n">
        <f aca="false">C63/2</f>
        <v>24.209375</v>
      </c>
    </row>
    <row r="64" customFormat="false" ht="15" hidden="false" customHeight="false" outlineLevel="0" collapsed="false">
      <c r="A64" s="51" t="str">
        <f aca="false">IF(NOT(ISNUMBER(B64)),"",IF(B64&lt;=0,"",IF(ABS(B64*64-ROUND(B64*64,0))&gt;0.0005,"≈ ","")&amp;IF(INT(ROUND(B64*64,0)/64)&gt;0,INT(ROUND(B64*64,0)/64)&amp;IF(MOD(ROUND(B64*64,0),64)&gt;0," ",""),"")&amp;IF(MOD(ROUND(B64*64,0),64)&gt;0,MOD(ROUND(B64*64,0),64)/GCD(MOD(ROUND(B64*64,0),64),64)&amp;"/"&amp;64/GCD(MOD(ROUND(B64*64,0),64),64),IF(ROUND(B64*64,0)=0,"0",""))&amp;""""))</f>
        <v>1 15/16"</v>
      </c>
      <c r="B64" s="52" t="n">
        <f aca="false">62/32</f>
        <v>1.9375</v>
      </c>
      <c r="C64" s="53" t="n">
        <f aca="false">B64*25.4</f>
        <v>49.2125</v>
      </c>
      <c r="D64" s="54" t="n">
        <f aca="false">B64/2</f>
        <v>0.96875</v>
      </c>
      <c r="E64" s="53" t="n">
        <f aca="false">C64/2</f>
        <v>24.60625</v>
      </c>
    </row>
    <row r="65" customFormat="false" ht="15" hidden="false" customHeight="false" outlineLevel="0" collapsed="false">
      <c r="A65" s="30" t="str">
        <f aca="false">IF(NOT(ISNUMBER(B65)),"",IF(B65&lt;=0,"",IF(ABS(B65*64-ROUND(B65*64,0))&gt;0.0005,"≈ ","")&amp;IF(INT(ROUND(B65*64,0)/64)&gt;0,INT(ROUND(B65*64,0)/64)&amp;IF(MOD(ROUND(B65*64,0),64)&gt;0," ",""),"")&amp;IF(MOD(ROUND(B65*64,0),64)&gt;0,MOD(ROUND(B65*64,0),64)/GCD(MOD(ROUND(B65*64,0),64),64)&amp;"/"&amp;64/GCD(MOD(ROUND(B65*64,0),64),64),IF(ROUND(B65*64,0)=0,"0",""))&amp;""""))</f>
        <v>1 31/32"</v>
      </c>
      <c r="B65" s="48" t="n">
        <f aca="false">63/32</f>
        <v>1.96875</v>
      </c>
      <c r="C65" s="49" t="n">
        <f aca="false">B65*25.4</f>
        <v>50.00625</v>
      </c>
      <c r="D65" s="50" t="n">
        <f aca="false">B65/2</f>
        <v>0.984375</v>
      </c>
      <c r="E65" s="49" t="n">
        <f aca="false">C65/2</f>
        <v>25.003125</v>
      </c>
    </row>
    <row r="66" customFormat="false" ht="15" hidden="false" customHeight="false" outlineLevel="0" collapsed="false">
      <c r="A66" s="51" t="str">
        <f aca="false">IF(NOT(ISNUMBER(B66)),"",IF(B66&lt;=0,"",IF(ABS(B66*64-ROUND(B66*64,0))&gt;0.0005,"≈ ","")&amp;IF(INT(ROUND(B66*64,0)/64)&gt;0,INT(ROUND(B66*64,0)/64)&amp;IF(MOD(ROUND(B66*64,0),64)&gt;0," ",""),"")&amp;IF(MOD(ROUND(B66*64,0),64)&gt;0,MOD(ROUND(B66*64,0),64)/GCD(MOD(ROUND(B66*64,0),64),64)&amp;"/"&amp;64/GCD(MOD(ROUND(B66*64,0),64),64),IF(ROUND(B66*64,0)=0,"0",""))&amp;""""))</f>
        <v>2"</v>
      </c>
      <c r="B66" s="52" t="n">
        <f aca="false">64/32</f>
        <v>2</v>
      </c>
      <c r="C66" s="53" t="n">
        <f aca="false">B66*25.4</f>
        <v>50.8</v>
      </c>
      <c r="D66" s="54" t="n">
        <f aca="false">B66/2</f>
        <v>1</v>
      </c>
      <c r="E66" s="53" t="n">
        <f aca="false">C66/2</f>
        <v>25.4</v>
      </c>
    </row>
    <row r="67" customFormat="false" ht="15" hidden="false" customHeight="false" outlineLevel="0" collapsed="false">
      <c r="A67" s="30" t="str">
        <f aca="false">IF(NOT(ISNUMBER(B67)),"",IF(B67&lt;=0,"",IF(ABS(B67*64-ROUND(B67*64,0))&gt;0.0005,"≈ ","")&amp;IF(INT(ROUND(B67*64,0)/64)&gt;0,INT(ROUND(B67*64,0)/64)&amp;IF(MOD(ROUND(B67*64,0),64)&gt;0," ",""),"")&amp;IF(MOD(ROUND(B67*64,0),64)&gt;0,MOD(ROUND(B67*64,0),64)/GCD(MOD(ROUND(B67*64,0),64),64)&amp;"/"&amp;64/GCD(MOD(ROUND(B67*64,0),64),64),IF(ROUND(B67*64,0)=0,"0",""))&amp;""""))</f>
        <v>2 1/32"</v>
      </c>
      <c r="B67" s="48" t="n">
        <f aca="false">65/32</f>
        <v>2.03125</v>
      </c>
      <c r="C67" s="49" t="n">
        <f aca="false">B67*25.4</f>
        <v>51.59375</v>
      </c>
      <c r="D67" s="50" t="n">
        <f aca="false">B67/2</f>
        <v>1.015625</v>
      </c>
      <c r="E67" s="49" t="n">
        <f aca="false">C67/2</f>
        <v>25.796875</v>
      </c>
    </row>
    <row r="68" customFormat="false" ht="15" hidden="false" customHeight="false" outlineLevel="0" collapsed="false">
      <c r="A68" s="51" t="str">
        <f aca="false">IF(NOT(ISNUMBER(B68)),"",IF(B68&lt;=0,"",IF(ABS(B68*64-ROUND(B68*64,0))&gt;0.0005,"≈ ","")&amp;IF(INT(ROUND(B68*64,0)/64)&gt;0,INT(ROUND(B68*64,0)/64)&amp;IF(MOD(ROUND(B68*64,0),64)&gt;0," ",""),"")&amp;IF(MOD(ROUND(B68*64,0),64)&gt;0,MOD(ROUND(B68*64,0),64)/GCD(MOD(ROUND(B68*64,0),64),64)&amp;"/"&amp;64/GCD(MOD(ROUND(B68*64,0),64),64),IF(ROUND(B68*64,0)=0,"0",""))&amp;""""))</f>
        <v>2 1/16"</v>
      </c>
      <c r="B68" s="52" t="n">
        <f aca="false">66/32</f>
        <v>2.0625</v>
      </c>
      <c r="C68" s="53" t="n">
        <f aca="false">B68*25.4</f>
        <v>52.3875</v>
      </c>
      <c r="D68" s="54" t="n">
        <f aca="false">B68/2</f>
        <v>1.03125</v>
      </c>
      <c r="E68" s="53" t="n">
        <f aca="false">C68/2</f>
        <v>26.19375</v>
      </c>
    </row>
    <row r="69" customFormat="false" ht="15" hidden="false" customHeight="false" outlineLevel="0" collapsed="false">
      <c r="A69" s="30" t="str">
        <f aca="false">IF(NOT(ISNUMBER(B69)),"",IF(B69&lt;=0,"",IF(ABS(B69*64-ROUND(B69*64,0))&gt;0.0005,"≈ ","")&amp;IF(INT(ROUND(B69*64,0)/64)&gt;0,INT(ROUND(B69*64,0)/64)&amp;IF(MOD(ROUND(B69*64,0),64)&gt;0," ",""),"")&amp;IF(MOD(ROUND(B69*64,0),64)&gt;0,MOD(ROUND(B69*64,0),64)/GCD(MOD(ROUND(B69*64,0),64),64)&amp;"/"&amp;64/GCD(MOD(ROUND(B69*64,0),64),64),IF(ROUND(B69*64,0)=0,"0",""))&amp;""""))</f>
        <v>2 3/32"</v>
      </c>
      <c r="B69" s="48" t="n">
        <f aca="false">67/32</f>
        <v>2.09375</v>
      </c>
      <c r="C69" s="49" t="n">
        <f aca="false">B69*25.4</f>
        <v>53.18125</v>
      </c>
      <c r="D69" s="50" t="n">
        <f aca="false">B69/2</f>
        <v>1.046875</v>
      </c>
      <c r="E69" s="49" t="n">
        <f aca="false">C69/2</f>
        <v>26.590625</v>
      </c>
    </row>
    <row r="70" customFormat="false" ht="15" hidden="false" customHeight="false" outlineLevel="0" collapsed="false">
      <c r="A70" s="51" t="str">
        <f aca="false">IF(NOT(ISNUMBER(B70)),"",IF(B70&lt;=0,"",IF(ABS(B70*64-ROUND(B70*64,0))&gt;0.0005,"≈ ","")&amp;IF(INT(ROUND(B70*64,0)/64)&gt;0,INT(ROUND(B70*64,0)/64)&amp;IF(MOD(ROUND(B70*64,0),64)&gt;0," ",""),"")&amp;IF(MOD(ROUND(B70*64,0),64)&gt;0,MOD(ROUND(B70*64,0),64)/GCD(MOD(ROUND(B70*64,0),64),64)&amp;"/"&amp;64/GCD(MOD(ROUND(B70*64,0),64),64),IF(ROUND(B70*64,0)=0,"0",""))&amp;""""))</f>
        <v>2 1/8"</v>
      </c>
      <c r="B70" s="52" t="n">
        <f aca="false">68/32</f>
        <v>2.125</v>
      </c>
      <c r="C70" s="53" t="n">
        <f aca="false">B70*25.4</f>
        <v>53.975</v>
      </c>
      <c r="D70" s="54" t="n">
        <f aca="false">B70/2</f>
        <v>1.0625</v>
      </c>
      <c r="E70" s="53" t="n">
        <f aca="false">C70/2</f>
        <v>26.9875</v>
      </c>
    </row>
    <row r="71" customFormat="false" ht="15" hidden="false" customHeight="false" outlineLevel="0" collapsed="false">
      <c r="A71" s="30" t="str">
        <f aca="false">IF(NOT(ISNUMBER(B71)),"",IF(B71&lt;=0,"",IF(ABS(B71*64-ROUND(B71*64,0))&gt;0.0005,"≈ ","")&amp;IF(INT(ROUND(B71*64,0)/64)&gt;0,INT(ROUND(B71*64,0)/64)&amp;IF(MOD(ROUND(B71*64,0),64)&gt;0," ",""),"")&amp;IF(MOD(ROUND(B71*64,0),64)&gt;0,MOD(ROUND(B71*64,0),64)/GCD(MOD(ROUND(B71*64,0),64),64)&amp;"/"&amp;64/GCD(MOD(ROUND(B71*64,0),64),64),IF(ROUND(B71*64,0)=0,"0",""))&amp;""""))</f>
        <v>2 5/32"</v>
      </c>
      <c r="B71" s="48" t="n">
        <f aca="false">69/32</f>
        <v>2.15625</v>
      </c>
      <c r="C71" s="49" t="n">
        <f aca="false">B71*25.4</f>
        <v>54.76875</v>
      </c>
      <c r="D71" s="50" t="n">
        <f aca="false">B71/2</f>
        <v>1.078125</v>
      </c>
      <c r="E71" s="49" t="n">
        <f aca="false">C71/2</f>
        <v>27.384375</v>
      </c>
    </row>
    <row r="72" customFormat="false" ht="15" hidden="false" customHeight="false" outlineLevel="0" collapsed="false">
      <c r="A72" s="51" t="str">
        <f aca="false">IF(NOT(ISNUMBER(B72)),"",IF(B72&lt;=0,"",IF(ABS(B72*64-ROUND(B72*64,0))&gt;0.0005,"≈ ","")&amp;IF(INT(ROUND(B72*64,0)/64)&gt;0,INT(ROUND(B72*64,0)/64)&amp;IF(MOD(ROUND(B72*64,0),64)&gt;0," ",""),"")&amp;IF(MOD(ROUND(B72*64,0),64)&gt;0,MOD(ROUND(B72*64,0),64)/GCD(MOD(ROUND(B72*64,0),64),64)&amp;"/"&amp;64/GCD(MOD(ROUND(B72*64,0),64),64),IF(ROUND(B72*64,0)=0,"0",""))&amp;""""))</f>
        <v>2 3/16"</v>
      </c>
      <c r="B72" s="52" t="n">
        <f aca="false">70/32</f>
        <v>2.1875</v>
      </c>
      <c r="C72" s="53" t="n">
        <f aca="false">B72*25.4</f>
        <v>55.5625</v>
      </c>
      <c r="D72" s="54" t="n">
        <f aca="false">B72/2</f>
        <v>1.09375</v>
      </c>
      <c r="E72" s="53" t="n">
        <f aca="false">C72/2</f>
        <v>27.78125</v>
      </c>
    </row>
    <row r="73" customFormat="false" ht="15" hidden="false" customHeight="false" outlineLevel="0" collapsed="false">
      <c r="A73" s="30" t="str">
        <f aca="false">IF(NOT(ISNUMBER(B73)),"",IF(B73&lt;=0,"",IF(ABS(B73*64-ROUND(B73*64,0))&gt;0.0005,"≈ ","")&amp;IF(INT(ROUND(B73*64,0)/64)&gt;0,INT(ROUND(B73*64,0)/64)&amp;IF(MOD(ROUND(B73*64,0),64)&gt;0," ",""),"")&amp;IF(MOD(ROUND(B73*64,0),64)&gt;0,MOD(ROUND(B73*64,0),64)/GCD(MOD(ROUND(B73*64,0),64),64)&amp;"/"&amp;64/GCD(MOD(ROUND(B73*64,0),64),64),IF(ROUND(B73*64,0)=0,"0",""))&amp;""""))</f>
        <v>2 7/32"</v>
      </c>
      <c r="B73" s="48" t="n">
        <f aca="false">71/32</f>
        <v>2.21875</v>
      </c>
      <c r="C73" s="49" t="n">
        <f aca="false">B73*25.4</f>
        <v>56.35625</v>
      </c>
      <c r="D73" s="50" t="n">
        <f aca="false">B73/2</f>
        <v>1.109375</v>
      </c>
      <c r="E73" s="49" t="n">
        <f aca="false">C73/2</f>
        <v>28.178125</v>
      </c>
    </row>
    <row r="74" customFormat="false" ht="15" hidden="false" customHeight="false" outlineLevel="0" collapsed="false">
      <c r="A74" s="51" t="str">
        <f aca="false">IF(NOT(ISNUMBER(B74)),"",IF(B74&lt;=0,"",IF(ABS(B74*64-ROUND(B74*64,0))&gt;0.0005,"≈ ","")&amp;IF(INT(ROUND(B74*64,0)/64)&gt;0,INT(ROUND(B74*64,0)/64)&amp;IF(MOD(ROUND(B74*64,0),64)&gt;0," ",""),"")&amp;IF(MOD(ROUND(B74*64,0),64)&gt;0,MOD(ROUND(B74*64,0),64)/GCD(MOD(ROUND(B74*64,0),64),64)&amp;"/"&amp;64/GCD(MOD(ROUND(B74*64,0),64),64),IF(ROUND(B74*64,0)=0,"0",""))&amp;""""))</f>
        <v>2 1/4"</v>
      </c>
      <c r="B74" s="52" t="n">
        <f aca="false">72/32</f>
        <v>2.25</v>
      </c>
      <c r="C74" s="53" t="n">
        <f aca="false">B74*25.4</f>
        <v>57.15</v>
      </c>
      <c r="D74" s="54" t="n">
        <f aca="false">B74/2</f>
        <v>1.125</v>
      </c>
      <c r="E74" s="53" t="n">
        <f aca="false">C74/2</f>
        <v>28.575</v>
      </c>
    </row>
    <row r="75" customFormat="false" ht="15" hidden="false" customHeight="false" outlineLevel="0" collapsed="false">
      <c r="A75" s="30" t="str">
        <f aca="false">IF(NOT(ISNUMBER(B75)),"",IF(B75&lt;=0,"",IF(ABS(B75*64-ROUND(B75*64,0))&gt;0.0005,"≈ ","")&amp;IF(INT(ROUND(B75*64,0)/64)&gt;0,INT(ROUND(B75*64,0)/64)&amp;IF(MOD(ROUND(B75*64,0),64)&gt;0," ",""),"")&amp;IF(MOD(ROUND(B75*64,0),64)&gt;0,MOD(ROUND(B75*64,0),64)/GCD(MOD(ROUND(B75*64,0),64),64)&amp;"/"&amp;64/GCD(MOD(ROUND(B75*64,0),64),64),IF(ROUND(B75*64,0)=0,"0",""))&amp;""""))</f>
        <v>2 9/32"</v>
      </c>
      <c r="B75" s="48" t="n">
        <f aca="false">73/32</f>
        <v>2.28125</v>
      </c>
      <c r="C75" s="49" t="n">
        <f aca="false">B75*25.4</f>
        <v>57.94375</v>
      </c>
      <c r="D75" s="50" t="n">
        <f aca="false">B75/2</f>
        <v>1.140625</v>
      </c>
      <c r="E75" s="49" t="n">
        <f aca="false">C75/2</f>
        <v>28.971875</v>
      </c>
    </row>
    <row r="76" customFormat="false" ht="15" hidden="false" customHeight="false" outlineLevel="0" collapsed="false">
      <c r="A76" s="51" t="str">
        <f aca="false">IF(NOT(ISNUMBER(B76)),"",IF(B76&lt;=0,"",IF(ABS(B76*64-ROUND(B76*64,0))&gt;0.0005,"≈ ","")&amp;IF(INT(ROUND(B76*64,0)/64)&gt;0,INT(ROUND(B76*64,0)/64)&amp;IF(MOD(ROUND(B76*64,0),64)&gt;0," ",""),"")&amp;IF(MOD(ROUND(B76*64,0),64)&gt;0,MOD(ROUND(B76*64,0),64)/GCD(MOD(ROUND(B76*64,0),64),64)&amp;"/"&amp;64/GCD(MOD(ROUND(B76*64,0),64),64),IF(ROUND(B76*64,0)=0,"0",""))&amp;""""))</f>
        <v>2 5/16"</v>
      </c>
      <c r="B76" s="52" t="n">
        <f aca="false">74/32</f>
        <v>2.3125</v>
      </c>
      <c r="C76" s="53" t="n">
        <f aca="false">B76*25.4</f>
        <v>58.7375</v>
      </c>
      <c r="D76" s="54" t="n">
        <f aca="false">B76/2</f>
        <v>1.15625</v>
      </c>
      <c r="E76" s="53" t="n">
        <f aca="false">C76/2</f>
        <v>29.36875</v>
      </c>
    </row>
    <row r="77" customFormat="false" ht="15" hidden="false" customHeight="false" outlineLevel="0" collapsed="false">
      <c r="A77" s="30" t="str">
        <f aca="false">IF(NOT(ISNUMBER(B77)),"",IF(B77&lt;=0,"",IF(ABS(B77*64-ROUND(B77*64,0))&gt;0.0005,"≈ ","")&amp;IF(INT(ROUND(B77*64,0)/64)&gt;0,INT(ROUND(B77*64,0)/64)&amp;IF(MOD(ROUND(B77*64,0),64)&gt;0," ",""),"")&amp;IF(MOD(ROUND(B77*64,0),64)&gt;0,MOD(ROUND(B77*64,0),64)/GCD(MOD(ROUND(B77*64,0),64),64)&amp;"/"&amp;64/GCD(MOD(ROUND(B77*64,0),64),64),IF(ROUND(B77*64,0)=0,"0",""))&amp;""""))</f>
        <v>2 11/32"</v>
      </c>
      <c r="B77" s="48" t="n">
        <f aca="false">75/32</f>
        <v>2.34375</v>
      </c>
      <c r="C77" s="49" t="n">
        <f aca="false">B77*25.4</f>
        <v>59.53125</v>
      </c>
      <c r="D77" s="50" t="n">
        <f aca="false">B77/2</f>
        <v>1.171875</v>
      </c>
      <c r="E77" s="49" t="n">
        <f aca="false">C77/2</f>
        <v>29.765625</v>
      </c>
    </row>
    <row r="78" customFormat="false" ht="15" hidden="false" customHeight="false" outlineLevel="0" collapsed="false">
      <c r="A78" s="51" t="str">
        <f aca="false">IF(NOT(ISNUMBER(B78)),"",IF(B78&lt;=0,"",IF(ABS(B78*64-ROUND(B78*64,0))&gt;0.0005,"≈ ","")&amp;IF(INT(ROUND(B78*64,0)/64)&gt;0,INT(ROUND(B78*64,0)/64)&amp;IF(MOD(ROUND(B78*64,0),64)&gt;0," ",""),"")&amp;IF(MOD(ROUND(B78*64,0),64)&gt;0,MOD(ROUND(B78*64,0),64)/GCD(MOD(ROUND(B78*64,0),64),64)&amp;"/"&amp;64/GCD(MOD(ROUND(B78*64,0),64),64),IF(ROUND(B78*64,0)=0,"0",""))&amp;""""))</f>
        <v>2 3/8"</v>
      </c>
      <c r="B78" s="52" t="n">
        <f aca="false">76/32</f>
        <v>2.375</v>
      </c>
      <c r="C78" s="53" t="n">
        <f aca="false">B78*25.4</f>
        <v>60.325</v>
      </c>
      <c r="D78" s="54" t="n">
        <f aca="false">B78/2</f>
        <v>1.1875</v>
      </c>
      <c r="E78" s="53" t="n">
        <f aca="false">C78/2</f>
        <v>30.1625</v>
      </c>
    </row>
    <row r="79" customFormat="false" ht="15" hidden="false" customHeight="false" outlineLevel="0" collapsed="false">
      <c r="A79" s="30" t="str">
        <f aca="false">IF(NOT(ISNUMBER(B79)),"",IF(B79&lt;=0,"",IF(ABS(B79*64-ROUND(B79*64,0))&gt;0.0005,"≈ ","")&amp;IF(INT(ROUND(B79*64,0)/64)&gt;0,INT(ROUND(B79*64,0)/64)&amp;IF(MOD(ROUND(B79*64,0),64)&gt;0," ",""),"")&amp;IF(MOD(ROUND(B79*64,0),64)&gt;0,MOD(ROUND(B79*64,0),64)/GCD(MOD(ROUND(B79*64,0),64),64)&amp;"/"&amp;64/GCD(MOD(ROUND(B79*64,0),64),64),IF(ROUND(B79*64,0)=0,"0",""))&amp;""""))</f>
        <v>2 13/32"</v>
      </c>
      <c r="B79" s="48" t="n">
        <f aca="false">77/32</f>
        <v>2.40625</v>
      </c>
      <c r="C79" s="49" t="n">
        <f aca="false">B79*25.4</f>
        <v>61.11875</v>
      </c>
      <c r="D79" s="50" t="n">
        <f aca="false">B79/2</f>
        <v>1.203125</v>
      </c>
      <c r="E79" s="49" t="n">
        <f aca="false">C79/2</f>
        <v>30.559375</v>
      </c>
    </row>
    <row r="80" customFormat="false" ht="15" hidden="false" customHeight="false" outlineLevel="0" collapsed="false">
      <c r="A80" s="51" t="str">
        <f aca="false">IF(NOT(ISNUMBER(B80)),"",IF(B80&lt;=0,"",IF(ABS(B80*64-ROUND(B80*64,0))&gt;0.0005,"≈ ","")&amp;IF(INT(ROUND(B80*64,0)/64)&gt;0,INT(ROUND(B80*64,0)/64)&amp;IF(MOD(ROUND(B80*64,0),64)&gt;0," ",""),"")&amp;IF(MOD(ROUND(B80*64,0),64)&gt;0,MOD(ROUND(B80*64,0),64)/GCD(MOD(ROUND(B80*64,0),64),64)&amp;"/"&amp;64/GCD(MOD(ROUND(B80*64,0),64),64),IF(ROUND(B80*64,0)=0,"0",""))&amp;""""))</f>
        <v>2 7/16"</v>
      </c>
      <c r="B80" s="52" t="n">
        <f aca="false">78/32</f>
        <v>2.4375</v>
      </c>
      <c r="C80" s="53" t="n">
        <f aca="false">B80*25.4</f>
        <v>61.9125</v>
      </c>
      <c r="D80" s="54" t="n">
        <f aca="false">B80/2</f>
        <v>1.21875</v>
      </c>
      <c r="E80" s="53" t="n">
        <f aca="false">C80/2</f>
        <v>30.95625</v>
      </c>
    </row>
    <row r="81" customFormat="false" ht="15" hidden="false" customHeight="false" outlineLevel="0" collapsed="false">
      <c r="A81" s="30" t="str">
        <f aca="false">IF(NOT(ISNUMBER(B81)),"",IF(B81&lt;=0,"",IF(ABS(B81*64-ROUND(B81*64,0))&gt;0.0005,"≈ ","")&amp;IF(INT(ROUND(B81*64,0)/64)&gt;0,INT(ROUND(B81*64,0)/64)&amp;IF(MOD(ROUND(B81*64,0),64)&gt;0," ",""),"")&amp;IF(MOD(ROUND(B81*64,0),64)&gt;0,MOD(ROUND(B81*64,0),64)/GCD(MOD(ROUND(B81*64,0),64),64)&amp;"/"&amp;64/GCD(MOD(ROUND(B81*64,0),64),64),IF(ROUND(B81*64,0)=0,"0",""))&amp;""""))</f>
        <v>2 15/32"</v>
      </c>
      <c r="B81" s="48" t="n">
        <f aca="false">79/32</f>
        <v>2.46875</v>
      </c>
      <c r="C81" s="49" t="n">
        <f aca="false">B81*25.4</f>
        <v>62.70625</v>
      </c>
      <c r="D81" s="50" t="n">
        <f aca="false">B81/2</f>
        <v>1.234375</v>
      </c>
      <c r="E81" s="49" t="n">
        <f aca="false">C81/2</f>
        <v>31.353125</v>
      </c>
    </row>
    <row r="82" customFormat="false" ht="15" hidden="false" customHeight="false" outlineLevel="0" collapsed="false">
      <c r="A82" s="51" t="str">
        <f aca="false">IF(NOT(ISNUMBER(B82)),"",IF(B82&lt;=0,"",IF(ABS(B82*64-ROUND(B82*64,0))&gt;0.0005,"≈ ","")&amp;IF(INT(ROUND(B82*64,0)/64)&gt;0,INT(ROUND(B82*64,0)/64)&amp;IF(MOD(ROUND(B82*64,0),64)&gt;0," ",""),"")&amp;IF(MOD(ROUND(B82*64,0),64)&gt;0,MOD(ROUND(B82*64,0),64)/GCD(MOD(ROUND(B82*64,0),64),64)&amp;"/"&amp;64/GCD(MOD(ROUND(B82*64,0),64),64),IF(ROUND(B82*64,0)=0,"0",""))&amp;""""))</f>
        <v>2 1/2"</v>
      </c>
      <c r="B82" s="52" t="n">
        <f aca="false">80/32</f>
        <v>2.5</v>
      </c>
      <c r="C82" s="53" t="n">
        <f aca="false">B82*25.4</f>
        <v>63.5</v>
      </c>
      <c r="D82" s="54" t="n">
        <f aca="false">B82/2</f>
        <v>1.25</v>
      </c>
      <c r="E82" s="53" t="n">
        <f aca="false">C82/2</f>
        <v>31.75</v>
      </c>
    </row>
    <row r="83" customFormat="false" ht="15" hidden="false" customHeight="false" outlineLevel="0" collapsed="false">
      <c r="A83" s="30" t="str">
        <f aca="false">IF(NOT(ISNUMBER(B83)),"",IF(B83&lt;=0,"",IF(ABS(B83*64-ROUND(B83*64,0))&gt;0.0005,"≈ ","")&amp;IF(INT(ROUND(B83*64,0)/64)&gt;0,INT(ROUND(B83*64,0)/64)&amp;IF(MOD(ROUND(B83*64,0),64)&gt;0," ",""),"")&amp;IF(MOD(ROUND(B83*64,0),64)&gt;0,MOD(ROUND(B83*64,0),64)/GCD(MOD(ROUND(B83*64,0),64),64)&amp;"/"&amp;64/GCD(MOD(ROUND(B83*64,0),64),64),IF(ROUND(B83*64,0)=0,"0",""))&amp;""""))</f>
        <v>2 17/32"</v>
      </c>
      <c r="B83" s="48" t="n">
        <f aca="false">81/32</f>
        <v>2.53125</v>
      </c>
      <c r="C83" s="49" t="n">
        <f aca="false">B83*25.4</f>
        <v>64.29375</v>
      </c>
      <c r="D83" s="50" t="n">
        <f aca="false">B83/2</f>
        <v>1.265625</v>
      </c>
      <c r="E83" s="49" t="n">
        <f aca="false">C83/2</f>
        <v>32.146875</v>
      </c>
    </row>
    <row r="84" customFormat="false" ht="15" hidden="false" customHeight="false" outlineLevel="0" collapsed="false">
      <c r="A84" s="51" t="str">
        <f aca="false">IF(NOT(ISNUMBER(B84)),"",IF(B84&lt;=0,"",IF(ABS(B84*64-ROUND(B84*64,0))&gt;0.0005,"≈ ","")&amp;IF(INT(ROUND(B84*64,0)/64)&gt;0,INT(ROUND(B84*64,0)/64)&amp;IF(MOD(ROUND(B84*64,0),64)&gt;0," ",""),"")&amp;IF(MOD(ROUND(B84*64,0),64)&gt;0,MOD(ROUND(B84*64,0),64)/GCD(MOD(ROUND(B84*64,0),64),64)&amp;"/"&amp;64/GCD(MOD(ROUND(B84*64,0),64),64),IF(ROUND(B84*64,0)=0,"0",""))&amp;""""))</f>
        <v>2 9/16"</v>
      </c>
      <c r="B84" s="52" t="n">
        <f aca="false">82/32</f>
        <v>2.5625</v>
      </c>
      <c r="C84" s="53" t="n">
        <f aca="false">B84*25.4</f>
        <v>65.0875</v>
      </c>
      <c r="D84" s="54" t="n">
        <f aca="false">B84/2</f>
        <v>1.28125</v>
      </c>
      <c r="E84" s="53" t="n">
        <f aca="false">C84/2</f>
        <v>32.54375</v>
      </c>
    </row>
    <row r="85" customFormat="false" ht="15" hidden="false" customHeight="false" outlineLevel="0" collapsed="false">
      <c r="A85" s="30" t="str">
        <f aca="false">IF(NOT(ISNUMBER(B85)),"",IF(B85&lt;=0,"",IF(ABS(B85*64-ROUND(B85*64,0))&gt;0.0005,"≈ ","")&amp;IF(INT(ROUND(B85*64,0)/64)&gt;0,INT(ROUND(B85*64,0)/64)&amp;IF(MOD(ROUND(B85*64,0),64)&gt;0," ",""),"")&amp;IF(MOD(ROUND(B85*64,0),64)&gt;0,MOD(ROUND(B85*64,0),64)/GCD(MOD(ROUND(B85*64,0),64),64)&amp;"/"&amp;64/GCD(MOD(ROUND(B85*64,0),64),64),IF(ROUND(B85*64,0)=0,"0",""))&amp;""""))</f>
        <v>2 19/32"</v>
      </c>
      <c r="B85" s="48" t="n">
        <f aca="false">83/32</f>
        <v>2.59375</v>
      </c>
      <c r="C85" s="49" t="n">
        <f aca="false">B85*25.4</f>
        <v>65.88125</v>
      </c>
      <c r="D85" s="50" t="n">
        <f aca="false">B85/2</f>
        <v>1.296875</v>
      </c>
      <c r="E85" s="49" t="n">
        <f aca="false">C85/2</f>
        <v>32.940625</v>
      </c>
    </row>
    <row r="86" customFormat="false" ht="15" hidden="false" customHeight="false" outlineLevel="0" collapsed="false">
      <c r="A86" s="51" t="str">
        <f aca="false">IF(NOT(ISNUMBER(B86)),"",IF(B86&lt;=0,"",IF(ABS(B86*64-ROUND(B86*64,0))&gt;0.0005,"≈ ","")&amp;IF(INT(ROUND(B86*64,0)/64)&gt;0,INT(ROUND(B86*64,0)/64)&amp;IF(MOD(ROUND(B86*64,0),64)&gt;0," ",""),"")&amp;IF(MOD(ROUND(B86*64,0),64)&gt;0,MOD(ROUND(B86*64,0),64)/GCD(MOD(ROUND(B86*64,0),64),64)&amp;"/"&amp;64/GCD(MOD(ROUND(B86*64,0),64),64),IF(ROUND(B86*64,0)=0,"0",""))&amp;""""))</f>
        <v>2 5/8"</v>
      </c>
      <c r="B86" s="52" t="n">
        <f aca="false">84/32</f>
        <v>2.625</v>
      </c>
      <c r="C86" s="53" t="n">
        <f aca="false">B86*25.4</f>
        <v>66.675</v>
      </c>
      <c r="D86" s="54" t="n">
        <f aca="false">B86/2</f>
        <v>1.3125</v>
      </c>
      <c r="E86" s="53" t="n">
        <f aca="false">C86/2</f>
        <v>33.3375</v>
      </c>
    </row>
    <row r="87" customFormat="false" ht="15" hidden="false" customHeight="false" outlineLevel="0" collapsed="false">
      <c r="A87" s="30" t="str">
        <f aca="false">IF(NOT(ISNUMBER(B87)),"",IF(B87&lt;=0,"",IF(ABS(B87*64-ROUND(B87*64,0))&gt;0.0005,"≈ ","")&amp;IF(INT(ROUND(B87*64,0)/64)&gt;0,INT(ROUND(B87*64,0)/64)&amp;IF(MOD(ROUND(B87*64,0),64)&gt;0," ",""),"")&amp;IF(MOD(ROUND(B87*64,0),64)&gt;0,MOD(ROUND(B87*64,0),64)/GCD(MOD(ROUND(B87*64,0),64),64)&amp;"/"&amp;64/GCD(MOD(ROUND(B87*64,0),64),64),IF(ROUND(B87*64,0)=0,"0",""))&amp;""""))</f>
        <v>2 21/32"</v>
      </c>
      <c r="B87" s="48" t="n">
        <f aca="false">85/32</f>
        <v>2.65625</v>
      </c>
      <c r="C87" s="49" t="n">
        <f aca="false">B87*25.4</f>
        <v>67.46875</v>
      </c>
      <c r="D87" s="50" t="n">
        <f aca="false">B87/2</f>
        <v>1.328125</v>
      </c>
      <c r="E87" s="49" t="n">
        <f aca="false">C87/2</f>
        <v>33.734375</v>
      </c>
    </row>
    <row r="88" customFormat="false" ht="15" hidden="false" customHeight="false" outlineLevel="0" collapsed="false">
      <c r="A88" s="51" t="str">
        <f aca="false">IF(NOT(ISNUMBER(B88)),"",IF(B88&lt;=0,"",IF(ABS(B88*64-ROUND(B88*64,0))&gt;0.0005,"≈ ","")&amp;IF(INT(ROUND(B88*64,0)/64)&gt;0,INT(ROUND(B88*64,0)/64)&amp;IF(MOD(ROUND(B88*64,0),64)&gt;0," ",""),"")&amp;IF(MOD(ROUND(B88*64,0),64)&gt;0,MOD(ROUND(B88*64,0),64)/GCD(MOD(ROUND(B88*64,0),64),64)&amp;"/"&amp;64/GCD(MOD(ROUND(B88*64,0),64),64),IF(ROUND(B88*64,0)=0,"0",""))&amp;""""))</f>
        <v>2 11/16"</v>
      </c>
      <c r="B88" s="52" t="n">
        <f aca="false">86/32</f>
        <v>2.6875</v>
      </c>
      <c r="C88" s="53" t="n">
        <f aca="false">B88*25.4</f>
        <v>68.2625</v>
      </c>
      <c r="D88" s="54" t="n">
        <f aca="false">B88/2</f>
        <v>1.34375</v>
      </c>
      <c r="E88" s="53" t="n">
        <f aca="false">C88/2</f>
        <v>34.13125</v>
      </c>
    </row>
    <row r="89" customFormat="false" ht="15" hidden="false" customHeight="false" outlineLevel="0" collapsed="false">
      <c r="A89" s="30" t="str">
        <f aca="false">IF(NOT(ISNUMBER(B89)),"",IF(B89&lt;=0,"",IF(ABS(B89*64-ROUND(B89*64,0))&gt;0.0005,"≈ ","")&amp;IF(INT(ROUND(B89*64,0)/64)&gt;0,INT(ROUND(B89*64,0)/64)&amp;IF(MOD(ROUND(B89*64,0),64)&gt;0," ",""),"")&amp;IF(MOD(ROUND(B89*64,0),64)&gt;0,MOD(ROUND(B89*64,0),64)/GCD(MOD(ROUND(B89*64,0),64),64)&amp;"/"&amp;64/GCD(MOD(ROUND(B89*64,0),64),64),IF(ROUND(B89*64,0)=0,"0",""))&amp;""""))</f>
        <v>2 23/32"</v>
      </c>
      <c r="B89" s="48" t="n">
        <f aca="false">87/32</f>
        <v>2.71875</v>
      </c>
      <c r="C89" s="49" t="n">
        <f aca="false">B89*25.4</f>
        <v>69.05625</v>
      </c>
      <c r="D89" s="50" t="n">
        <f aca="false">B89/2</f>
        <v>1.359375</v>
      </c>
      <c r="E89" s="49" t="n">
        <f aca="false">C89/2</f>
        <v>34.528125</v>
      </c>
    </row>
    <row r="90" customFormat="false" ht="15" hidden="false" customHeight="false" outlineLevel="0" collapsed="false">
      <c r="A90" s="51" t="str">
        <f aca="false">IF(NOT(ISNUMBER(B90)),"",IF(B90&lt;=0,"",IF(ABS(B90*64-ROUND(B90*64,0))&gt;0.0005,"≈ ","")&amp;IF(INT(ROUND(B90*64,0)/64)&gt;0,INT(ROUND(B90*64,0)/64)&amp;IF(MOD(ROUND(B90*64,0),64)&gt;0," ",""),"")&amp;IF(MOD(ROUND(B90*64,0),64)&gt;0,MOD(ROUND(B90*64,0),64)/GCD(MOD(ROUND(B90*64,0),64),64)&amp;"/"&amp;64/GCD(MOD(ROUND(B90*64,0),64),64),IF(ROUND(B90*64,0)=0,"0",""))&amp;""""))</f>
        <v>2 3/4"</v>
      </c>
      <c r="B90" s="52" t="n">
        <f aca="false">88/32</f>
        <v>2.75</v>
      </c>
      <c r="C90" s="53" t="n">
        <f aca="false">B90*25.4</f>
        <v>69.85</v>
      </c>
      <c r="D90" s="54" t="n">
        <f aca="false">B90/2</f>
        <v>1.375</v>
      </c>
      <c r="E90" s="53" t="n">
        <f aca="false">C90/2</f>
        <v>34.925</v>
      </c>
    </row>
    <row r="91" customFormat="false" ht="15" hidden="false" customHeight="false" outlineLevel="0" collapsed="false">
      <c r="A91" s="30" t="str">
        <f aca="false">IF(NOT(ISNUMBER(B91)),"",IF(B91&lt;=0,"",IF(ABS(B91*64-ROUND(B91*64,0))&gt;0.0005,"≈ ","")&amp;IF(INT(ROUND(B91*64,0)/64)&gt;0,INT(ROUND(B91*64,0)/64)&amp;IF(MOD(ROUND(B91*64,0),64)&gt;0," ",""),"")&amp;IF(MOD(ROUND(B91*64,0),64)&gt;0,MOD(ROUND(B91*64,0),64)/GCD(MOD(ROUND(B91*64,0),64),64)&amp;"/"&amp;64/GCD(MOD(ROUND(B91*64,0),64),64),IF(ROUND(B91*64,0)=0,"0",""))&amp;""""))</f>
        <v>2 25/32"</v>
      </c>
      <c r="B91" s="48" t="n">
        <f aca="false">89/32</f>
        <v>2.78125</v>
      </c>
      <c r="C91" s="49" t="n">
        <f aca="false">B91*25.4</f>
        <v>70.64375</v>
      </c>
      <c r="D91" s="50" t="n">
        <f aca="false">B91/2</f>
        <v>1.390625</v>
      </c>
      <c r="E91" s="49" t="n">
        <f aca="false">C91/2</f>
        <v>35.321875</v>
      </c>
    </row>
    <row r="92" customFormat="false" ht="15" hidden="false" customHeight="false" outlineLevel="0" collapsed="false">
      <c r="A92" s="51" t="str">
        <f aca="false">IF(NOT(ISNUMBER(B92)),"",IF(B92&lt;=0,"",IF(ABS(B92*64-ROUND(B92*64,0))&gt;0.0005,"≈ ","")&amp;IF(INT(ROUND(B92*64,0)/64)&gt;0,INT(ROUND(B92*64,0)/64)&amp;IF(MOD(ROUND(B92*64,0),64)&gt;0," ",""),"")&amp;IF(MOD(ROUND(B92*64,0),64)&gt;0,MOD(ROUND(B92*64,0),64)/GCD(MOD(ROUND(B92*64,0),64),64)&amp;"/"&amp;64/GCD(MOD(ROUND(B92*64,0),64),64),IF(ROUND(B92*64,0)=0,"0",""))&amp;""""))</f>
        <v>2 13/16"</v>
      </c>
      <c r="B92" s="52" t="n">
        <f aca="false">90/32</f>
        <v>2.8125</v>
      </c>
      <c r="C92" s="53" t="n">
        <f aca="false">B92*25.4</f>
        <v>71.4375</v>
      </c>
      <c r="D92" s="54" t="n">
        <f aca="false">B92/2</f>
        <v>1.40625</v>
      </c>
      <c r="E92" s="53" t="n">
        <f aca="false">C92/2</f>
        <v>35.71875</v>
      </c>
    </row>
    <row r="93" customFormat="false" ht="15" hidden="false" customHeight="false" outlineLevel="0" collapsed="false">
      <c r="A93" s="30" t="str">
        <f aca="false">IF(NOT(ISNUMBER(B93)),"",IF(B93&lt;=0,"",IF(ABS(B93*64-ROUND(B93*64,0))&gt;0.0005,"≈ ","")&amp;IF(INT(ROUND(B93*64,0)/64)&gt;0,INT(ROUND(B93*64,0)/64)&amp;IF(MOD(ROUND(B93*64,0),64)&gt;0," ",""),"")&amp;IF(MOD(ROUND(B93*64,0),64)&gt;0,MOD(ROUND(B93*64,0),64)/GCD(MOD(ROUND(B93*64,0),64),64)&amp;"/"&amp;64/GCD(MOD(ROUND(B93*64,0),64),64),IF(ROUND(B93*64,0)=0,"0",""))&amp;""""))</f>
        <v>2 27/32"</v>
      </c>
      <c r="B93" s="48" t="n">
        <f aca="false">91/32</f>
        <v>2.84375</v>
      </c>
      <c r="C93" s="49" t="n">
        <f aca="false">B93*25.4</f>
        <v>72.23125</v>
      </c>
      <c r="D93" s="50" t="n">
        <f aca="false">B93/2</f>
        <v>1.421875</v>
      </c>
      <c r="E93" s="49" t="n">
        <f aca="false">C93/2</f>
        <v>36.115625</v>
      </c>
    </row>
    <row r="94" customFormat="false" ht="15" hidden="false" customHeight="false" outlineLevel="0" collapsed="false">
      <c r="A94" s="51" t="str">
        <f aca="false">IF(NOT(ISNUMBER(B94)),"",IF(B94&lt;=0,"",IF(ABS(B94*64-ROUND(B94*64,0))&gt;0.0005,"≈ ","")&amp;IF(INT(ROUND(B94*64,0)/64)&gt;0,INT(ROUND(B94*64,0)/64)&amp;IF(MOD(ROUND(B94*64,0),64)&gt;0," ",""),"")&amp;IF(MOD(ROUND(B94*64,0),64)&gt;0,MOD(ROUND(B94*64,0),64)/GCD(MOD(ROUND(B94*64,0),64),64)&amp;"/"&amp;64/GCD(MOD(ROUND(B94*64,0),64),64),IF(ROUND(B94*64,0)=0,"0",""))&amp;""""))</f>
        <v>2 7/8"</v>
      </c>
      <c r="B94" s="52" t="n">
        <f aca="false">92/32</f>
        <v>2.875</v>
      </c>
      <c r="C94" s="53" t="n">
        <f aca="false">B94*25.4</f>
        <v>73.025</v>
      </c>
      <c r="D94" s="54" t="n">
        <f aca="false">B94/2</f>
        <v>1.4375</v>
      </c>
      <c r="E94" s="53" t="n">
        <f aca="false">C94/2</f>
        <v>36.5125</v>
      </c>
    </row>
    <row r="95" customFormat="false" ht="15" hidden="false" customHeight="false" outlineLevel="0" collapsed="false">
      <c r="A95" s="30" t="str">
        <f aca="false">IF(NOT(ISNUMBER(B95)),"",IF(B95&lt;=0,"",IF(ABS(B95*64-ROUND(B95*64,0))&gt;0.0005,"≈ ","")&amp;IF(INT(ROUND(B95*64,0)/64)&gt;0,INT(ROUND(B95*64,0)/64)&amp;IF(MOD(ROUND(B95*64,0),64)&gt;0," ",""),"")&amp;IF(MOD(ROUND(B95*64,0),64)&gt;0,MOD(ROUND(B95*64,0),64)/GCD(MOD(ROUND(B95*64,0),64),64)&amp;"/"&amp;64/GCD(MOD(ROUND(B95*64,0),64),64),IF(ROUND(B95*64,0)=0,"0",""))&amp;""""))</f>
        <v>2 29/32"</v>
      </c>
      <c r="B95" s="48" t="n">
        <f aca="false">93/32</f>
        <v>2.90625</v>
      </c>
      <c r="C95" s="49" t="n">
        <f aca="false">B95*25.4</f>
        <v>73.81875</v>
      </c>
      <c r="D95" s="50" t="n">
        <f aca="false">B95/2</f>
        <v>1.453125</v>
      </c>
      <c r="E95" s="49" t="n">
        <f aca="false">C95/2</f>
        <v>36.909375</v>
      </c>
    </row>
    <row r="96" customFormat="false" ht="15" hidden="false" customHeight="false" outlineLevel="0" collapsed="false">
      <c r="A96" s="51" t="str">
        <f aca="false">IF(NOT(ISNUMBER(B96)),"",IF(B96&lt;=0,"",IF(ABS(B96*64-ROUND(B96*64,0))&gt;0.0005,"≈ ","")&amp;IF(INT(ROUND(B96*64,0)/64)&gt;0,INT(ROUND(B96*64,0)/64)&amp;IF(MOD(ROUND(B96*64,0),64)&gt;0," ",""),"")&amp;IF(MOD(ROUND(B96*64,0),64)&gt;0,MOD(ROUND(B96*64,0),64)/GCD(MOD(ROUND(B96*64,0),64),64)&amp;"/"&amp;64/GCD(MOD(ROUND(B96*64,0),64),64),IF(ROUND(B96*64,0)=0,"0",""))&amp;""""))</f>
        <v>2 15/16"</v>
      </c>
      <c r="B96" s="52" t="n">
        <f aca="false">94/32</f>
        <v>2.9375</v>
      </c>
      <c r="C96" s="53" t="n">
        <f aca="false">B96*25.4</f>
        <v>74.6125</v>
      </c>
      <c r="D96" s="54" t="n">
        <f aca="false">B96/2</f>
        <v>1.46875</v>
      </c>
      <c r="E96" s="53" t="n">
        <f aca="false">C96/2</f>
        <v>37.30625</v>
      </c>
    </row>
    <row r="97" customFormat="false" ht="15" hidden="false" customHeight="false" outlineLevel="0" collapsed="false">
      <c r="A97" s="30" t="str">
        <f aca="false">IF(NOT(ISNUMBER(B97)),"",IF(B97&lt;=0,"",IF(ABS(B97*64-ROUND(B97*64,0))&gt;0.0005,"≈ ","")&amp;IF(INT(ROUND(B97*64,0)/64)&gt;0,INT(ROUND(B97*64,0)/64)&amp;IF(MOD(ROUND(B97*64,0),64)&gt;0," ",""),"")&amp;IF(MOD(ROUND(B97*64,0),64)&gt;0,MOD(ROUND(B97*64,0),64)/GCD(MOD(ROUND(B97*64,0),64),64)&amp;"/"&amp;64/GCD(MOD(ROUND(B97*64,0),64),64),IF(ROUND(B97*64,0)=0,"0",""))&amp;""""))</f>
        <v>2 31/32"</v>
      </c>
      <c r="B97" s="48" t="n">
        <f aca="false">95/32</f>
        <v>2.96875</v>
      </c>
      <c r="C97" s="49" t="n">
        <f aca="false">B97*25.4</f>
        <v>75.40625</v>
      </c>
      <c r="D97" s="50" t="n">
        <f aca="false">B97/2</f>
        <v>1.484375</v>
      </c>
      <c r="E97" s="49" t="n">
        <f aca="false">C97/2</f>
        <v>37.703125</v>
      </c>
    </row>
    <row r="98" customFormat="false" ht="15" hidden="false" customHeight="false" outlineLevel="0" collapsed="false">
      <c r="A98" s="51" t="str">
        <f aca="false">IF(NOT(ISNUMBER(B98)),"",IF(B98&lt;=0,"",IF(ABS(B98*64-ROUND(B98*64,0))&gt;0.0005,"≈ ","")&amp;IF(INT(ROUND(B98*64,0)/64)&gt;0,INT(ROUND(B98*64,0)/64)&amp;IF(MOD(ROUND(B98*64,0),64)&gt;0," ",""),"")&amp;IF(MOD(ROUND(B98*64,0),64)&gt;0,MOD(ROUND(B98*64,0),64)/GCD(MOD(ROUND(B98*64,0),64),64)&amp;"/"&amp;64/GCD(MOD(ROUND(B98*64,0),64),64),IF(ROUND(B98*64,0)=0,"0",""))&amp;""""))</f>
        <v>3"</v>
      </c>
      <c r="B98" s="52" t="n">
        <f aca="false">96/32</f>
        <v>3</v>
      </c>
      <c r="C98" s="53" t="n">
        <f aca="false">B98*25.4</f>
        <v>76.2</v>
      </c>
      <c r="D98" s="54" t="n">
        <f aca="false">B98/2</f>
        <v>1.5</v>
      </c>
      <c r="E98" s="53" t="n">
        <f aca="false">C98/2</f>
        <v>38.1</v>
      </c>
    </row>
    <row r="99" customFormat="false" ht="15" hidden="false" customHeight="false" outlineLevel="0" collapsed="false">
      <c r="A99" s="30" t="str">
        <f aca="false">IF(NOT(ISNUMBER(B99)),"",IF(B99&lt;=0,"",IF(ABS(B99*64-ROUND(B99*64,0))&gt;0.0005,"≈ ","")&amp;IF(INT(ROUND(B99*64,0)/64)&gt;0,INT(ROUND(B99*64,0)/64)&amp;IF(MOD(ROUND(B99*64,0),64)&gt;0," ",""),"")&amp;IF(MOD(ROUND(B99*64,0),64)&gt;0,MOD(ROUND(B99*64,0),64)/GCD(MOD(ROUND(B99*64,0),64),64)&amp;"/"&amp;64/GCD(MOD(ROUND(B99*64,0),64),64),IF(ROUND(B99*64,0)=0,"0",""))&amp;""""))</f>
        <v>3 1/32"</v>
      </c>
      <c r="B99" s="48" t="n">
        <f aca="false">97/32</f>
        <v>3.03125</v>
      </c>
      <c r="C99" s="49" t="n">
        <f aca="false">B99*25.4</f>
        <v>76.99375</v>
      </c>
      <c r="D99" s="50" t="n">
        <f aca="false">B99/2</f>
        <v>1.515625</v>
      </c>
      <c r="E99" s="49" t="n">
        <f aca="false">C99/2</f>
        <v>38.496875</v>
      </c>
    </row>
    <row r="100" customFormat="false" ht="15" hidden="false" customHeight="false" outlineLevel="0" collapsed="false">
      <c r="A100" s="51" t="str">
        <f aca="false">IF(NOT(ISNUMBER(B100)),"",IF(B100&lt;=0,"",IF(ABS(B100*64-ROUND(B100*64,0))&gt;0.0005,"≈ ","")&amp;IF(INT(ROUND(B100*64,0)/64)&gt;0,INT(ROUND(B100*64,0)/64)&amp;IF(MOD(ROUND(B100*64,0),64)&gt;0," ",""),"")&amp;IF(MOD(ROUND(B100*64,0),64)&gt;0,MOD(ROUND(B100*64,0),64)/GCD(MOD(ROUND(B100*64,0),64),64)&amp;"/"&amp;64/GCD(MOD(ROUND(B100*64,0),64),64),IF(ROUND(B100*64,0)=0,"0",""))&amp;""""))</f>
        <v>3 1/16"</v>
      </c>
      <c r="B100" s="52" t="n">
        <f aca="false">98/32</f>
        <v>3.0625</v>
      </c>
      <c r="C100" s="53" t="n">
        <f aca="false">B100*25.4</f>
        <v>77.7875</v>
      </c>
      <c r="D100" s="54" t="n">
        <f aca="false">B100/2</f>
        <v>1.53125</v>
      </c>
      <c r="E100" s="53" t="n">
        <f aca="false">C100/2</f>
        <v>38.89375</v>
      </c>
    </row>
    <row r="101" customFormat="false" ht="15" hidden="false" customHeight="false" outlineLevel="0" collapsed="false">
      <c r="A101" s="30" t="str">
        <f aca="false">IF(NOT(ISNUMBER(B101)),"",IF(B101&lt;=0,"",IF(ABS(B101*64-ROUND(B101*64,0))&gt;0.0005,"≈ ","")&amp;IF(INT(ROUND(B101*64,0)/64)&gt;0,INT(ROUND(B101*64,0)/64)&amp;IF(MOD(ROUND(B101*64,0),64)&gt;0," ",""),"")&amp;IF(MOD(ROUND(B101*64,0),64)&gt;0,MOD(ROUND(B101*64,0),64)/GCD(MOD(ROUND(B101*64,0),64),64)&amp;"/"&amp;64/GCD(MOD(ROUND(B101*64,0),64),64),IF(ROUND(B101*64,0)=0,"0",""))&amp;""""))</f>
        <v>3 3/32"</v>
      </c>
      <c r="B101" s="48" t="n">
        <f aca="false">99/32</f>
        <v>3.09375</v>
      </c>
      <c r="C101" s="49" t="n">
        <f aca="false">B101*25.4</f>
        <v>78.58125</v>
      </c>
      <c r="D101" s="50" t="n">
        <f aca="false">B101/2</f>
        <v>1.546875</v>
      </c>
      <c r="E101" s="49" t="n">
        <f aca="false">C101/2</f>
        <v>39.290625</v>
      </c>
    </row>
    <row r="102" customFormat="false" ht="15" hidden="false" customHeight="false" outlineLevel="0" collapsed="false">
      <c r="A102" s="51" t="str">
        <f aca="false">IF(NOT(ISNUMBER(B102)),"",IF(B102&lt;=0,"",IF(ABS(B102*64-ROUND(B102*64,0))&gt;0.0005,"≈ ","")&amp;IF(INT(ROUND(B102*64,0)/64)&gt;0,INT(ROUND(B102*64,0)/64)&amp;IF(MOD(ROUND(B102*64,0),64)&gt;0," ",""),"")&amp;IF(MOD(ROUND(B102*64,0),64)&gt;0,MOD(ROUND(B102*64,0),64)/GCD(MOD(ROUND(B102*64,0),64),64)&amp;"/"&amp;64/GCD(MOD(ROUND(B102*64,0),64),64),IF(ROUND(B102*64,0)=0,"0",""))&amp;""""))</f>
        <v>3 1/8"</v>
      </c>
      <c r="B102" s="52" t="n">
        <f aca="false">100/32</f>
        <v>3.125</v>
      </c>
      <c r="C102" s="53" t="n">
        <f aca="false">B102*25.4</f>
        <v>79.375</v>
      </c>
      <c r="D102" s="54" t="n">
        <f aca="false">B102/2</f>
        <v>1.5625</v>
      </c>
      <c r="E102" s="53" t="n">
        <f aca="false">C102/2</f>
        <v>39.6875</v>
      </c>
    </row>
    <row r="103" customFormat="false" ht="15" hidden="false" customHeight="false" outlineLevel="0" collapsed="false">
      <c r="A103" s="30" t="str">
        <f aca="false">IF(NOT(ISNUMBER(B103)),"",IF(B103&lt;=0,"",IF(ABS(B103*64-ROUND(B103*64,0))&gt;0.0005,"≈ ","")&amp;IF(INT(ROUND(B103*64,0)/64)&gt;0,INT(ROUND(B103*64,0)/64)&amp;IF(MOD(ROUND(B103*64,0),64)&gt;0," ",""),"")&amp;IF(MOD(ROUND(B103*64,0),64)&gt;0,MOD(ROUND(B103*64,0),64)/GCD(MOD(ROUND(B103*64,0),64),64)&amp;"/"&amp;64/GCD(MOD(ROUND(B103*64,0),64),64),IF(ROUND(B103*64,0)=0,"0",""))&amp;""""))</f>
        <v>3 5/32"</v>
      </c>
      <c r="B103" s="48" t="n">
        <f aca="false">101/32</f>
        <v>3.15625</v>
      </c>
      <c r="C103" s="49" t="n">
        <f aca="false">B103*25.4</f>
        <v>80.16875</v>
      </c>
      <c r="D103" s="50" t="n">
        <f aca="false">B103/2</f>
        <v>1.578125</v>
      </c>
      <c r="E103" s="49" t="n">
        <f aca="false">C103/2</f>
        <v>40.084375</v>
      </c>
    </row>
    <row r="104" customFormat="false" ht="15" hidden="false" customHeight="false" outlineLevel="0" collapsed="false">
      <c r="A104" s="51" t="str">
        <f aca="false">IF(NOT(ISNUMBER(B104)),"",IF(B104&lt;=0,"",IF(ABS(B104*64-ROUND(B104*64,0))&gt;0.0005,"≈ ","")&amp;IF(INT(ROUND(B104*64,0)/64)&gt;0,INT(ROUND(B104*64,0)/64)&amp;IF(MOD(ROUND(B104*64,0),64)&gt;0," ",""),"")&amp;IF(MOD(ROUND(B104*64,0),64)&gt;0,MOD(ROUND(B104*64,0),64)/GCD(MOD(ROUND(B104*64,0),64),64)&amp;"/"&amp;64/GCD(MOD(ROUND(B104*64,0),64),64),IF(ROUND(B104*64,0)=0,"0",""))&amp;""""))</f>
        <v>3 3/16"</v>
      </c>
      <c r="B104" s="52" t="n">
        <f aca="false">102/32</f>
        <v>3.1875</v>
      </c>
      <c r="C104" s="53" t="n">
        <f aca="false">B104*25.4</f>
        <v>80.9625</v>
      </c>
      <c r="D104" s="54" t="n">
        <f aca="false">B104/2</f>
        <v>1.59375</v>
      </c>
      <c r="E104" s="53" t="n">
        <f aca="false">C104/2</f>
        <v>40.48125</v>
      </c>
    </row>
    <row r="105" customFormat="false" ht="15" hidden="false" customHeight="false" outlineLevel="0" collapsed="false">
      <c r="A105" s="30" t="str">
        <f aca="false">IF(NOT(ISNUMBER(B105)),"",IF(B105&lt;=0,"",IF(ABS(B105*64-ROUND(B105*64,0))&gt;0.0005,"≈ ","")&amp;IF(INT(ROUND(B105*64,0)/64)&gt;0,INT(ROUND(B105*64,0)/64)&amp;IF(MOD(ROUND(B105*64,0),64)&gt;0," ",""),"")&amp;IF(MOD(ROUND(B105*64,0),64)&gt;0,MOD(ROUND(B105*64,0),64)/GCD(MOD(ROUND(B105*64,0),64),64)&amp;"/"&amp;64/GCD(MOD(ROUND(B105*64,0),64),64),IF(ROUND(B105*64,0)=0,"0",""))&amp;""""))</f>
        <v>3 7/32"</v>
      </c>
      <c r="B105" s="48" t="n">
        <f aca="false">103/32</f>
        <v>3.21875</v>
      </c>
      <c r="C105" s="49" t="n">
        <f aca="false">B105*25.4</f>
        <v>81.75625</v>
      </c>
      <c r="D105" s="50" t="n">
        <f aca="false">B105/2</f>
        <v>1.609375</v>
      </c>
      <c r="E105" s="49" t="n">
        <f aca="false">C105/2</f>
        <v>40.878125</v>
      </c>
    </row>
    <row r="106" customFormat="false" ht="15" hidden="false" customHeight="false" outlineLevel="0" collapsed="false">
      <c r="A106" s="51" t="str">
        <f aca="false">IF(NOT(ISNUMBER(B106)),"",IF(B106&lt;=0,"",IF(ABS(B106*64-ROUND(B106*64,0))&gt;0.0005,"≈ ","")&amp;IF(INT(ROUND(B106*64,0)/64)&gt;0,INT(ROUND(B106*64,0)/64)&amp;IF(MOD(ROUND(B106*64,0),64)&gt;0," ",""),"")&amp;IF(MOD(ROUND(B106*64,0),64)&gt;0,MOD(ROUND(B106*64,0),64)/GCD(MOD(ROUND(B106*64,0),64),64)&amp;"/"&amp;64/GCD(MOD(ROUND(B106*64,0),64),64),IF(ROUND(B106*64,0)=0,"0",""))&amp;""""))</f>
        <v>3 1/4"</v>
      </c>
      <c r="B106" s="52" t="n">
        <f aca="false">104/32</f>
        <v>3.25</v>
      </c>
      <c r="C106" s="53" t="n">
        <f aca="false">B106*25.4</f>
        <v>82.55</v>
      </c>
      <c r="D106" s="54" t="n">
        <f aca="false">B106/2</f>
        <v>1.625</v>
      </c>
      <c r="E106" s="53" t="n">
        <f aca="false">C106/2</f>
        <v>41.275</v>
      </c>
    </row>
    <row r="107" customFormat="false" ht="15" hidden="false" customHeight="false" outlineLevel="0" collapsed="false">
      <c r="A107" s="30" t="str">
        <f aca="false">IF(NOT(ISNUMBER(B107)),"",IF(B107&lt;=0,"",IF(ABS(B107*64-ROUND(B107*64,0))&gt;0.0005,"≈ ","")&amp;IF(INT(ROUND(B107*64,0)/64)&gt;0,INT(ROUND(B107*64,0)/64)&amp;IF(MOD(ROUND(B107*64,0),64)&gt;0," ",""),"")&amp;IF(MOD(ROUND(B107*64,0),64)&gt;0,MOD(ROUND(B107*64,0),64)/GCD(MOD(ROUND(B107*64,0),64),64)&amp;"/"&amp;64/GCD(MOD(ROUND(B107*64,0),64),64),IF(ROUND(B107*64,0)=0,"0",""))&amp;""""))</f>
        <v>3 9/32"</v>
      </c>
      <c r="B107" s="48" t="n">
        <f aca="false">105/32</f>
        <v>3.28125</v>
      </c>
      <c r="C107" s="49" t="n">
        <f aca="false">B107*25.4</f>
        <v>83.34375</v>
      </c>
      <c r="D107" s="50" t="n">
        <f aca="false">B107/2</f>
        <v>1.640625</v>
      </c>
      <c r="E107" s="49" t="n">
        <f aca="false">C107/2</f>
        <v>41.671875</v>
      </c>
    </row>
    <row r="108" customFormat="false" ht="15" hidden="false" customHeight="false" outlineLevel="0" collapsed="false">
      <c r="A108" s="51" t="str">
        <f aca="false">IF(NOT(ISNUMBER(B108)),"",IF(B108&lt;=0,"",IF(ABS(B108*64-ROUND(B108*64,0))&gt;0.0005,"≈ ","")&amp;IF(INT(ROUND(B108*64,0)/64)&gt;0,INT(ROUND(B108*64,0)/64)&amp;IF(MOD(ROUND(B108*64,0),64)&gt;0," ",""),"")&amp;IF(MOD(ROUND(B108*64,0),64)&gt;0,MOD(ROUND(B108*64,0),64)/GCD(MOD(ROUND(B108*64,0),64),64)&amp;"/"&amp;64/GCD(MOD(ROUND(B108*64,0),64),64),IF(ROUND(B108*64,0)=0,"0",""))&amp;""""))</f>
        <v>3 5/16"</v>
      </c>
      <c r="B108" s="52" t="n">
        <f aca="false">106/32</f>
        <v>3.3125</v>
      </c>
      <c r="C108" s="53" t="n">
        <f aca="false">B108*25.4</f>
        <v>84.1375</v>
      </c>
      <c r="D108" s="54" t="n">
        <f aca="false">B108/2</f>
        <v>1.65625</v>
      </c>
      <c r="E108" s="53" t="n">
        <f aca="false">C108/2</f>
        <v>42.06875</v>
      </c>
    </row>
    <row r="109" customFormat="false" ht="15" hidden="false" customHeight="false" outlineLevel="0" collapsed="false">
      <c r="A109" s="30" t="str">
        <f aca="false">IF(NOT(ISNUMBER(B109)),"",IF(B109&lt;=0,"",IF(ABS(B109*64-ROUND(B109*64,0))&gt;0.0005,"≈ ","")&amp;IF(INT(ROUND(B109*64,0)/64)&gt;0,INT(ROUND(B109*64,0)/64)&amp;IF(MOD(ROUND(B109*64,0),64)&gt;0," ",""),"")&amp;IF(MOD(ROUND(B109*64,0),64)&gt;0,MOD(ROUND(B109*64,0),64)/GCD(MOD(ROUND(B109*64,0),64),64)&amp;"/"&amp;64/GCD(MOD(ROUND(B109*64,0),64),64),IF(ROUND(B109*64,0)=0,"0",""))&amp;""""))</f>
        <v>3 11/32"</v>
      </c>
      <c r="B109" s="48" t="n">
        <f aca="false">107/32</f>
        <v>3.34375</v>
      </c>
      <c r="C109" s="49" t="n">
        <f aca="false">B109*25.4</f>
        <v>84.93125</v>
      </c>
      <c r="D109" s="50" t="n">
        <f aca="false">B109/2</f>
        <v>1.671875</v>
      </c>
      <c r="E109" s="49" t="n">
        <f aca="false">C109/2</f>
        <v>42.465625</v>
      </c>
    </row>
    <row r="110" customFormat="false" ht="15" hidden="false" customHeight="false" outlineLevel="0" collapsed="false">
      <c r="A110" s="51" t="str">
        <f aca="false">IF(NOT(ISNUMBER(B110)),"",IF(B110&lt;=0,"",IF(ABS(B110*64-ROUND(B110*64,0))&gt;0.0005,"≈ ","")&amp;IF(INT(ROUND(B110*64,0)/64)&gt;0,INT(ROUND(B110*64,0)/64)&amp;IF(MOD(ROUND(B110*64,0),64)&gt;0," ",""),"")&amp;IF(MOD(ROUND(B110*64,0),64)&gt;0,MOD(ROUND(B110*64,0),64)/GCD(MOD(ROUND(B110*64,0),64),64)&amp;"/"&amp;64/GCD(MOD(ROUND(B110*64,0),64),64),IF(ROUND(B110*64,0)=0,"0",""))&amp;""""))</f>
        <v>3 3/8"</v>
      </c>
      <c r="B110" s="52" t="n">
        <f aca="false">108/32</f>
        <v>3.375</v>
      </c>
      <c r="C110" s="53" t="n">
        <f aca="false">B110*25.4</f>
        <v>85.725</v>
      </c>
      <c r="D110" s="54" t="n">
        <f aca="false">B110/2</f>
        <v>1.6875</v>
      </c>
      <c r="E110" s="53" t="n">
        <f aca="false">C110/2</f>
        <v>42.8625</v>
      </c>
    </row>
    <row r="111" customFormat="false" ht="15" hidden="false" customHeight="false" outlineLevel="0" collapsed="false">
      <c r="A111" s="30" t="str">
        <f aca="false">IF(NOT(ISNUMBER(B111)),"",IF(B111&lt;=0,"",IF(ABS(B111*64-ROUND(B111*64,0))&gt;0.0005,"≈ ","")&amp;IF(INT(ROUND(B111*64,0)/64)&gt;0,INT(ROUND(B111*64,0)/64)&amp;IF(MOD(ROUND(B111*64,0),64)&gt;0," ",""),"")&amp;IF(MOD(ROUND(B111*64,0),64)&gt;0,MOD(ROUND(B111*64,0),64)/GCD(MOD(ROUND(B111*64,0),64),64)&amp;"/"&amp;64/GCD(MOD(ROUND(B111*64,0),64),64),IF(ROUND(B111*64,0)=0,"0",""))&amp;""""))</f>
        <v>3 13/32"</v>
      </c>
      <c r="B111" s="48" t="n">
        <f aca="false">109/32</f>
        <v>3.40625</v>
      </c>
      <c r="C111" s="49" t="n">
        <f aca="false">B111*25.4</f>
        <v>86.51875</v>
      </c>
      <c r="D111" s="50" t="n">
        <f aca="false">B111/2</f>
        <v>1.703125</v>
      </c>
      <c r="E111" s="49" t="n">
        <f aca="false">C111/2</f>
        <v>43.259375</v>
      </c>
    </row>
    <row r="112" customFormat="false" ht="15" hidden="false" customHeight="false" outlineLevel="0" collapsed="false">
      <c r="A112" s="51" t="str">
        <f aca="false">IF(NOT(ISNUMBER(B112)),"",IF(B112&lt;=0,"",IF(ABS(B112*64-ROUND(B112*64,0))&gt;0.0005,"≈ ","")&amp;IF(INT(ROUND(B112*64,0)/64)&gt;0,INT(ROUND(B112*64,0)/64)&amp;IF(MOD(ROUND(B112*64,0),64)&gt;0," ",""),"")&amp;IF(MOD(ROUND(B112*64,0),64)&gt;0,MOD(ROUND(B112*64,0),64)/GCD(MOD(ROUND(B112*64,0),64),64)&amp;"/"&amp;64/GCD(MOD(ROUND(B112*64,0),64),64),IF(ROUND(B112*64,0)=0,"0",""))&amp;""""))</f>
        <v>3 7/16"</v>
      </c>
      <c r="B112" s="52" t="n">
        <f aca="false">110/32</f>
        <v>3.4375</v>
      </c>
      <c r="C112" s="53" t="n">
        <f aca="false">B112*25.4</f>
        <v>87.3125</v>
      </c>
      <c r="D112" s="54" t="n">
        <f aca="false">B112/2</f>
        <v>1.71875</v>
      </c>
      <c r="E112" s="53" t="n">
        <f aca="false">C112/2</f>
        <v>43.65625</v>
      </c>
    </row>
    <row r="113" customFormat="false" ht="15" hidden="false" customHeight="false" outlineLevel="0" collapsed="false">
      <c r="A113" s="30" t="str">
        <f aca="false">IF(NOT(ISNUMBER(B113)),"",IF(B113&lt;=0,"",IF(ABS(B113*64-ROUND(B113*64,0))&gt;0.0005,"≈ ","")&amp;IF(INT(ROUND(B113*64,0)/64)&gt;0,INT(ROUND(B113*64,0)/64)&amp;IF(MOD(ROUND(B113*64,0),64)&gt;0," ",""),"")&amp;IF(MOD(ROUND(B113*64,0),64)&gt;0,MOD(ROUND(B113*64,0),64)/GCD(MOD(ROUND(B113*64,0),64),64)&amp;"/"&amp;64/GCD(MOD(ROUND(B113*64,0),64),64),IF(ROUND(B113*64,0)=0,"0",""))&amp;""""))</f>
        <v>3 15/32"</v>
      </c>
      <c r="B113" s="48" t="n">
        <f aca="false">111/32</f>
        <v>3.46875</v>
      </c>
      <c r="C113" s="49" t="n">
        <f aca="false">B113*25.4</f>
        <v>88.10625</v>
      </c>
      <c r="D113" s="50" t="n">
        <f aca="false">B113/2</f>
        <v>1.734375</v>
      </c>
      <c r="E113" s="49" t="n">
        <f aca="false">C113/2</f>
        <v>44.053125</v>
      </c>
    </row>
    <row r="114" customFormat="false" ht="15" hidden="false" customHeight="false" outlineLevel="0" collapsed="false">
      <c r="A114" s="51" t="str">
        <f aca="false">IF(NOT(ISNUMBER(B114)),"",IF(B114&lt;=0,"",IF(ABS(B114*64-ROUND(B114*64,0))&gt;0.0005,"≈ ","")&amp;IF(INT(ROUND(B114*64,0)/64)&gt;0,INT(ROUND(B114*64,0)/64)&amp;IF(MOD(ROUND(B114*64,0),64)&gt;0," ",""),"")&amp;IF(MOD(ROUND(B114*64,0),64)&gt;0,MOD(ROUND(B114*64,0),64)/GCD(MOD(ROUND(B114*64,0),64),64)&amp;"/"&amp;64/GCD(MOD(ROUND(B114*64,0),64),64),IF(ROUND(B114*64,0)=0,"0",""))&amp;""""))</f>
        <v>3 1/2"</v>
      </c>
      <c r="B114" s="52" t="n">
        <f aca="false">112/32</f>
        <v>3.5</v>
      </c>
      <c r="C114" s="53" t="n">
        <f aca="false">B114*25.4</f>
        <v>88.9</v>
      </c>
      <c r="D114" s="54" t="n">
        <f aca="false">B114/2</f>
        <v>1.75</v>
      </c>
      <c r="E114" s="53" t="n">
        <f aca="false">C114/2</f>
        <v>44.45</v>
      </c>
    </row>
    <row r="115" customFormat="false" ht="15" hidden="false" customHeight="false" outlineLevel="0" collapsed="false">
      <c r="A115" s="30" t="str">
        <f aca="false">IF(NOT(ISNUMBER(B115)),"",IF(B115&lt;=0,"",IF(ABS(B115*64-ROUND(B115*64,0))&gt;0.0005,"≈ ","")&amp;IF(INT(ROUND(B115*64,0)/64)&gt;0,INT(ROUND(B115*64,0)/64)&amp;IF(MOD(ROUND(B115*64,0),64)&gt;0," ",""),"")&amp;IF(MOD(ROUND(B115*64,0),64)&gt;0,MOD(ROUND(B115*64,0),64)/GCD(MOD(ROUND(B115*64,0),64),64)&amp;"/"&amp;64/GCD(MOD(ROUND(B115*64,0),64),64),IF(ROUND(B115*64,0)=0,"0",""))&amp;""""))</f>
        <v>3 17/32"</v>
      </c>
      <c r="B115" s="48" t="n">
        <f aca="false">113/32</f>
        <v>3.53125</v>
      </c>
      <c r="C115" s="49" t="n">
        <f aca="false">B115*25.4</f>
        <v>89.69375</v>
      </c>
      <c r="D115" s="50" t="n">
        <f aca="false">B115/2</f>
        <v>1.765625</v>
      </c>
      <c r="E115" s="49" t="n">
        <f aca="false">C115/2</f>
        <v>44.846875</v>
      </c>
    </row>
    <row r="116" customFormat="false" ht="15" hidden="false" customHeight="false" outlineLevel="0" collapsed="false">
      <c r="A116" s="51" t="str">
        <f aca="false">IF(NOT(ISNUMBER(B116)),"",IF(B116&lt;=0,"",IF(ABS(B116*64-ROUND(B116*64,0))&gt;0.0005,"≈ ","")&amp;IF(INT(ROUND(B116*64,0)/64)&gt;0,INT(ROUND(B116*64,0)/64)&amp;IF(MOD(ROUND(B116*64,0),64)&gt;0," ",""),"")&amp;IF(MOD(ROUND(B116*64,0),64)&gt;0,MOD(ROUND(B116*64,0),64)/GCD(MOD(ROUND(B116*64,0),64),64)&amp;"/"&amp;64/GCD(MOD(ROUND(B116*64,0),64),64),IF(ROUND(B116*64,0)=0,"0",""))&amp;""""))</f>
        <v>3 9/16"</v>
      </c>
      <c r="B116" s="52" t="n">
        <f aca="false">114/32</f>
        <v>3.5625</v>
      </c>
      <c r="C116" s="53" t="n">
        <f aca="false">B116*25.4</f>
        <v>90.4875</v>
      </c>
      <c r="D116" s="54" t="n">
        <f aca="false">B116/2</f>
        <v>1.78125</v>
      </c>
      <c r="E116" s="53" t="n">
        <f aca="false">C116/2</f>
        <v>45.24375</v>
      </c>
    </row>
    <row r="117" customFormat="false" ht="15" hidden="false" customHeight="false" outlineLevel="0" collapsed="false">
      <c r="A117" s="30" t="str">
        <f aca="false">IF(NOT(ISNUMBER(B117)),"",IF(B117&lt;=0,"",IF(ABS(B117*64-ROUND(B117*64,0))&gt;0.0005,"≈ ","")&amp;IF(INT(ROUND(B117*64,0)/64)&gt;0,INT(ROUND(B117*64,0)/64)&amp;IF(MOD(ROUND(B117*64,0),64)&gt;0," ",""),"")&amp;IF(MOD(ROUND(B117*64,0),64)&gt;0,MOD(ROUND(B117*64,0),64)/GCD(MOD(ROUND(B117*64,0),64),64)&amp;"/"&amp;64/GCD(MOD(ROUND(B117*64,0),64),64),IF(ROUND(B117*64,0)=0,"0",""))&amp;""""))</f>
        <v>3 19/32"</v>
      </c>
      <c r="B117" s="48" t="n">
        <f aca="false">115/32</f>
        <v>3.59375</v>
      </c>
      <c r="C117" s="49" t="n">
        <f aca="false">B117*25.4</f>
        <v>91.28125</v>
      </c>
      <c r="D117" s="50" t="n">
        <f aca="false">B117/2</f>
        <v>1.796875</v>
      </c>
      <c r="E117" s="49" t="n">
        <f aca="false">C117/2</f>
        <v>45.640625</v>
      </c>
    </row>
    <row r="118" customFormat="false" ht="15" hidden="false" customHeight="false" outlineLevel="0" collapsed="false">
      <c r="A118" s="51" t="str">
        <f aca="false">IF(NOT(ISNUMBER(B118)),"",IF(B118&lt;=0,"",IF(ABS(B118*64-ROUND(B118*64,0))&gt;0.0005,"≈ ","")&amp;IF(INT(ROUND(B118*64,0)/64)&gt;0,INT(ROUND(B118*64,0)/64)&amp;IF(MOD(ROUND(B118*64,0),64)&gt;0," ",""),"")&amp;IF(MOD(ROUND(B118*64,0),64)&gt;0,MOD(ROUND(B118*64,0),64)/GCD(MOD(ROUND(B118*64,0),64),64)&amp;"/"&amp;64/GCD(MOD(ROUND(B118*64,0),64),64),IF(ROUND(B118*64,0)=0,"0",""))&amp;""""))</f>
        <v>3 5/8"</v>
      </c>
      <c r="B118" s="52" t="n">
        <f aca="false">116/32</f>
        <v>3.625</v>
      </c>
      <c r="C118" s="53" t="n">
        <f aca="false">B118*25.4</f>
        <v>92.075</v>
      </c>
      <c r="D118" s="54" t="n">
        <f aca="false">B118/2</f>
        <v>1.8125</v>
      </c>
      <c r="E118" s="53" t="n">
        <f aca="false">C118/2</f>
        <v>46.0375</v>
      </c>
    </row>
    <row r="119" customFormat="false" ht="15" hidden="false" customHeight="false" outlineLevel="0" collapsed="false">
      <c r="A119" s="30" t="str">
        <f aca="false">IF(NOT(ISNUMBER(B119)),"",IF(B119&lt;=0,"",IF(ABS(B119*64-ROUND(B119*64,0))&gt;0.0005,"≈ ","")&amp;IF(INT(ROUND(B119*64,0)/64)&gt;0,INT(ROUND(B119*64,0)/64)&amp;IF(MOD(ROUND(B119*64,0),64)&gt;0," ",""),"")&amp;IF(MOD(ROUND(B119*64,0),64)&gt;0,MOD(ROUND(B119*64,0),64)/GCD(MOD(ROUND(B119*64,0),64),64)&amp;"/"&amp;64/GCD(MOD(ROUND(B119*64,0),64),64),IF(ROUND(B119*64,0)=0,"0",""))&amp;""""))</f>
        <v>3 21/32"</v>
      </c>
      <c r="B119" s="48" t="n">
        <f aca="false">117/32</f>
        <v>3.65625</v>
      </c>
      <c r="C119" s="49" t="n">
        <f aca="false">B119*25.4</f>
        <v>92.86875</v>
      </c>
      <c r="D119" s="50" t="n">
        <f aca="false">B119/2</f>
        <v>1.828125</v>
      </c>
      <c r="E119" s="49" t="n">
        <f aca="false">C119/2</f>
        <v>46.434375</v>
      </c>
    </row>
    <row r="120" customFormat="false" ht="15" hidden="false" customHeight="false" outlineLevel="0" collapsed="false">
      <c r="A120" s="51" t="str">
        <f aca="false">IF(NOT(ISNUMBER(B120)),"",IF(B120&lt;=0,"",IF(ABS(B120*64-ROUND(B120*64,0))&gt;0.0005,"≈ ","")&amp;IF(INT(ROUND(B120*64,0)/64)&gt;0,INT(ROUND(B120*64,0)/64)&amp;IF(MOD(ROUND(B120*64,0),64)&gt;0," ",""),"")&amp;IF(MOD(ROUND(B120*64,0),64)&gt;0,MOD(ROUND(B120*64,0),64)/GCD(MOD(ROUND(B120*64,0),64),64)&amp;"/"&amp;64/GCD(MOD(ROUND(B120*64,0),64),64),IF(ROUND(B120*64,0)=0,"0",""))&amp;""""))</f>
        <v>3 11/16"</v>
      </c>
      <c r="B120" s="52" t="n">
        <f aca="false">118/32</f>
        <v>3.6875</v>
      </c>
      <c r="C120" s="53" t="n">
        <f aca="false">B120*25.4</f>
        <v>93.6625</v>
      </c>
      <c r="D120" s="54" t="n">
        <f aca="false">B120/2</f>
        <v>1.84375</v>
      </c>
      <c r="E120" s="53" t="n">
        <f aca="false">C120/2</f>
        <v>46.83125</v>
      </c>
    </row>
    <row r="121" customFormat="false" ht="15" hidden="false" customHeight="false" outlineLevel="0" collapsed="false">
      <c r="A121" s="30" t="str">
        <f aca="false">IF(NOT(ISNUMBER(B121)),"",IF(B121&lt;=0,"",IF(ABS(B121*64-ROUND(B121*64,0))&gt;0.0005,"≈ ","")&amp;IF(INT(ROUND(B121*64,0)/64)&gt;0,INT(ROUND(B121*64,0)/64)&amp;IF(MOD(ROUND(B121*64,0),64)&gt;0," ",""),"")&amp;IF(MOD(ROUND(B121*64,0),64)&gt;0,MOD(ROUND(B121*64,0),64)/GCD(MOD(ROUND(B121*64,0),64),64)&amp;"/"&amp;64/GCD(MOD(ROUND(B121*64,0),64),64),IF(ROUND(B121*64,0)=0,"0",""))&amp;""""))</f>
        <v>3 23/32"</v>
      </c>
      <c r="B121" s="48" t="n">
        <f aca="false">119/32</f>
        <v>3.71875</v>
      </c>
      <c r="C121" s="49" t="n">
        <f aca="false">B121*25.4</f>
        <v>94.45625</v>
      </c>
      <c r="D121" s="50" t="n">
        <f aca="false">B121/2</f>
        <v>1.859375</v>
      </c>
      <c r="E121" s="49" t="n">
        <f aca="false">C121/2</f>
        <v>47.228125</v>
      </c>
    </row>
    <row r="122" customFormat="false" ht="15" hidden="false" customHeight="false" outlineLevel="0" collapsed="false">
      <c r="A122" s="51" t="str">
        <f aca="false">IF(NOT(ISNUMBER(B122)),"",IF(B122&lt;=0,"",IF(ABS(B122*64-ROUND(B122*64,0))&gt;0.0005,"≈ ","")&amp;IF(INT(ROUND(B122*64,0)/64)&gt;0,INT(ROUND(B122*64,0)/64)&amp;IF(MOD(ROUND(B122*64,0),64)&gt;0," ",""),"")&amp;IF(MOD(ROUND(B122*64,0),64)&gt;0,MOD(ROUND(B122*64,0),64)/GCD(MOD(ROUND(B122*64,0),64),64)&amp;"/"&amp;64/GCD(MOD(ROUND(B122*64,0),64),64),IF(ROUND(B122*64,0)=0,"0",""))&amp;""""))</f>
        <v>3 3/4"</v>
      </c>
      <c r="B122" s="52" t="n">
        <f aca="false">120/32</f>
        <v>3.75</v>
      </c>
      <c r="C122" s="53" t="n">
        <f aca="false">B122*25.4</f>
        <v>95.25</v>
      </c>
      <c r="D122" s="54" t="n">
        <f aca="false">B122/2</f>
        <v>1.875</v>
      </c>
      <c r="E122" s="53" t="n">
        <f aca="false">C122/2</f>
        <v>47.625</v>
      </c>
    </row>
    <row r="123" customFormat="false" ht="15" hidden="false" customHeight="false" outlineLevel="0" collapsed="false">
      <c r="A123" s="30" t="str">
        <f aca="false">IF(NOT(ISNUMBER(B123)),"",IF(B123&lt;=0,"",IF(ABS(B123*64-ROUND(B123*64,0))&gt;0.0005,"≈ ","")&amp;IF(INT(ROUND(B123*64,0)/64)&gt;0,INT(ROUND(B123*64,0)/64)&amp;IF(MOD(ROUND(B123*64,0),64)&gt;0," ",""),"")&amp;IF(MOD(ROUND(B123*64,0),64)&gt;0,MOD(ROUND(B123*64,0),64)/GCD(MOD(ROUND(B123*64,0),64),64)&amp;"/"&amp;64/GCD(MOD(ROUND(B123*64,0),64),64),IF(ROUND(B123*64,0)=0,"0",""))&amp;""""))</f>
        <v>3 25/32"</v>
      </c>
      <c r="B123" s="48" t="n">
        <f aca="false">121/32</f>
        <v>3.78125</v>
      </c>
      <c r="C123" s="49" t="n">
        <f aca="false">B123*25.4</f>
        <v>96.04375</v>
      </c>
      <c r="D123" s="50" t="n">
        <f aca="false">B123/2</f>
        <v>1.890625</v>
      </c>
      <c r="E123" s="49" t="n">
        <f aca="false">C123/2</f>
        <v>48.021875</v>
      </c>
    </row>
    <row r="124" customFormat="false" ht="15" hidden="false" customHeight="false" outlineLevel="0" collapsed="false">
      <c r="A124" s="51" t="str">
        <f aca="false">IF(NOT(ISNUMBER(B124)),"",IF(B124&lt;=0,"",IF(ABS(B124*64-ROUND(B124*64,0))&gt;0.0005,"≈ ","")&amp;IF(INT(ROUND(B124*64,0)/64)&gt;0,INT(ROUND(B124*64,0)/64)&amp;IF(MOD(ROUND(B124*64,0),64)&gt;0," ",""),"")&amp;IF(MOD(ROUND(B124*64,0),64)&gt;0,MOD(ROUND(B124*64,0),64)/GCD(MOD(ROUND(B124*64,0),64),64)&amp;"/"&amp;64/GCD(MOD(ROUND(B124*64,0),64),64),IF(ROUND(B124*64,0)=0,"0",""))&amp;""""))</f>
        <v>3 13/16"</v>
      </c>
      <c r="B124" s="52" t="n">
        <f aca="false">122/32</f>
        <v>3.8125</v>
      </c>
      <c r="C124" s="53" t="n">
        <f aca="false">B124*25.4</f>
        <v>96.8375</v>
      </c>
      <c r="D124" s="54" t="n">
        <f aca="false">B124/2</f>
        <v>1.90625</v>
      </c>
      <c r="E124" s="53" t="n">
        <f aca="false">C124/2</f>
        <v>48.41875</v>
      </c>
    </row>
    <row r="125" customFormat="false" ht="15" hidden="false" customHeight="false" outlineLevel="0" collapsed="false">
      <c r="A125" s="30" t="str">
        <f aca="false">IF(NOT(ISNUMBER(B125)),"",IF(B125&lt;=0,"",IF(ABS(B125*64-ROUND(B125*64,0))&gt;0.0005,"≈ ","")&amp;IF(INT(ROUND(B125*64,0)/64)&gt;0,INT(ROUND(B125*64,0)/64)&amp;IF(MOD(ROUND(B125*64,0),64)&gt;0," ",""),"")&amp;IF(MOD(ROUND(B125*64,0),64)&gt;0,MOD(ROUND(B125*64,0),64)/GCD(MOD(ROUND(B125*64,0),64),64)&amp;"/"&amp;64/GCD(MOD(ROUND(B125*64,0),64),64),IF(ROUND(B125*64,0)=0,"0",""))&amp;""""))</f>
        <v>3 27/32"</v>
      </c>
      <c r="B125" s="48" t="n">
        <f aca="false">123/32</f>
        <v>3.84375</v>
      </c>
      <c r="C125" s="49" t="n">
        <f aca="false">B125*25.4</f>
        <v>97.63125</v>
      </c>
      <c r="D125" s="50" t="n">
        <f aca="false">B125/2</f>
        <v>1.921875</v>
      </c>
      <c r="E125" s="49" t="n">
        <f aca="false">C125/2</f>
        <v>48.815625</v>
      </c>
    </row>
    <row r="126" customFormat="false" ht="15" hidden="false" customHeight="false" outlineLevel="0" collapsed="false">
      <c r="A126" s="51" t="str">
        <f aca="false">IF(NOT(ISNUMBER(B126)),"",IF(B126&lt;=0,"",IF(ABS(B126*64-ROUND(B126*64,0))&gt;0.0005,"≈ ","")&amp;IF(INT(ROUND(B126*64,0)/64)&gt;0,INT(ROUND(B126*64,0)/64)&amp;IF(MOD(ROUND(B126*64,0),64)&gt;0," ",""),"")&amp;IF(MOD(ROUND(B126*64,0),64)&gt;0,MOD(ROUND(B126*64,0),64)/GCD(MOD(ROUND(B126*64,0),64),64)&amp;"/"&amp;64/GCD(MOD(ROUND(B126*64,0),64),64),IF(ROUND(B126*64,0)=0,"0",""))&amp;""""))</f>
        <v>3 7/8"</v>
      </c>
      <c r="B126" s="52" t="n">
        <f aca="false">124/32</f>
        <v>3.875</v>
      </c>
      <c r="C126" s="53" t="n">
        <f aca="false">B126*25.4</f>
        <v>98.425</v>
      </c>
      <c r="D126" s="54" t="n">
        <f aca="false">B126/2</f>
        <v>1.9375</v>
      </c>
      <c r="E126" s="53" t="n">
        <f aca="false">C126/2</f>
        <v>49.2125</v>
      </c>
    </row>
    <row r="127" customFormat="false" ht="15" hidden="false" customHeight="false" outlineLevel="0" collapsed="false">
      <c r="A127" s="30" t="str">
        <f aca="false">IF(NOT(ISNUMBER(B127)),"",IF(B127&lt;=0,"",IF(ABS(B127*64-ROUND(B127*64,0))&gt;0.0005,"≈ ","")&amp;IF(INT(ROUND(B127*64,0)/64)&gt;0,INT(ROUND(B127*64,0)/64)&amp;IF(MOD(ROUND(B127*64,0),64)&gt;0," ",""),"")&amp;IF(MOD(ROUND(B127*64,0),64)&gt;0,MOD(ROUND(B127*64,0),64)/GCD(MOD(ROUND(B127*64,0),64),64)&amp;"/"&amp;64/GCD(MOD(ROUND(B127*64,0),64),64),IF(ROUND(B127*64,0)=0,"0",""))&amp;""""))</f>
        <v>3 29/32"</v>
      </c>
      <c r="B127" s="48" t="n">
        <f aca="false">125/32</f>
        <v>3.90625</v>
      </c>
      <c r="C127" s="49" t="n">
        <f aca="false">B127*25.4</f>
        <v>99.21875</v>
      </c>
      <c r="D127" s="50" t="n">
        <f aca="false">B127/2</f>
        <v>1.953125</v>
      </c>
      <c r="E127" s="49" t="n">
        <f aca="false">C127/2</f>
        <v>49.609375</v>
      </c>
    </row>
    <row r="128" customFormat="false" ht="15" hidden="false" customHeight="false" outlineLevel="0" collapsed="false">
      <c r="A128" s="51" t="str">
        <f aca="false">IF(NOT(ISNUMBER(B128)),"",IF(B128&lt;=0,"",IF(ABS(B128*64-ROUND(B128*64,0))&gt;0.0005,"≈ ","")&amp;IF(INT(ROUND(B128*64,0)/64)&gt;0,INT(ROUND(B128*64,0)/64)&amp;IF(MOD(ROUND(B128*64,0),64)&gt;0," ",""),"")&amp;IF(MOD(ROUND(B128*64,0),64)&gt;0,MOD(ROUND(B128*64,0),64)/GCD(MOD(ROUND(B128*64,0),64),64)&amp;"/"&amp;64/GCD(MOD(ROUND(B128*64,0),64),64),IF(ROUND(B128*64,0)=0,"0",""))&amp;""""))</f>
        <v>3 15/16"</v>
      </c>
      <c r="B128" s="52" t="n">
        <f aca="false">126/32</f>
        <v>3.9375</v>
      </c>
      <c r="C128" s="53" t="n">
        <f aca="false">B128*25.4</f>
        <v>100.0125</v>
      </c>
      <c r="D128" s="54" t="n">
        <f aca="false">B128/2</f>
        <v>1.96875</v>
      </c>
      <c r="E128" s="53" t="n">
        <f aca="false">C128/2</f>
        <v>50.00625</v>
      </c>
    </row>
    <row r="129" customFormat="false" ht="15" hidden="false" customHeight="false" outlineLevel="0" collapsed="false">
      <c r="A129" s="30" t="str">
        <f aca="false">IF(NOT(ISNUMBER(B129)),"",IF(B129&lt;=0,"",IF(ABS(B129*64-ROUND(B129*64,0))&gt;0.0005,"≈ ","")&amp;IF(INT(ROUND(B129*64,0)/64)&gt;0,INT(ROUND(B129*64,0)/64)&amp;IF(MOD(ROUND(B129*64,0),64)&gt;0," ",""),"")&amp;IF(MOD(ROUND(B129*64,0),64)&gt;0,MOD(ROUND(B129*64,0),64)/GCD(MOD(ROUND(B129*64,0),64),64)&amp;"/"&amp;64/GCD(MOD(ROUND(B129*64,0),64),64),IF(ROUND(B129*64,0)=0,"0",""))&amp;""""))</f>
        <v>3 31/32"</v>
      </c>
      <c r="B129" s="48" t="n">
        <f aca="false">127/32</f>
        <v>3.96875</v>
      </c>
      <c r="C129" s="49" t="n">
        <f aca="false">B129*25.4</f>
        <v>100.80625</v>
      </c>
      <c r="D129" s="50" t="n">
        <f aca="false">B129/2</f>
        <v>1.984375</v>
      </c>
      <c r="E129" s="49" t="n">
        <f aca="false">C129/2</f>
        <v>50.403125</v>
      </c>
    </row>
    <row r="130" customFormat="false" ht="15" hidden="false" customHeight="false" outlineLevel="0" collapsed="false">
      <c r="A130" s="51" t="str">
        <f aca="false">IF(NOT(ISNUMBER(B130)),"",IF(B130&lt;=0,"",IF(ABS(B130*64-ROUND(B130*64,0))&gt;0.0005,"≈ ","")&amp;IF(INT(ROUND(B130*64,0)/64)&gt;0,INT(ROUND(B130*64,0)/64)&amp;IF(MOD(ROUND(B130*64,0),64)&gt;0," ",""),"")&amp;IF(MOD(ROUND(B130*64,0),64)&gt;0,MOD(ROUND(B130*64,0),64)/GCD(MOD(ROUND(B130*64,0),64),64)&amp;"/"&amp;64/GCD(MOD(ROUND(B130*64,0),64),64),IF(ROUND(B130*64,0)=0,"0",""))&amp;""""))</f>
        <v>4"</v>
      </c>
      <c r="B130" s="52" t="n">
        <f aca="false">128/32</f>
        <v>4</v>
      </c>
      <c r="C130" s="53" t="n">
        <f aca="false">B130*25.4</f>
        <v>101.6</v>
      </c>
      <c r="D130" s="54" t="n">
        <f aca="false">B130/2</f>
        <v>2</v>
      </c>
      <c r="E130" s="53" t="n">
        <f aca="false">C130/2</f>
        <v>50.8</v>
      </c>
    </row>
  </sheetData>
  <conditionalFormatting sqref="A3:E130">
    <cfRule type="expression" priority="2" aboveAverage="0" equalAverage="0" bottom="0" percent="0" rank="0" text="" dxfId="7">
      <formula>AND(Calcul!$C$13=32,ABS($B3-Convertisseur!$C$14)&lt;0.000001)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5"/>
  </cols>
  <sheetData>
    <row r="1" customFormat="false" ht="16.15" hidden="false" customHeight="false" outlineLevel="0" collapsed="false">
      <c r="A1" s="47" t="s">
        <v>644</v>
      </c>
    </row>
    <row r="2" customFormat="false" ht="15" hidden="false" customHeight="false" outlineLevel="0" collapsed="false">
      <c r="A2" s="12" t="s">
        <v>6</v>
      </c>
      <c r="B2" s="12" t="s">
        <v>18</v>
      </c>
      <c r="C2" s="12" t="s">
        <v>19</v>
      </c>
      <c r="D2" s="12" t="s">
        <v>20</v>
      </c>
      <c r="E2" s="12" t="s">
        <v>21</v>
      </c>
    </row>
    <row r="3" customFormat="false" ht="15" hidden="false" customHeight="false" outlineLevel="0" collapsed="false">
      <c r="A3" s="30" t="str">
        <f aca="false">IF(NOT(ISNUMBER(B3)),"",IF(B3&lt;=0,"",IF(ABS(B3*64-ROUND(B3*64,0))&gt;0.0005,"≈ ","")&amp;IF(INT(ROUND(B3*64,0)/64)&gt;0,INT(ROUND(B3*64,0)/64)&amp;IF(MOD(ROUND(B3*64,0),64)&gt;0," ",""),"")&amp;IF(MOD(ROUND(B3*64,0),64)&gt;0,MOD(ROUND(B3*64,0),64)/GCD(MOD(ROUND(B3*64,0),64),64)&amp;"/"&amp;64/GCD(MOD(ROUND(B3*64,0),64),64),IF(ROUND(B3*64,0)=0,"0",""))&amp;""""))</f>
        <v>1/64"</v>
      </c>
      <c r="B3" s="48" t="n">
        <f aca="false">1/64</f>
        <v>0.015625</v>
      </c>
      <c r="C3" s="49" t="n">
        <f aca="false">B3*25.4</f>
        <v>0.396875</v>
      </c>
      <c r="D3" s="50" t="n">
        <f aca="false">B3/2</f>
        <v>0.0078125</v>
      </c>
      <c r="E3" s="49" t="n">
        <f aca="false">C3/2</f>
        <v>0.1984375</v>
      </c>
    </row>
    <row r="4" customFormat="false" ht="15" hidden="false" customHeight="false" outlineLevel="0" collapsed="false">
      <c r="A4" s="51" t="str">
        <f aca="false">IF(NOT(ISNUMBER(B4)),"",IF(B4&lt;=0,"",IF(ABS(B4*64-ROUND(B4*64,0))&gt;0.0005,"≈ ","")&amp;IF(INT(ROUND(B4*64,0)/64)&gt;0,INT(ROUND(B4*64,0)/64)&amp;IF(MOD(ROUND(B4*64,0),64)&gt;0," ",""),"")&amp;IF(MOD(ROUND(B4*64,0),64)&gt;0,MOD(ROUND(B4*64,0),64)/GCD(MOD(ROUND(B4*64,0),64),64)&amp;"/"&amp;64/GCD(MOD(ROUND(B4*64,0),64),64),IF(ROUND(B4*64,0)=0,"0",""))&amp;""""))</f>
        <v>1/32"</v>
      </c>
      <c r="B4" s="52" t="n">
        <f aca="false">2/64</f>
        <v>0.03125</v>
      </c>
      <c r="C4" s="53" t="n">
        <f aca="false">B4*25.4</f>
        <v>0.79375</v>
      </c>
      <c r="D4" s="54" t="n">
        <f aca="false">B4/2</f>
        <v>0.015625</v>
      </c>
      <c r="E4" s="53" t="n">
        <f aca="false">C4/2</f>
        <v>0.396875</v>
      </c>
    </row>
    <row r="5" customFormat="false" ht="15" hidden="false" customHeight="false" outlineLevel="0" collapsed="false">
      <c r="A5" s="30" t="str">
        <f aca="false">IF(NOT(ISNUMBER(B5)),"",IF(B5&lt;=0,"",IF(ABS(B5*64-ROUND(B5*64,0))&gt;0.0005,"≈ ","")&amp;IF(INT(ROUND(B5*64,0)/64)&gt;0,INT(ROUND(B5*64,0)/64)&amp;IF(MOD(ROUND(B5*64,0),64)&gt;0," ",""),"")&amp;IF(MOD(ROUND(B5*64,0),64)&gt;0,MOD(ROUND(B5*64,0),64)/GCD(MOD(ROUND(B5*64,0),64),64)&amp;"/"&amp;64/GCD(MOD(ROUND(B5*64,0),64),64),IF(ROUND(B5*64,0)=0,"0",""))&amp;""""))</f>
        <v>3/64"</v>
      </c>
      <c r="B5" s="48" t="n">
        <f aca="false">3/64</f>
        <v>0.046875</v>
      </c>
      <c r="C5" s="49" t="n">
        <f aca="false">B5*25.4</f>
        <v>1.190625</v>
      </c>
      <c r="D5" s="50" t="n">
        <f aca="false">B5/2</f>
        <v>0.0234375</v>
      </c>
      <c r="E5" s="49" t="n">
        <f aca="false">C5/2</f>
        <v>0.5953125</v>
      </c>
    </row>
    <row r="6" customFormat="false" ht="15" hidden="false" customHeight="false" outlineLevel="0" collapsed="false">
      <c r="A6" s="51" t="str">
        <f aca="false">IF(NOT(ISNUMBER(B6)),"",IF(B6&lt;=0,"",IF(ABS(B6*64-ROUND(B6*64,0))&gt;0.0005,"≈ ","")&amp;IF(INT(ROUND(B6*64,0)/64)&gt;0,INT(ROUND(B6*64,0)/64)&amp;IF(MOD(ROUND(B6*64,0),64)&gt;0," ",""),"")&amp;IF(MOD(ROUND(B6*64,0),64)&gt;0,MOD(ROUND(B6*64,0),64)/GCD(MOD(ROUND(B6*64,0),64),64)&amp;"/"&amp;64/GCD(MOD(ROUND(B6*64,0),64),64),IF(ROUND(B6*64,0)=0,"0",""))&amp;""""))</f>
        <v>1/16"</v>
      </c>
      <c r="B6" s="52" t="n">
        <f aca="false">4/64</f>
        <v>0.0625</v>
      </c>
      <c r="C6" s="53" t="n">
        <f aca="false">B6*25.4</f>
        <v>1.5875</v>
      </c>
      <c r="D6" s="54" t="n">
        <f aca="false">B6/2</f>
        <v>0.03125</v>
      </c>
      <c r="E6" s="53" t="n">
        <f aca="false">C6/2</f>
        <v>0.79375</v>
      </c>
    </row>
    <row r="7" customFormat="false" ht="15" hidden="false" customHeight="false" outlineLevel="0" collapsed="false">
      <c r="A7" s="30" t="str">
        <f aca="false">IF(NOT(ISNUMBER(B7)),"",IF(B7&lt;=0,"",IF(ABS(B7*64-ROUND(B7*64,0))&gt;0.0005,"≈ ","")&amp;IF(INT(ROUND(B7*64,0)/64)&gt;0,INT(ROUND(B7*64,0)/64)&amp;IF(MOD(ROUND(B7*64,0),64)&gt;0," ",""),"")&amp;IF(MOD(ROUND(B7*64,0),64)&gt;0,MOD(ROUND(B7*64,0),64)/GCD(MOD(ROUND(B7*64,0),64),64)&amp;"/"&amp;64/GCD(MOD(ROUND(B7*64,0),64),64),IF(ROUND(B7*64,0)=0,"0",""))&amp;""""))</f>
        <v>5/64"</v>
      </c>
      <c r="B7" s="48" t="n">
        <f aca="false">5/64</f>
        <v>0.078125</v>
      </c>
      <c r="C7" s="49" t="n">
        <f aca="false">B7*25.4</f>
        <v>1.984375</v>
      </c>
      <c r="D7" s="50" t="n">
        <f aca="false">B7/2</f>
        <v>0.0390625</v>
      </c>
      <c r="E7" s="49" t="n">
        <f aca="false">C7/2</f>
        <v>0.9921875</v>
      </c>
    </row>
    <row r="8" customFormat="false" ht="15" hidden="false" customHeight="false" outlineLevel="0" collapsed="false">
      <c r="A8" s="51" t="str">
        <f aca="false">IF(NOT(ISNUMBER(B8)),"",IF(B8&lt;=0,"",IF(ABS(B8*64-ROUND(B8*64,0))&gt;0.0005,"≈ ","")&amp;IF(INT(ROUND(B8*64,0)/64)&gt;0,INT(ROUND(B8*64,0)/64)&amp;IF(MOD(ROUND(B8*64,0),64)&gt;0," ",""),"")&amp;IF(MOD(ROUND(B8*64,0),64)&gt;0,MOD(ROUND(B8*64,0),64)/GCD(MOD(ROUND(B8*64,0),64),64)&amp;"/"&amp;64/GCD(MOD(ROUND(B8*64,0),64),64),IF(ROUND(B8*64,0)=0,"0",""))&amp;""""))</f>
        <v>3/32"</v>
      </c>
      <c r="B8" s="52" t="n">
        <f aca="false">6/64</f>
        <v>0.09375</v>
      </c>
      <c r="C8" s="53" t="n">
        <f aca="false">B8*25.4</f>
        <v>2.38125</v>
      </c>
      <c r="D8" s="54" t="n">
        <f aca="false">B8/2</f>
        <v>0.046875</v>
      </c>
      <c r="E8" s="53" t="n">
        <f aca="false">C8/2</f>
        <v>1.190625</v>
      </c>
    </row>
    <row r="9" customFormat="false" ht="15" hidden="false" customHeight="false" outlineLevel="0" collapsed="false">
      <c r="A9" s="30" t="str">
        <f aca="false">IF(NOT(ISNUMBER(B9)),"",IF(B9&lt;=0,"",IF(ABS(B9*64-ROUND(B9*64,0))&gt;0.0005,"≈ ","")&amp;IF(INT(ROUND(B9*64,0)/64)&gt;0,INT(ROUND(B9*64,0)/64)&amp;IF(MOD(ROUND(B9*64,0),64)&gt;0," ",""),"")&amp;IF(MOD(ROUND(B9*64,0),64)&gt;0,MOD(ROUND(B9*64,0),64)/GCD(MOD(ROUND(B9*64,0),64),64)&amp;"/"&amp;64/GCD(MOD(ROUND(B9*64,0),64),64),IF(ROUND(B9*64,0)=0,"0",""))&amp;""""))</f>
        <v>7/64"</v>
      </c>
      <c r="B9" s="48" t="n">
        <f aca="false">7/64</f>
        <v>0.109375</v>
      </c>
      <c r="C9" s="49" t="n">
        <f aca="false">B9*25.4</f>
        <v>2.778125</v>
      </c>
      <c r="D9" s="50" t="n">
        <f aca="false">B9/2</f>
        <v>0.0546875</v>
      </c>
      <c r="E9" s="49" t="n">
        <f aca="false">C9/2</f>
        <v>1.3890625</v>
      </c>
    </row>
    <row r="10" customFormat="false" ht="15" hidden="false" customHeight="false" outlineLevel="0" collapsed="false">
      <c r="A10" s="51" t="str">
        <f aca="false">IF(NOT(ISNUMBER(B10)),"",IF(B10&lt;=0,"",IF(ABS(B10*64-ROUND(B10*64,0))&gt;0.0005,"≈ ","")&amp;IF(INT(ROUND(B10*64,0)/64)&gt;0,INT(ROUND(B10*64,0)/64)&amp;IF(MOD(ROUND(B10*64,0),64)&gt;0," ",""),"")&amp;IF(MOD(ROUND(B10*64,0),64)&gt;0,MOD(ROUND(B10*64,0),64)/GCD(MOD(ROUND(B10*64,0),64),64)&amp;"/"&amp;64/GCD(MOD(ROUND(B10*64,0),64),64),IF(ROUND(B10*64,0)=0,"0",""))&amp;""""))</f>
        <v>1/8"</v>
      </c>
      <c r="B10" s="52" t="n">
        <f aca="false">8/64</f>
        <v>0.125</v>
      </c>
      <c r="C10" s="53" t="n">
        <f aca="false">B10*25.4</f>
        <v>3.175</v>
      </c>
      <c r="D10" s="54" t="n">
        <f aca="false">B10/2</f>
        <v>0.0625</v>
      </c>
      <c r="E10" s="53" t="n">
        <f aca="false">C10/2</f>
        <v>1.5875</v>
      </c>
    </row>
    <row r="11" customFormat="false" ht="15" hidden="false" customHeight="false" outlineLevel="0" collapsed="false">
      <c r="A11" s="30" t="str">
        <f aca="false">IF(NOT(ISNUMBER(B11)),"",IF(B11&lt;=0,"",IF(ABS(B11*64-ROUND(B11*64,0))&gt;0.0005,"≈ ","")&amp;IF(INT(ROUND(B11*64,0)/64)&gt;0,INT(ROUND(B11*64,0)/64)&amp;IF(MOD(ROUND(B11*64,0),64)&gt;0," ",""),"")&amp;IF(MOD(ROUND(B11*64,0),64)&gt;0,MOD(ROUND(B11*64,0),64)/GCD(MOD(ROUND(B11*64,0),64),64)&amp;"/"&amp;64/GCD(MOD(ROUND(B11*64,0),64),64),IF(ROUND(B11*64,0)=0,"0",""))&amp;""""))</f>
        <v>9/64"</v>
      </c>
      <c r="B11" s="48" t="n">
        <f aca="false">9/64</f>
        <v>0.140625</v>
      </c>
      <c r="C11" s="49" t="n">
        <f aca="false">B11*25.4</f>
        <v>3.571875</v>
      </c>
      <c r="D11" s="50" t="n">
        <f aca="false">B11/2</f>
        <v>0.0703125</v>
      </c>
      <c r="E11" s="49" t="n">
        <f aca="false">C11/2</f>
        <v>1.7859375</v>
      </c>
    </row>
    <row r="12" customFormat="false" ht="15" hidden="false" customHeight="false" outlineLevel="0" collapsed="false">
      <c r="A12" s="51" t="str">
        <f aca="false">IF(NOT(ISNUMBER(B12)),"",IF(B12&lt;=0,"",IF(ABS(B12*64-ROUND(B12*64,0))&gt;0.0005,"≈ ","")&amp;IF(INT(ROUND(B12*64,0)/64)&gt;0,INT(ROUND(B12*64,0)/64)&amp;IF(MOD(ROUND(B12*64,0),64)&gt;0," ",""),"")&amp;IF(MOD(ROUND(B12*64,0),64)&gt;0,MOD(ROUND(B12*64,0),64)/GCD(MOD(ROUND(B12*64,0),64),64)&amp;"/"&amp;64/GCD(MOD(ROUND(B12*64,0),64),64),IF(ROUND(B12*64,0)=0,"0",""))&amp;""""))</f>
        <v>5/32"</v>
      </c>
      <c r="B12" s="52" t="n">
        <f aca="false">10/64</f>
        <v>0.15625</v>
      </c>
      <c r="C12" s="53" t="n">
        <f aca="false">B12*25.4</f>
        <v>3.96875</v>
      </c>
      <c r="D12" s="54" t="n">
        <f aca="false">B12/2</f>
        <v>0.078125</v>
      </c>
      <c r="E12" s="53" t="n">
        <f aca="false">C12/2</f>
        <v>1.984375</v>
      </c>
    </row>
    <row r="13" customFormat="false" ht="15" hidden="false" customHeight="false" outlineLevel="0" collapsed="false">
      <c r="A13" s="30" t="str">
        <f aca="false">IF(NOT(ISNUMBER(B13)),"",IF(B13&lt;=0,"",IF(ABS(B13*64-ROUND(B13*64,0))&gt;0.0005,"≈ ","")&amp;IF(INT(ROUND(B13*64,0)/64)&gt;0,INT(ROUND(B13*64,0)/64)&amp;IF(MOD(ROUND(B13*64,0),64)&gt;0," ",""),"")&amp;IF(MOD(ROUND(B13*64,0),64)&gt;0,MOD(ROUND(B13*64,0),64)/GCD(MOD(ROUND(B13*64,0),64),64)&amp;"/"&amp;64/GCD(MOD(ROUND(B13*64,0),64),64),IF(ROUND(B13*64,0)=0,"0",""))&amp;""""))</f>
        <v>11/64"</v>
      </c>
      <c r="B13" s="48" t="n">
        <f aca="false">11/64</f>
        <v>0.171875</v>
      </c>
      <c r="C13" s="49" t="n">
        <f aca="false">B13*25.4</f>
        <v>4.365625</v>
      </c>
      <c r="D13" s="50" t="n">
        <f aca="false">B13/2</f>
        <v>0.0859375</v>
      </c>
      <c r="E13" s="49" t="n">
        <f aca="false">C13/2</f>
        <v>2.1828125</v>
      </c>
    </row>
    <row r="14" customFormat="false" ht="15" hidden="false" customHeight="false" outlineLevel="0" collapsed="false">
      <c r="A14" s="51" t="str">
        <f aca="false">IF(NOT(ISNUMBER(B14)),"",IF(B14&lt;=0,"",IF(ABS(B14*64-ROUND(B14*64,0))&gt;0.0005,"≈ ","")&amp;IF(INT(ROUND(B14*64,0)/64)&gt;0,INT(ROUND(B14*64,0)/64)&amp;IF(MOD(ROUND(B14*64,0),64)&gt;0," ",""),"")&amp;IF(MOD(ROUND(B14*64,0),64)&gt;0,MOD(ROUND(B14*64,0),64)/GCD(MOD(ROUND(B14*64,0),64),64)&amp;"/"&amp;64/GCD(MOD(ROUND(B14*64,0),64),64),IF(ROUND(B14*64,0)=0,"0",""))&amp;""""))</f>
        <v>3/16"</v>
      </c>
      <c r="B14" s="52" t="n">
        <f aca="false">12/64</f>
        <v>0.1875</v>
      </c>
      <c r="C14" s="53" t="n">
        <f aca="false">B14*25.4</f>
        <v>4.7625</v>
      </c>
      <c r="D14" s="54" t="n">
        <f aca="false">B14/2</f>
        <v>0.09375</v>
      </c>
      <c r="E14" s="53" t="n">
        <f aca="false">C14/2</f>
        <v>2.38125</v>
      </c>
    </row>
    <row r="15" customFormat="false" ht="15" hidden="false" customHeight="false" outlineLevel="0" collapsed="false">
      <c r="A15" s="30" t="str">
        <f aca="false">IF(NOT(ISNUMBER(B15)),"",IF(B15&lt;=0,"",IF(ABS(B15*64-ROUND(B15*64,0))&gt;0.0005,"≈ ","")&amp;IF(INT(ROUND(B15*64,0)/64)&gt;0,INT(ROUND(B15*64,0)/64)&amp;IF(MOD(ROUND(B15*64,0),64)&gt;0," ",""),"")&amp;IF(MOD(ROUND(B15*64,0),64)&gt;0,MOD(ROUND(B15*64,0),64)/GCD(MOD(ROUND(B15*64,0),64),64)&amp;"/"&amp;64/GCD(MOD(ROUND(B15*64,0),64),64),IF(ROUND(B15*64,0)=0,"0",""))&amp;""""))</f>
        <v>13/64"</v>
      </c>
      <c r="B15" s="48" t="n">
        <f aca="false">13/64</f>
        <v>0.203125</v>
      </c>
      <c r="C15" s="49" t="n">
        <f aca="false">B15*25.4</f>
        <v>5.159375</v>
      </c>
      <c r="D15" s="50" t="n">
        <f aca="false">B15/2</f>
        <v>0.1015625</v>
      </c>
      <c r="E15" s="49" t="n">
        <f aca="false">C15/2</f>
        <v>2.5796875</v>
      </c>
    </row>
    <row r="16" customFormat="false" ht="15" hidden="false" customHeight="false" outlineLevel="0" collapsed="false">
      <c r="A16" s="51" t="str">
        <f aca="false">IF(NOT(ISNUMBER(B16)),"",IF(B16&lt;=0,"",IF(ABS(B16*64-ROUND(B16*64,0))&gt;0.0005,"≈ ","")&amp;IF(INT(ROUND(B16*64,0)/64)&gt;0,INT(ROUND(B16*64,0)/64)&amp;IF(MOD(ROUND(B16*64,0),64)&gt;0," ",""),"")&amp;IF(MOD(ROUND(B16*64,0),64)&gt;0,MOD(ROUND(B16*64,0),64)/GCD(MOD(ROUND(B16*64,0),64),64)&amp;"/"&amp;64/GCD(MOD(ROUND(B16*64,0),64),64),IF(ROUND(B16*64,0)=0,"0",""))&amp;""""))</f>
        <v>7/32"</v>
      </c>
      <c r="B16" s="52" t="n">
        <f aca="false">14/64</f>
        <v>0.21875</v>
      </c>
      <c r="C16" s="53" t="n">
        <f aca="false">B16*25.4</f>
        <v>5.55625</v>
      </c>
      <c r="D16" s="54" t="n">
        <f aca="false">B16/2</f>
        <v>0.109375</v>
      </c>
      <c r="E16" s="53" t="n">
        <f aca="false">C16/2</f>
        <v>2.778125</v>
      </c>
    </row>
    <row r="17" customFormat="false" ht="15" hidden="false" customHeight="false" outlineLevel="0" collapsed="false">
      <c r="A17" s="30" t="str">
        <f aca="false">IF(NOT(ISNUMBER(B17)),"",IF(B17&lt;=0,"",IF(ABS(B17*64-ROUND(B17*64,0))&gt;0.0005,"≈ ","")&amp;IF(INT(ROUND(B17*64,0)/64)&gt;0,INT(ROUND(B17*64,0)/64)&amp;IF(MOD(ROUND(B17*64,0),64)&gt;0," ",""),"")&amp;IF(MOD(ROUND(B17*64,0),64)&gt;0,MOD(ROUND(B17*64,0),64)/GCD(MOD(ROUND(B17*64,0),64),64)&amp;"/"&amp;64/GCD(MOD(ROUND(B17*64,0),64),64),IF(ROUND(B17*64,0)=0,"0",""))&amp;""""))</f>
        <v>15/64"</v>
      </c>
      <c r="B17" s="48" t="n">
        <f aca="false">15/64</f>
        <v>0.234375</v>
      </c>
      <c r="C17" s="49" t="n">
        <f aca="false">B17*25.4</f>
        <v>5.953125</v>
      </c>
      <c r="D17" s="50" t="n">
        <f aca="false">B17/2</f>
        <v>0.1171875</v>
      </c>
      <c r="E17" s="49" t="n">
        <f aca="false">C17/2</f>
        <v>2.9765625</v>
      </c>
    </row>
    <row r="18" customFormat="false" ht="15" hidden="false" customHeight="false" outlineLevel="0" collapsed="false">
      <c r="A18" s="51" t="str">
        <f aca="false">IF(NOT(ISNUMBER(B18)),"",IF(B18&lt;=0,"",IF(ABS(B18*64-ROUND(B18*64,0))&gt;0.0005,"≈ ","")&amp;IF(INT(ROUND(B18*64,0)/64)&gt;0,INT(ROUND(B18*64,0)/64)&amp;IF(MOD(ROUND(B18*64,0),64)&gt;0," ",""),"")&amp;IF(MOD(ROUND(B18*64,0),64)&gt;0,MOD(ROUND(B18*64,0),64)/GCD(MOD(ROUND(B18*64,0),64),64)&amp;"/"&amp;64/GCD(MOD(ROUND(B18*64,0),64),64),IF(ROUND(B18*64,0)=0,"0",""))&amp;""""))</f>
        <v>1/4"</v>
      </c>
      <c r="B18" s="52" t="n">
        <f aca="false">16/64</f>
        <v>0.25</v>
      </c>
      <c r="C18" s="53" t="n">
        <f aca="false">B18*25.4</f>
        <v>6.35</v>
      </c>
      <c r="D18" s="54" t="n">
        <f aca="false">B18/2</f>
        <v>0.125</v>
      </c>
      <c r="E18" s="53" t="n">
        <f aca="false">C18/2</f>
        <v>3.175</v>
      </c>
    </row>
    <row r="19" customFormat="false" ht="15" hidden="false" customHeight="false" outlineLevel="0" collapsed="false">
      <c r="A19" s="30" t="str">
        <f aca="false">IF(NOT(ISNUMBER(B19)),"",IF(B19&lt;=0,"",IF(ABS(B19*64-ROUND(B19*64,0))&gt;0.0005,"≈ ","")&amp;IF(INT(ROUND(B19*64,0)/64)&gt;0,INT(ROUND(B19*64,0)/64)&amp;IF(MOD(ROUND(B19*64,0),64)&gt;0," ",""),"")&amp;IF(MOD(ROUND(B19*64,0),64)&gt;0,MOD(ROUND(B19*64,0),64)/GCD(MOD(ROUND(B19*64,0),64),64)&amp;"/"&amp;64/GCD(MOD(ROUND(B19*64,0),64),64),IF(ROUND(B19*64,0)=0,"0",""))&amp;""""))</f>
        <v>17/64"</v>
      </c>
      <c r="B19" s="48" t="n">
        <f aca="false">17/64</f>
        <v>0.265625</v>
      </c>
      <c r="C19" s="49" t="n">
        <f aca="false">B19*25.4</f>
        <v>6.746875</v>
      </c>
      <c r="D19" s="50" t="n">
        <f aca="false">B19/2</f>
        <v>0.1328125</v>
      </c>
      <c r="E19" s="49" t="n">
        <f aca="false">C19/2</f>
        <v>3.3734375</v>
      </c>
    </row>
    <row r="20" customFormat="false" ht="15" hidden="false" customHeight="false" outlineLevel="0" collapsed="false">
      <c r="A20" s="51" t="str">
        <f aca="false">IF(NOT(ISNUMBER(B20)),"",IF(B20&lt;=0,"",IF(ABS(B20*64-ROUND(B20*64,0))&gt;0.0005,"≈ ","")&amp;IF(INT(ROUND(B20*64,0)/64)&gt;0,INT(ROUND(B20*64,0)/64)&amp;IF(MOD(ROUND(B20*64,0),64)&gt;0," ",""),"")&amp;IF(MOD(ROUND(B20*64,0),64)&gt;0,MOD(ROUND(B20*64,0),64)/GCD(MOD(ROUND(B20*64,0),64),64)&amp;"/"&amp;64/GCD(MOD(ROUND(B20*64,0),64),64),IF(ROUND(B20*64,0)=0,"0",""))&amp;""""))</f>
        <v>9/32"</v>
      </c>
      <c r="B20" s="52" t="n">
        <f aca="false">18/64</f>
        <v>0.28125</v>
      </c>
      <c r="C20" s="53" t="n">
        <f aca="false">B20*25.4</f>
        <v>7.14375</v>
      </c>
      <c r="D20" s="54" t="n">
        <f aca="false">B20/2</f>
        <v>0.140625</v>
      </c>
      <c r="E20" s="53" t="n">
        <f aca="false">C20/2</f>
        <v>3.571875</v>
      </c>
    </row>
    <row r="21" customFormat="false" ht="15" hidden="false" customHeight="false" outlineLevel="0" collapsed="false">
      <c r="A21" s="30" t="str">
        <f aca="false">IF(NOT(ISNUMBER(B21)),"",IF(B21&lt;=0,"",IF(ABS(B21*64-ROUND(B21*64,0))&gt;0.0005,"≈ ","")&amp;IF(INT(ROUND(B21*64,0)/64)&gt;0,INT(ROUND(B21*64,0)/64)&amp;IF(MOD(ROUND(B21*64,0),64)&gt;0," ",""),"")&amp;IF(MOD(ROUND(B21*64,0),64)&gt;0,MOD(ROUND(B21*64,0),64)/GCD(MOD(ROUND(B21*64,0),64),64)&amp;"/"&amp;64/GCD(MOD(ROUND(B21*64,0),64),64),IF(ROUND(B21*64,0)=0,"0",""))&amp;""""))</f>
        <v>19/64"</v>
      </c>
      <c r="B21" s="48" t="n">
        <f aca="false">19/64</f>
        <v>0.296875</v>
      </c>
      <c r="C21" s="49" t="n">
        <f aca="false">B21*25.4</f>
        <v>7.540625</v>
      </c>
      <c r="D21" s="50" t="n">
        <f aca="false">B21/2</f>
        <v>0.1484375</v>
      </c>
      <c r="E21" s="49" t="n">
        <f aca="false">C21/2</f>
        <v>3.7703125</v>
      </c>
    </row>
    <row r="22" customFormat="false" ht="15" hidden="false" customHeight="false" outlineLevel="0" collapsed="false">
      <c r="A22" s="51" t="str">
        <f aca="false">IF(NOT(ISNUMBER(B22)),"",IF(B22&lt;=0,"",IF(ABS(B22*64-ROUND(B22*64,0))&gt;0.0005,"≈ ","")&amp;IF(INT(ROUND(B22*64,0)/64)&gt;0,INT(ROUND(B22*64,0)/64)&amp;IF(MOD(ROUND(B22*64,0),64)&gt;0," ",""),"")&amp;IF(MOD(ROUND(B22*64,0),64)&gt;0,MOD(ROUND(B22*64,0),64)/GCD(MOD(ROUND(B22*64,0),64),64)&amp;"/"&amp;64/GCD(MOD(ROUND(B22*64,0),64),64),IF(ROUND(B22*64,0)=0,"0",""))&amp;""""))</f>
        <v>5/16"</v>
      </c>
      <c r="B22" s="52" t="n">
        <f aca="false">20/64</f>
        <v>0.3125</v>
      </c>
      <c r="C22" s="53" t="n">
        <f aca="false">B22*25.4</f>
        <v>7.9375</v>
      </c>
      <c r="D22" s="54" t="n">
        <f aca="false">B22/2</f>
        <v>0.15625</v>
      </c>
      <c r="E22" s="53" t="n">
        <f aca="false">C22/2</f>
        <v>3.96875</v>
      </c>
    </row>
    <row r="23" customFormat="false" ht="15" hidden="false" customHeight="false" outlineLevel="0" collapsed="false">
      <c r="A23" s="30" t="str">
        <f aca="false">IF(NOT(ISNUMBER(B23)),"",IF(B23&lt;=0,"",IF(ABS(B23*64-ROUND(B23*64,0))&gt;0.0005,"≈ ","")&amp;IF(INT(ROUND(B23*64,0)/64)&gt;0,INT(ROUND(B23*64,0)/64)&amp;IF(MOD(ROUND(B23*64,0),64)&gt;0," ",""),"")&amp;IF(MOD(ROUND(B23*64,0),64)&gt;0,MOD(ROUND(B23*64,0),64)/GCD(MOD(ROUND(B23*64,0),64),64)&amp;"/"&amp;64/GCD(MOD(ROUND(B23*64,0),64),64),IF(ROUND(B23*64,0)=0,"0",""))&amp;""""))</f>
        <v>21/64"</v>
      </c>
      <c r="B23" s="48" t="n">
        <f aca="false">21/64</f>
        <v>0.328125</v>
      </c>
      <c r="C23" s="49" t="n">
        <f aca="false">B23*25.4</f>
        <v>8.334375</v>
      </c>
      <c r="D23" s="50" t="n">
        <f aca="false">B23/2</f>
        <v>0.1640625</v>
      </c>
      <c r="E23" s="49" t="n">
        <f aca="false">C23/2</f>
        <v>4.1671875</v>
      </c>
    </row>
    <row r="24" customFormat="false" ht="15" hidden="false" customHeight="false" outlineLevel="0" collapsed="false">
      <c r="A24" s="51" t="str">
        <f aca="false">IF(NOT(ISNUMBER(B24)),"",IF(B24&lt;=0,"",IF(ABS(B24*64-ROUND(B24*64,0))&gt;0.0005,"≈ ","")&amp;IF(INT(ROUND(B24*64,0)/64)&gt;0,INT(ROUND(B24*64,0)/64)&amp;IF(MOD(ROUND(B24*64,0),64)&gt;0," ",""),"")&amp;IF(MOD(ROUND(B24*64,0),64)&gt;0,MOD(ROUND(B24*64,0),64)/GCD(MOD(ROUND(B24*64,0),64),64)&amp;"/"&amp;64/GCD(MOD(ROUND(B24*64,0),64),64),IF(ROUND(B24*64,0)=0,"0",""))&amp;""""))</f>
        <v>11/32"</v>
      </c>
      <c r="B24" s="52" t="n">
        <f aca="false">22/64</f>
        <v>0.34375</v>
      </c>
      <c r="C24" s="53" t="n">
        <f aca="false">B24*25.4</f>
        <v>8.73125</v>
      </c>
      <c r="D24" s="54" t="n">
        <f aca="false">B24/2</f>
        <v>0.171875</v>
      </c>
      <c r="E24" s="53" t="n">
        <f aca="false">C24/2</f>
        <v>4.365625</v>
      </c>
    </row>
    <row r="25" customFormat="false" ht="15" hidden="false" customHeight="false" outlineLevel="0" collapsed="false">
      <c r="A25" s="30" t="str">
        <f aca="false">IF(NOT(ISNUMBER(B25)),"",IF(B25&lt;=0,"",IF(ABS(B25*64-ROUND(B25*64,0))&gt;0.0005,"≈ ","")&amp;IF(INT(ROUND(B25*64,0)/64)&gt;0,INT(ROUND(B25*64,0)/64)&amp;IF(MOD(ROUND(B25*64,0),64)&gt;0," ",""),"")&amp;IF(MOD(ROUND(B25*64,0),64)&gt;0,MOD(ROUND(B25*64,0),64)/GCD(MOD(ROUND(B25*64,0),64),64)&amp;"/"&amp;64/GCD(MOD(ROUND(B25*64,0),64),64),IF(ROUND(B25*64,0)=0,"0",""))&amp;""""))</f>
        <v>23/64"</v>
      </c>
      <c r="B25" s="48" t="n">
        <f aca="false">23/64</f>
        <v>0.359375</v>
      </c>
      <c r="C25" s="49" t="n">
        <f aca="false">B25*25.4</f>
        <v>9.128125</v>
      </c>
      <c r="D25" s="50" t="n">
        <f aca="false">B25/2</f>
        <v>0.1796875</v>
      </c>
      <c r="E25" s="49" t="n">
        <f aca="false">C25/2</f>
        <v>4.5640625</v>
      </c>
    </row>
    <row r="26" customFormat="false" ht="15" hidden="false" customHeight="false" outlineLevel="0" collapsed="false">
      <c r="A26" s="51" t="str">
        <f aca="false">IF(NOT(ISNUMBER(B26)),"",IF(B26&lt;=0,"",IF(ABS(B26*64-ROUND(B26*64,0))&gt;0.0005,"≈ ","")&amp;IF(INT(ROUND(B26*64,0)/64)&gt;0,INT(ROUND(B26*64,0)/64)&amp;IF(MOD(ROUND(B26*64,0),64)&gt;0," ",""),"")&amp;IF(MOD(ROUND(B26*64,0),64)&gt;0,MOD(ROUND(B26*64,0),64)/GCD(MOD(ROUND(B26*64,0),64),64)&amp;"/"&amp;64/GCD(MOD(ROUND(B26*64,0),64),64),IF(ROUND(B26*64,0)=0,"0",""))&amp;""""))</f>
        <v>3/8"</v>
      </c>
      <c r="B26" s="52" t="n">
        <f aca="false">24/64</f>
        <v>0.375</v>
      </c>
      <c r="C26" s="53" t="n">
        <f aca="false">B26*25.4</f>
        <v>9.525</v>
      </c>
      <c r="D26" s="54" t="n">
        <f aca="false">B26/2</f>
        <v>0.1875</v>
      </c>
      <c r="E26" s="53" t="n">
        <f aca="false">C26/2</f>
        <v>4.7625</v>
      </c>
    </row>
    <row r="27" customFormat="false" ht="15" hidden="false" customHeight="false" outlineLevel="0" collapsed="false">
      <c r="A27" s="30" t="str">
        <f aca="false">IF(NOT(ISNUMBER(B27)),"",IF(B27&lt;=0,"",IF(ABS(B27*64-ROUND(B27*64,0))&gt;0.0005,"≈ ","")&amp;IF(INT(ROUND(B27*64,0)/64)&gt;0,INT(ROUND(B27*64,0)/64)&amp;IF(MOD(ROUND(B27*64,0),64)&gt;0," ",""),"")&amp;IF(MOD(ROUND(B27*64,0),64)&gt;0,MOD(ROUND(B27*64,0),64)/GCD(MOD(ROUND(B27*64,0),64),64)&amp;"/"&amp;64/GCD(MOD(ROUND(B27*64,0),64),64),IF(ROUND(B27*64,0)=0,"0",""))&amp;""""))</f>
        <v>25/64"</v>
      </c>
      <c r="B27" s="48" t="n">
        <f aca="false">25/64</f>
        <v>0.390625</v>
      </c>
      <c r="C27" s="49" t="n">
        <f aca="false">B27*25.4</f>
        <v>9.921875</v>
      </c>
      <c r="D27" s="50" t="n">
        <f aca="false">B27/2</f>
        <v>0.1953125</v>
      </c>
      <c r="E27" s="49" t="n">
        <f aca="false">C27/2</f>
        <v>4.9609375</v>
      </c>
    </row>
    <row r="28" customFormat="false" ht="15" hidden="false" customHeight="false" outlineLevel="0" collapsed="false">
      <c r="A28" s="51" t="str">
        <f aca="false">IF(NOT(ISNUMBER(B28)),"",IF(B28&lt;=0,"",IF(ABS(B28*64-ROUND(B28*64,0))&gt;0.0005,"≈ ","")&amp;IF(INT(ROUND(B28*64,0)/64)&gt;0,INT(ROUND(B28*64,0)/64)&amp;IF(MOD(ROUND(B28*64,0),64)&gt;0," ",""),"")&amp;IF(MOD(ROUND(B28*64,0),64)&gt;0,MOD(ROUND(B28*64,0),64)/GCD(MOD(ROUND(B28*64,0),64),64)&amp;"/"&amp;64/GCD(MOD(ROUND(B28*64,0),64),64),IF(ROUND(B28*64,0)=0,"0",""))&amp;""""))</f>
        <v>13/32"</v>
      </c>
      <c r="B28" s="52" t="n">
        <f aca="false">26/64</f>
        <v>0.40625</v>
      </c>
      <c r="C28" s="53" t="n">
        <f aca="false">B28*25.4</f>
        <v>10.31875</v>
      </c>
      <c r="D28" s="54" t="n">
        <f aca="false">B28/2</f>
        <v>0.203125</v>
      </c>
      <c r="E28" s="53" t="n">
        <f aca="false">C28/2</f>
        <v>5.159375</v>
      </c>
    </row>
    <row r="29" customFormat="false" ht="15" hidden="false" customHeight="false" outlineLevel="0" collapsed="false">
      <c r="A29" s="30" t="str">
        <f aca="false">IF(NOT(ISNUMBER(B29)),"",IF(B29&lt;=0,"",IF(ABS(B29*64-ROUND(B29*64,0))&gt;0.0005,"≈ ","")&amp;IF(INT(ROUND(B29*64,0)/64)&gt;0,INT(ROUND(B29*64,0)/64)&amp;IF(MOD(ROUND(B29*64,0),64)&gt;0," ",""),"")&amp;IF(MOD(ROUND(B29*64,0),64)&gt;0,MOD(ROUND(B29*64,0),64)/GCD(MOD(ROUND(B29*64,0),64),64)&amp;"/"&amp;64/GCD(MOD(ROUND(B29*64,0),64),64),IF(ROUND(B29*64,0)=0,"0",""))&amp;""""))</f>
        <v>27/64"</v>
      </c>
      <c r="B29" s="48" t="n">
        <f aca="false">27/64</f>
        <v>0.421875</v>
      </c>
      <c r="C29" s="49" t="n">
        <f aca="false">B29*25.4</f>
        <v>10.715625</v>
      </c>
      <c r="D29" s="50" t="n">
        <f aca="false">B29/2</f>
        <v>0.2109375</v>
      </c>
      <c r="E29" s="49" t="n">
        <f aca="false">C29/2</f>
        <v>5.3578125</v>
      </c>
    </row>
    <row r="30" customFormat="false" ht="15" hidden="false" customHeight="false" outlineLevel="0" collapsed="false">
      <c r="A30" s="51" t="str">
        <f aca="false">IF(NOT(ISNUMBER(B30)),"",IF(B30&lt;=0,"",IF(ABS(B30*64-ROUND(B30*64,0))&gt;0.0005,"≈ ","")&amp;IF(INT(ROUND(B30*64,0)/64)&gt;0,INT(ROUND(B30*64,0)/64)&amp;IF(MOD(ROUND(B30*64,0),64)&gt;0," ",""),"")&amp;IF(MOD(ROUND(B30*64,0),64)&gt;0,MOD(ROUND(B30*64,0),64)/GCD(MOD(ROUND(B30*64,0),64),64)&amp;"/"&amp;64/GCD(MOD(ROUND(B30*64,0),64),64),IF(ROUND(B30*64,0)=0,"0",""))&amp;""""))</f>
        <v>7/16"</v>
      </c>
      <c r="B30" s="52" t="n">
        <f aca="false">28/64</f>
        <v>0.4375</v>
      </c>
      <c r="C30" s="53" t="n">
        <f aca="false">B30*25.4</f>
        <v>11.1125</v>
      </c>
      <c r="D30" s="54" t="n">
        <f aca="false">B30/2</f>
        <v>0.21875</v>
      </c>
      <c r="E30" s="53" t="n">
        <f aca="false">C30/2</f>
        <v>5.55625</v>
      </c>
    </row>
    <row r="31" customFormat="false" ht="15" hidden="false" customHeight="false" outlineLevel="0" collapsed="false">
      <c r="A31" s="30" t="str">
        <f aca="false">IF(NOT(ISNUMBER(B31)),"",IF(B31&lt;=0,"",IF(ABS(B31*64-ROUND(B31*64,0))&gt;0.0005,"≈ ","")&amp;IF(INT(ROUND(B31*64,0)/64)&gt;0,INT(ROUND(B31*64,0)/64)&amp;IF(MOD(ROUND(B31*64,0),64)&gt;0," ",""),"")&amp;IF(MOD(ROUND(B31*64,0),64)&gt;0,MOD(ROUND(B31*64,0),64)/GCD(MOD(ROUND(B31*64,0),64),64)&amp;"/"&amp;64/GCD(MOD(ROUND(B31*64,0),64),64),IF(ROUND(B31*64,0)=0,"0",""))&amp;""""))</f>
        <v>29/64"</v>
      </c>
      <c r="B31" s="48" t="n">
        <f aca="false">29/64</f>
        <v>0.453125</v>
      </c>
      <c r="C31" s="49" t="n">
        <f aca="false">B31*25.4</f>
        <v>11.509375</v>
      </c>
      <c r="D31" s="50" t="n">
        <f aca="false">B31/2</f>
        <v>0.2265625</v>
      </c>
      <c r="E31" s="49" t="n">
        <f aca="false">C31/2</f>
        <v>5.7546875</v>
      </c>
    </row>
    <row r="32" customFormat="false" ht="15" hidden="false" customHeight="false" outlineLevel="0" collapsed="false">
      <c r="A32" s="51" t="str">
        <f aca="false">IF(NOT(ISNUMBER(B32)),"",IF(B32&lt;=0,"",IF(ABS(B32*64-ROUND(B32*64,0))&gt;0.0005,"≈ ","")&amp;IF(INT(ROUND(B32*64,0)/64)&gt;0,INT(ROUND(B32*64,0)/64)&amp;IF(MOD(ROUND(B32*64,0),64)&gt;0," ",""),"")&amp;IF(MOD(ROUND(B32*64,0),64)&gt;0,MOD(ROUND(B32*64,0),64)/GCD(MOD(ROUND(B32*64,0),64),64)&amp;"/"&amp;64/GCD(MOD(ROUND(B32*64,0),64),64),IF(ROUND(B32*64,0)=0,"0",""))&amp;""""))</f>
        <v>15/32"</v>
      </c>
      <c r="B32" s="52" t="n">
        <f aca="false">30/64</f>
        <v>0.46875</v>
      </c>
      <c r="C32" s="53" t="n">
        <f aca="false">B32*25.4</f>
        <v>11.90625</v>
      </c>
      <c r="D32" s="54" t="n">
        <f aca="false">B32/2</f>
        <v>0.234375</v>
      </c>
      <c r="E32" s="53" t="n">
        <f aca="false">C32/2</f>
        <v>5.953125</v>
      </c>
    </row>
    <row r="33" customFormat="false" ht="15" hidden="false" customHeight="false" outlineLevel="0" collapsed="false">
      <c r="A33" s="30" t="str">
        <f aca="false">IF(NOT(ISNUMBER(B33)),"",IF(B33&lt;=0,"",IF(ABS(B33*64-ROUND(B33*64,0))&gt;0.0005,"≈ ","")&amp;IF(INT(ROUND(B33*64,0)/64)&gt;0,INT(ROUND(B33*64,0)/64)&amp;IF(MOD(ROUND(B33*64,0),64)&gt;0," ",""),"")&amp;IF(MOD(ROUND(B33*64,0),64)&gt;0,MOD(ROUND(B33*64,0),64)/GCD(MOD(ROUND(B33*64,0),64),64)&amp;"/"&amp;64/GCD(MOD(ROUND(B33*64,0),64),64),IF(ROUND(B33*64,0)=0,"0",""))&amp;""""))</f>
        <v>31/64"</v>
      </c>
      <c r="B33" s="48" t="n">
        <f aca="false">31/64</f>
        <v>0.484375</v>
      </c>
      <c r="C33" s="49" t="n">
        <f aca="false">B33*25.4</f>
        <v>12.303125</v>
      </c>
      <c r="D33" s="50" t="n">
        <f aca="false">B33/2</f>
        <v>0.2421875</v>
      </c>
      <c r="E33" s="49" t="n">
        <f aca="false">C33/2</f>
        <v>6.1515625</v>
      </c>
    </row>
    <row r="34" customFormat="false" ht="15" hidden="false" customHeight="false" outlineLevel="0" collapsed="false">
      <c r="A34" s="51" t="str">
        <f aca="false">IF(NOT(ISNUMBER(B34)),"",IF(B34&lt;=0,"",IF(ABS(B34*64-ROUND(B34*64,0))&gt;0.0005,"≈ ","")&amp;IF(INT(ROUND(B34*64,0)/64)&gt;0,INT(ROUND(B34*64,0)/64)&amp;IF(MOD(ROUND(B34*64,0),64)&gt;0," ",""),"")&amp;IF(MOD(ROUND(B34*64,0),64)&gt;0,MOD(ROUND(B34*64,0),64)/GCD(MOD(ROUND(B34*64,0),64),64)&amp;"/"&amp;64/GCD(MOD(ROUND(B34*64,0),64),64),IF(ROUND(B34*64,0)=0,"0",""))&amp;""""))</f>
        <v>1/2"</v>
      </c>
      <c r="B34" s="52" t="n">
        <f aca="false">32/64</f>
        <v>0.5</v>
      </c>
      <c r="C34" s="53" t="n">
        <f aca="false">B34*25.4</f>
        <v>12.7</v>
      </c>
      <c r="D34" s="54" t="n">
        <f aca="false">B34/2</f>
        <v>0.25</v>
      </c>
      <c r="E34" s="53" t="n">
        <f aca="false">C34/2</f>
        <v>6.35</v>
      </c>
    </row>
    <row r="35" customFormat="false" ht="15" hidden="false" customHeight="false" outlineLevel="0" collapsed="false">
      <c r="A35" s="30" t="str">
        <f aca="false">IF(NOT(ISNUMBER(B35)),"",IF(B35&lt;=0,"",IF(ABS(B35*64-ROUND(B35*64,0))&gt;0.0005,"≈ ","")&amp;IF(INT(ROUND(B35*64,0)/64)&gt;0,INT(ROUND(B35*64,0)/64)&amp;IF(MOD(ROUND(B35*64,0),64)&gt;0," ",""),"")&amp;IF(MOD(ROUND(B35*64,0),64)&gt;0,MOD(ROUND(B35*64,0),64)/GCD(MOD(ROUND(B35*64,0),64),64)&amp;"/"&amp;64/GCD(MOD(ROUND(B35*64,0),64),64),IF(ROUND(B35*64,0)=0,"0",""))&amp;""""))</f>
        <v>33/64"</v>
      </c>
      <c r="B35" s="48" t="n">
        <f aca="false">33/64</f>
        <v>0.515625</v>
      </c>
      <c r="C35" s="49" t="n">
        <f aca="false">B35*25.4</f>
        <v>13.096875</v>
      </c>
      <c r="D35" s="50" t="n">
        <f aca="false">B35/2</f>
        <v>0.2578125</v>
      </c>
      <c r="E35" s="49" t="n">
        <f aca="false">C35/2</f>
        <v>6.5484375</v>
      </c>
    </row>
    <row r="36" customFormat="false" ht="15" hidden="false" customHeight="false" outlineLevel="0" collapsed="false">
      <c r="A36" s="51" t="str">
        <f aca="false">IF(NOT(ISNUMBER(B36)),"",IF(B36&lt;=0,"",IF(ABS(B36*64-ROUND(B36*64,0))&gt;0.0005,"≈ ","")&amp;IF(INT(ROUND(B36*64,0)/64)&gt;0,INT(ROUND(B36*64,0)/64)&amp;IF(MOD(ROUND(B36*64,0),64)&gt;0," ",""),"")&amp;IF(MOD(ROUND(B36*64,0),64)&gt;0,MOD(ROUND(B36*64,0),64)/GCD(MOD(ROUND(B36*64,0),64),64)&amp;"/"&amp;64/GCD(MOD(ROUND(B36*64,0),64),64),IF(ROUND(B36*64,0)=0,"0",""))&amp;""""))</f>
        <v>17/32"</v>
      </c>
      <c r="B36" s="52" t="n">
        <f aca="false">34/64</f>
        <v>0.53125</v>
      </c>
      <c r="C36" s="53" t="n">
        <f aca="false">B36*25.4</f>
        <v>13.49375</v>
      </c>
      <c r="D36" s="54" t="n">
        <f aca="false">B36/2</f>
        <v>0.265625</v>
      </c>
      <c r="E36" s="53" t="n">
        <f aca="false">C36/2</f>
        <v>6.746875</v>
      </c>
    </row>
    <row r="37" customFormat="false" ht="15" hidden="false" customHeight="false" outlineLevel="0" collapsed="false">
      <c r="A37" s="30" t="str">
        <f aca="false">IF(NOT(ISNUMBER(B37)),"",IF(B37&lt;=0,"",IF(ABS(B37*64-ROUND(B37*64,0))&gt;0.0005,"≈ ","")&amp;IF(INT(ROUND(B37*64,0)/64)&gt;0,INT(ROUND(B37*64,0)/64)&amp;IF(MOD(ROUND(B37*64,0),64)&gt;0," ",""),"")&amp;IF(MOD(ROUND(B37*64,0),64)&gt;0,MOD(ROUND(B37*64,0),64)/GCD(MOD(ROUND(B37*64,0),64),64)&amp;"/"&amp;64/GCD(MOD(ROUND(B37*64,0),64),64),IF(ROUND(B37*64,0)=0,"0",""))&amp;""""))</f>
        <v>35/64"</v>
      </c>
      <c r="B37" s="48" t="n">
        <f aca="false">35/64</f>
        <v>0.546875</v>
      </c>
      <c r="C37" s="49" t="n">
        <f aca="false">B37*25.4</f>
        <v>13.890625</v>
      </c>
      <c r="D37" s="50" t="n">
        <f aca="false">B37/2</f>
        <v>0.2734375</v>
      </c>
      <c r="E37" s="49" t="n">
        <f aca="false">C37/2</f>
        <v>6.9453125</v>
      </c>
    </row>
    <row r="38" customFormat="false" ht="15" hidden="false" customHeight="false" outlineLevel="0" collapsed="false">
      <c r="A38" s="51" t="str">
        <f aca="false">IF(NOT(ISNUMBER(B38)),"",IF(B38&lt;=0,"",IF(ABS(B38*64-ROUND(B38*64,0))&gt;0.0005,"≈ ","")&amp;IF(INT(ROUND(B38*64,0)/64)&gt;0,INT(ROUND(B38*64,0)/64)&amp;IF(MOD(ROUND(B38*64,0),64)&gt;0," ",""),"")&amp;IF(MOD(ROUND(B38*64,0),64)&gt;0,MOD(ROUND(B38*64,0),64)/GCD(MOD(ROUND(B38*64,0),64),64)&amp;"/"&amp;64/GCD(MOD(ROUND(B38*64,0),64),64),IF(ROUND(B38*64,0)=0,"0",""))&amp;""""))</f>
        <v>9/16"</v>
      </c>
      <c r="B38" s="52" t="n">
        <f aca="false">36/64</f>
        <v>0.5625</v>
      </c>
      <c r="C38" s="53" t="n">
        <f aca="false">B38*25.4</f>
        <v>14.2875</v>
      </c>
      <c r="D38" s="54" t="n">
        <f aca="false">B38/2</f>
        <v>0.28125</v>
      </c>
      <c r="E38" s="53" t="n">
        <f aca="false">C38/2</f>
        <v>7.14375</v>
      </c>
    </row>
    <row r="39" customFormat="false" ht="15" hidden="false" customHeight="false" outlineLevel="0" collapsed="false">
      <c r="A39" s="30" t="str">
        <f aca="false">IF(NOT(ISNUMBER(B39)),"",IF(B39&lt;=0,"",IF(ABS(B39*64-ROUND(B39*64,0))&gt;0.0005,"≈ ","")&amp;IF(INT(ROUND(B39*64,0)/64)&gt;0,INT(ROUND(B39*64,0)/64)&amp;IF(MOD(ROUND(B39*64,0),64)&gt;0," ",""),"")&amp;IF(MOD(ROUND(B39*64,0),64)&gt;0,MOD(ROUND(B39*64,0),64)/GCD(MOD(ROUND(B39*64,0),64),64)&amp;"/"&amp;64/GCD(MOD(ROUND(B39*64,0),64),64),IF(ROUND(B39*64,0)=0,"0",""))&amp;""""))</f>
        <v>37/64"</v>
      </c>
      <c r="B39" s="48" t="n">
        <f aca="false">37/64</f>
        <v>0.578125</v>
      </c>
      <c r="C39" s="49" t="n">
        <f aca="false">B39*25.4</f>
        <v>14.684375</v>
      </c>
      <c r="D39" s="50" t="n">
        <f aca="false">B39/2</f>
        <v>0.2890625</v>
      </c>
      <c r="E39" s="49" t="n">
        <f aca="false">C39/2</f>
        <v>7.3421875</v>
      </c>
    </row>
    <row r="40" customFormat="false" ht="15" hidden="false" customHeight="false" outlineLevel="0" collapsed="false">
      <c r="A40" s="51" t="str">
        <f aca="false">IF(NOT(ISNUMBER(B40)),"",IF(B40&lt;=0,"",IF(ABS(B40*64-ROUND(B40*64,0))&gt;0.0005,"≈ ","")&amp;IF(INT(ROUND(B40*64,0)/64)&gt;0,INT(ROUND(B40*64,0)/64)&amp;IF(MOD(ROUND(B40*64,0),64)&gt;0," ",""),"")&amp;IF(MOD(ROUND(B40*64,0),64)&gt;0,MOD(ROUND(B40*64,0),64)/GCD(MOD(ROUND(B40*64,0),64),64)&amp;"/"&amp;64/GCD(MOD(ROUND(B40*64,0),64),64),IF(ROUND(B40*64,0)=0,"0",""))&amp;""""))</f>
        <v>19/32"</v>
      </c>
      <c r="B40" s="52" t="n">
        <f aca="false">38/64</f>
        <v>0.59375</v>
      </c>
      <c r="C40" s="53" t="n">
        <f aca="false">B40*25.4</f>
        <v>15.08125</v>
      </c>
      <c r="D40" s="54" t="n">
        <f aca="false">B40/2</f>
        <v>0.296875</v>
      </c>
      <c r="E40" s="53" t="n">
        <f aca="false">C40/2</f>
        <v>7.540625</v>
      </c>
    </row>
    <row r="41" customFormat="false" ht="15" hidden="false" customHeight="false" outlineLevel="0" collapsed="false">
      <c r="A41" s="30" t="str">
        <f aca="false">IF(NOT(ISNUMBER(B41)),"",IF(B41&lt;=0,"",IF(ABS(B41*64-ROUND(B41*64,0))&gt;0.0005,"≈ ","")&amp;IF(INT(ROUND(B41*64,0)/64)&gt;0,INT(ROUND(B41*64,0)/64)&amp;IF(MOD(ROUND(B41*64,0),64)&gt;0," ",""),"")&amp;IF(MOD(ROUND(B41*64,0),64)&gt;0,MOD(ROUND(B41*64,0),64)/GCD(MOD(ROUND(B41*64,0),64),64)&amp;"/"&amp;64/GCD(MOD(ROUND(B41*64,0),64),64),IF(ROUND(B41*64,0)=0,"0",""))&amp;""""))</f>
        <v>39/64"</v>
      </c>
      <c r="B41" s="48" t="n">
        <f aca="false">39/64</f>
        <v>0.609375</v>
      </c>
      <c r="C41" s="49" t="n">
        <f aca="false">B41*25.4</f>
        <v>15.478125</v>
      </c>
      <c r="D41" s="50" t="n">
        <f aca="false">B41/2</f>
        <v>0.3046875</v>
      </c>
      <c r="E41" s="49" t="n">
        <f aca="false">C41/2</f>
        <v>7.7390625</v>
      </c>
    </row>
    <row r="42" customFormat="false" ht="15" hidden="false" customHeight="false" outlineLevel="0" collapsed="false">
      <c r="A42" s="51" t="str">
        <f aca="false">IF(NOT(ISNUMBER(B42)),"",IF(B42&lt;=0,"",IF(ABS(B42*64-ROUND(B42*64,0))&gt;0.0005,"≈ ","")&amp;IF(INT(ROUND(B42*64,0)/64)&gt;0,INT(ROUND(B42*64,0)/64)&amp;IF(MOD(ROUND(B42*64,0),64)&gt;0," ",""),"")&amp;IF(MOD(ROUND(B42*64,0),64)&gt;0,MOD(ROUND(B42*64,0),64)/GCD(MOD(ROUND(B42*64,0),64),64)&amp;"/"&amp;64/GCD(MOD(ROUND(B42*64,0),64),64),IF(ROUND(B42*64,0)=0,"0",""))&amp;""""))</f>
        <v>5/8"</v>
      </c>
      <c r="B42" s="52" t="n">
        <f aca="false">40/64</f>
        <v>0.625</v>
      </c>
      <c r="C42" s="53" t="n">
        <f aca="false">B42*25.4</f>
        <v>15.875</v>
      </c>
      <c r="D42" s="54" t="n">
        <f aca="false">B42/2</f>
        <v>0.3125</v>
      </c>
      <c r="E42" s="53" t="n">
        <f aca="false">C42/2</f>
        <v>7.9375</v>
      </c>
    </row>
    <row r="43" customFormat="false" ht="15" hidden="false" customHeight="false" outlineLevel="0" collapsed="false">
      <c r="A43" s="30" t="str">
        <f aca="false">IF(NOT(ISNUMBER(B43)),"",IF(B43&lt;=0,"",IF(ABS(B43*64-ROUND(B43*64,0))&gt;0.0005,"≈ ","")&amp;IF(INT(ROUND(B43*64,0)/64)&gt;0,INT(ROUND(B43*64,0)/64)&amp;IF(MOD(ROUND(B43*64,0),64)&gt;0," ",""),"")&amp;IF(MOD(ROUND(B43*64,0),64)&gt;0,MOD(ROUND(B43*64,0),64)/GCD(MOD(ROUND(B43*64,0),64),64)&amp;"/"&amp;64/GCD(MOD(ROUND(B43*64,0),64),64),IF(ROUND(B43*64,0)=0,"0",""))&amp;""""))</f>
        <v>41/64"</v>
      </c>
      <c r="B43" s="48" t="n">
        <f aca="false">41/64</f>
        <v>0.640625</v>
      </c>
      <c r="C43" s="49" t="n">
        <f aca="false">B43*25.4</f>
        <v>16.271875</v>
      </c>
      <c r="D43" s="50" t="n">
        <f aca="false">B43/2</f>
        <v>0.3203125</v>
      </c>
      <c r="E43" s="49" t="n">
        <f aca="false">C43/2</f>
        <v>8.1359375</v>
      </c>
    </row>
    <row r="44" customFormat="false" ht="15" hidden="false" customHeight="false" outlineLevel="0" collapsed="false">
      <c r="A44" s="51" t="str">
        <f aca="false">IF(NOT(ISNUMBER(B44)),"",IF(B44&lt;=0,"",IF(ABS(B44*64-ROUND(B44*64,0))&gt;0.0005,"≈ ","")&amp;IF(INT(ROUND(B44*64,0)/64)&gt;0,INT(ROUND(B44*64,0)/64)&amp;IF(MOD(ROUND(B44*64,0),64)&gt;0," ",""),"")&amp;IF(MOD(ROUND(B44*64,0),64)&gt;0,MOD(ROUND(B44*64,0),64)/GCD(MOD(ROUND(B44*64,0),64),64)&amp;"/"&amp;64/GCD(MOD(ROUND(B44*64,0),64),64),IF(ROUND(B44*64,0)=0,"0",""))&amp;""""))</f>
        <v>21/32"</v>
      </c>
      <c r="B44" s="52" t="n">
        <f aca="false">42/64</f>
        <v>0.65625</v>
      </c>
      <c r="C44" s="53" t="n">
        <f aca="false">B44*25.4</f>
        <v>16.66875</v>
      </c>
      <c r="D44" s="54" t="n">
        <f aca="false">B44/2</f>
        <v>0.328125</v>
      </c>
      <c r="E44" s="53" t="n">
        <f aca="false">C44/2</f>
        <v>8.334375</v>
      </c>
    </row>
    <row r="45" customFormat="false" ht="15" hidden="false" customHeight="false" outlineLevel="0" collapsed="false">
      <c r="A45" s="30" t="str">
        <f aca="false">IF(NOT(ISNUMBER(B45)),"",IF(B45&lt;=0,"",IF(ABS(B45*64-ROUND(B45*64,0))&gt;0.0005,"≈ ","")&amp;IF(INT(ROUND(B45*64,0)/64)&gt;0,INT(ROUND(B45*64,0)/64)&amp;IF(MOD(ROUND(B45*64,0),64)&gt;0," ",""),"")&amp;IF(MOD(ROUND(B45*64,0),64)&gt;0,MOD(ROUND(B45*64,0),64)/GCD(MOD(ROUND(B45*64,0),64),64)&amp;"/"&amp;64/GCD(MOD(ROUND(B45*64,0),64),64),IF(ROUND(B45*64,0)=0,"0",""))&amp;""""))</f>
        <v>43/64"</v>
      </c>
      <c r="B45" s="48" t="n">
        <f aca="false">43/64</f>
        <v>0.671875</v>
      </c>
      <c r="C45" s="49" t="n">
        <f aca="false">B45*25.4</f>
        <v>17.065625</v>
      </c>
      <c r="D45" s="50" t="n">
        <f aca="false">B45/2</f>
        <v>0.3359375</v>
      </c>
      <c r="E45" s="49" t="n">
        <f aca="false">C45/2</f>
        <v>8.5328125</v>
      </c>
    </row>
    <row r="46" customFormat="false" ht="15" hidden="false" customHeight="false" outlineLevel="0" collapsed="false">
      <c r="A46" s="51" t="str">
        <f aca="false">IF(NOT(ISNUMBER(B46)),"",IF(B46&lt;=0,"",IF(ABS(B46*64-ROUND(B46*64,0))&gt;0.0005,"≈ ","")&amp;IF(INT(ROUND(B46*64,0)/64)&gt;0,INT(ROUND(B46*64,0)/64)&amp;IF(MOD(ROUND(B46*64,0),64)&gt;0," ",""),"")&amp;IF(MOD(ROUND(B46*64,0),64)&gt;0,MOD(ROUND(B46*64,0),64)/GCD(MOD(ROUND(B46*64,0),64),64)&amp;"/"&amp;64/GCD(MOD(ROUND(B46*64,0),64),64),IF(ROUND(B46*64,0)=0,"0",""))&amp;""""))</f>
        <v>11/16"</v>
      </c>
      <c r="B46" s="52" t="n">
        <f aca="false">44/64</f>
        <v>0.6875</v>
      </c>
      <c r="C46" s="53" t="n">
        <f aca="false">B46*25.4</f>
        <v>17.4625</v>
      </c>
      <c r="D46" s="54" t="n">
        <f aca="false">B46/2</f>
        <v>0.34375</v>
      </c>
      <c r="E46" s="53" t="n">
        <f aca="false">C46/2</f>
        <v>8.73125</v>
      </c>
    </row>
    <row r="47" customFormat="false" ht="15" hidden="false" customHeight="false" outlineLevel="0" collapsed="false">
      <c r="A47" s="30" t="str">
        <f aca="false">IF(NOT(ISNUMBER(B47)),"",IF(B47&lt;=0,"",IF(ABS(B47*64-ROUND(B47*64,0))&gt;0.0005,"≈ ","")&amp;IF(INT(ROUND(B47*64,0)/64)&gt;0,INT(ROUND(B47*64,0)/64)&amp;IF(MOD(ROUND(B47*64,0),64)&gt;0," ",""),"")&amp;IF(MOD(ROUND(B47*64,0),64)&gt;0,MOD(ROUND(B47*64,0),64)/GCD(MOD(ROUND(B47*64,0),64),64)&amp;"/"&amp;64/GCD(MOD(ROUND(B47*64,0),64),64),IF(ROUND(B47*64,0)=0,"0",""))&amp;""""))</f>
        <v>45/64"</v>
      </c>
      <c r="B47" s="48" t="n">
        <f aca="false">45/64</f>
        <v>0.703125</v>
      </c>
      <c r="C47" s="49" t="n">
        <f aca="false">B47*25.4</f>
        <v>17.859375</v>
      </c>
      <c r="D47" s="50" t="n">
        <f aca="false">B47/2</f>
        <v>0.3515625</v>
      </c>
      <c r="E47" s="49" t="n">
        <f aca="false">C47/2</f>
        <v>8.9296875</v>
      </c>
    </row>
    <row r="48" customFormat="false" ht="15" hidden="false" customHeight="false" outlineLevel="0" collapsed="false">
      <c r="A48" s="51" t="str">
        <f aca="false">IF(NOT(ISNUMBER(B48)),"",IF(B48&lt;=0,"",IF(ABS(B48*64-ROUND(B48*64,0))&gt;0.0005,"≈ ","")&amp;IF(INT(ROUND(B48*64,0)/64)&gt;0,INT(ROUND(B48*64,0)/64)&amp;IF(MOD(ROUND(B48*64,0),64)&gt;0," ",""),"")&amp;IF(MOD(ROUND(B48*64,0),64)&gt;0,MOD(ROUND(B48*64,0),64)/GCD(MOD(ROUND(B48*64,0),64),64)&amp;"/"&amp;64/GCD(MOD(ROUND(B48*64,0),64),64),IF(ROUND(B48*64,0)=0,"0",""))&amp;""""))</f>
        <v>23/32"</v>
      </c>
      <c r="B48" s="52" t="n">
        <f aca="false">46/64</f>
        <v>0.71875</v>
      </c>
      <c r="C48" s="53" t="n">
        <f aca="false">B48*25.4</f>
        <v>18.25625</v>
      </c>
      <c r="D48" s="54" t="n">
        <f aca="false">B48/2</f>
        <v>0.359375</v>
      </c>
      <c r="E48" s="53" t="n">
        <f aca="false">C48/2</f>
        <v>9.128125</v>
      </c>
    </row>
    <row r="49" customFormat="false" ht="15" hidden="false" customHeight="false" outlineLevel="0" collapsed="false">
      <c r="A49" s="30" t="str">
        <f aca="false">IF(NOT(ISNUMBER(B49)),"",IF(B49&lt;=0,"",IF(ABS(B49*64-ROUND(B49*64,0))&gt;0.0005,"≈ ","")&amp;IF(INT(ROUND(B49*64,0)/64)&gt;0,INT(ROUND(B49*64,0)/64)&amp;IF(MOD(ROUND(B49*64,0),64)&gt;0," ",""),"")&amp;IF(MOD(ROUND(B49*64,0),64)&gt;0,MOD(ROUND(B49*64,0),64)/GCD(MOD(ROUND(B49*64,0),64),64)&amp;"/"&amp;64/GCD(MOD(ROUND(B49*64,0),64),64),IF(ROUND(B49*64,0)=0,"0",""))&amp;""""))</f>
        <v>47/64"</v>
      </c>
      <c r="B49" s="48" t="n">
        <f aca="false">47/64</f>
        <v>0.734375</v>
      </c>
      <c r="C49" s="49" t="n">
        <f aca="false">B49*25.4</f>
        <v>18.653125</v>
      </c>
      <c r="D49" s="50" t="n">
        <f aca="false">B49/2</f>
        <v>0.3671875</v>
      </c>
      <c r="E49" s="49" t="n">
        <f aca="false">C49/2</f>
        <v>9.3265625</v>
      </c>
    </row>
    <row r="50" customFormat="false" ht="15" hidden="false" customHeight="false" outlineLevel="0" collapsed="false">
      <c r="A50" s="51" t="str">
        <f aca="false">IF(NOT(ISNUMBER(B50)),"",IF(B50&lt;=0,"",IF(ABS(B50*64-ROUND(B50*64,0))&gt;0.0005,"≈ ","")&amp;IF(INT(ROUND(B50*64,0)/64)&gt;0,INT(ROUND(B50*64,0)/64)&amp;IF(MOD(ROUND(B50*64,0),64)&gt;0," ",""),"")&amp;IF(MOD(ROUND(B50*64,0),64)&gt;0,MOD(ROUND(B50*64,0),64)/GCD(MOD(ROUND(B50*64,0),64),64)&amp;"/"&amp;64/GCD(MOD(ROUND(B50*64,0),64),64),IF(ROUND(B50*64,0)=0,"0",""))&amp;""""))</f>
        <v>3/4"</v>
      </c>
      <c r="B50" s="52" t="n">
        <f aca="false">48/64</f>
        <v>0.75</v>
      </c>
      <c r="C50" s="53" t="n">
        <f aca="false">B50*25.4</f>
        <v>19.05</v>
      </c>
      <c r="D50" s="54" t="n">
        <f aca="false">B50/2</f>
        <v>0.375</v>
      </c>
      <c r="E50" s="53" t="n">
        <f aca="false">C50/2</f>
        <v>9.525</v>
      </c>
    </row>
    <row r="51" customFormat="false" ht="15" hidden="false" customHeight="false" outlineLevel="0" collapsed="false">
      <c r="A51" s="30" t="str">
        <f aca="false">IF(NOT(ISNUMBER(B51)),"",IF(B51&lt;=0,"",IF(ABS(B51*64-ROUND(B51*64,0))&gt;0.0005,"≈ ","")&amp;IF(INT(ROUND(B51*64,0)/64)&gt;0,INT(ROUND(B51*64,0)/64)&amp;IF(MOD(ROUND(B51*64,0),64)&gt;0," ",""),"")&amp;IF(MOD(ROUND(B51*64,0),64)&gt;0,MOD(ROUND(B51*64,0),64)/GCD(MOD(ROUND(B51*64,0),64),64)&amp;"/"&amp;64/GCD(MOD(ROUND(B51*64,0),64),64),IF(ROUND(B51*64,0)=0,"0",""))&amp;""""))</f>
        <v>49/64"</v>
      </c>
      <c r="B51" s="48" t="n">
        <f aca="false">49/64</f>
        <v>0.765625</v>
      </c>
      <c r="C51" s="49" t="n">
        <f aca="false">B51*25.4</f>
        <v>19.446875</v>
      </c>
      <c r="D51" s="50" t="n">
        <f aca="false">B51/2</f>
        <v>0.3828125</v>
      </c>
      <c r="E51" s="49" t="n">
        <f aca="false">C51/2</f>
        <v>9.7234375</v>
      </c>
    </row>
    <row r="52" customFormat="false" ht="15" hidden="false" customHeight="false" outlineLevel="0" collapsed="false">
      <c r="A52" s="51" t="str">
        <f aca="false">IF(NOT(ISNUMBER(B52)),"",IF(B52&lt;=0,"",IF(ABS(B52*64-ROUND(B52*64,0))&gt;0.0005,"≈ ","")&amp;IF(INT(ROUND(B52*64,0)/64)&gt;0,INT(ROUND(B52*64,0)/64)&amp;IF(MOD(ROUND(B52*64,0),64)&gt;0," ",""),"")&amp;IF(MOD(ROUND(B52*64,0),64)&gt;0,MOD(ROUND(B52*64,0),64)/GCD(MOD(ROUND(B52*64,0),64),64)&amp;"/"&amp;64/GCD(MOD(ROUND(B52*64,0),64),64),IF(ROUND(B52*64,0)=0,"0",""))&amp;""""))</f>
        <v>25/32"</v>
      </c>
      <c r="B52" s="52" t="n">
        <f aca="false">50/64</f>
        <v>0.78125</v>
      </c>
      <c r="C52" s="53" t="n">
        <f aca="false">B52*25.4</f>
        <v>19.84375</v>
      </c>
      <c r="D52" s="54" t="n">
        <f aca="false">B52/2</f>
        <v>0.390625</v>
      </c>
      <c r="E52" s="53" t="n">
        <f aca="false">C52/2</f>
        <v>9.921875</v>
      </c>
    </row>
    <row r="53" customFormat="false" ht="15" hidden="false" customHeight="false" outlineLevel="0" collapsed="false">
      <c r="A53" s="30" t="str">
        <f aca="false">IF(NOT(ISNUMBER(B53)),"",IF(B53&lt;=0,"",IF(ABS(B53*64-ROUND(B53*64,0))&gt;0.0005,"≈ ","")&amp;IF(INT(ROUND(B53*64,0)/64)&gt;0,INT(ROUND(B53*64,0)/64)&amp;IF(MOD(ROUND(B53*64,0),64)&gt;0," ",""),"")&amp;IF(MOD(ROUND(B53*64,0),64)&gt;0,MOD(ROUND(B53*64,0),64)/GCD(MOD(ROUND(B53*64,0),64),64)&amp;"/"&amp;64/GCD(MOD(ROUND(B53*64,0),64),64),IF(ROUND(B53*64,0)=0,"0",""))&amp;""""))</f>
        <v>51/64"</v>
      </c>
      <c r="B53" s="48" t="n">
        <f aca="false">51/64</f>
        <v>0.796875</v>
      </c>
      <c r="C53" s="49" t="n">
        <f aca="false">B53*25.4</f>
        <v>20.240625</v>
      </c>
      <c r="D53" s="50" t="n">
        <f aca="false">B53/2</f>
        <v>0.3984375</v>
      </c>
      <c r="E53" s="49" t="n">
        <f aca="false">C53/2</f>
        <v>10.1203125</v>
      </c>
    </row>
    <row r="54" customFormat="false" ht="15" hidden="false" customHeight="false" outlineLevel="0" collapsed="false">
      <c r="A54" s="51" t="str">
        <f aca="false">IF(NOT(ISNUMBER(B54)),"",IF(B54&lt;=0,"",IF(ABS(B54*64-ROUND(B54*64,0))&gt;0.0005,"≈ ","")&amp;IF(INT(ROUND(B54*64,0)/64)&gt;0,INT(ROUND(B54*64,0)/64)&amp;IF(MOD(ROUND(B54*64,0),64)&gt;0," ",""),"")&amp;IF(MOD(ROUND(B54*64,0),64)&gt;0,MOD(ROUND(B54*64,0),64)/GCD(MOD(ROUND(B54*64,0),64),64)&amp;"/"&amp;64/GCD(MOD(ROUND(B54*64,0),64),64),IF(ROUND(B54*64,0)=0,"0",""))&amp;""""))</f>
        <v>13/16"</v>
      </c>
      <c r="B54" s="52" t="n">
        <f aca="false">52/64</f>
        <v>0.8125</v>
      </c>
      <c r="C54" s="53" t="n">
        <f aca="false">B54*25.4</f>
        <v>20.6375</v>
      </c>
      <c r="D54" s="54" t="n">
        <f aca="false">B54/2</f>
        <v>0.40625</v>
      </c>
      <c r="E54" s="53" t="n">
        <f aca="false">C54/2</f>
        <v>10.31875</v>
      </c>
    </row>
    <row r="55" customFormat="false" ht="15" hidden="false" customHeight="false" outlineLevel="0" collapsed="false">
      <c r="A55" s="30" t="str">
        <f aca="false">IF(NOT(ISNUMBER(B55)),"",IF(B55&lt;=0,"",IF(ABS(B55*64-ROUND(B55*64,0))&gt;0.0005,"≈ ","")&amp;IF(INT(ROUND(B55*64,0)/64)&gt;0,INT(ROUND(B55*64,0)/64)&amp;IF(MOD(ROUND(B55*64,0),64)&gt;0," ",""),"")&amp;IF(MOD(ROUND(B55*64,0),64)&gt;0,MOD(ROUND(B55*64,0),64)/GCD(MOD(ROUND(B55*64,0),64),64)&amp;"/"&amp;64/GCD(MOD(ROUND(B55*64,0),64),64),IF(ROUND(B55*64,0)=0,"0",""))&amp;""""))</f>
        <v>53/64"</v>
      </c>
      <c r="B55" s="48" t="n">
        <f aca="false">53/64</f>
        <v>0.828125</v>
      </c>
      <c r="C55" s="49" t="n">
        <f aca="false">B55*25.4</f>
        <v>21.034375</v>
      </c>
      <c r="D55" s="50" t="n">
        <f aca="false">B55/2</f>
        <v>0.4140625</v>
      </c>
      <c r="E55" s="49" t="n">
        <f aca="false">C55/2</f>
        <v>10.5171875</v>
      </c>
    </row>
    <row r="56" customFormat="false" ht="15" hidden="false" customHeight="false" outlineLevel="0" collapsed="false">
      <c r="A56" s="51" t="str">
        <f aca="false">IF(NOT(ISNUMBER(B56)),"",IF(B56&lt;=0,"",IF(ABS(B56*64-ROUND(B56*64,0))&gt;0.0005,"≈ ","")&amp;IF(INT(ROUND(B56*64,0)/64)&gt;0,INT(ROUND(B56*64,0)/64)&amp;IF(MOD(ROUND(B56*64,0),64)&gt;0," ",""),"")&amp;IF(MOD(ROUND(B56*64,0),64)&gt;0,MOD(ROUND(B56*64,0),64)/GCD(MOD(ROUND(B56*64,0),64),64)&amp;"/"&amp;64/GCD(MOD(ROUND(B56*64,0),64),64),IF(ROUND(B56*64,0)=0,"0",""))&amp;""""))</f>
        <v>27/32"</v>
      </c>
      <c r="B56" s="52" t="n">
        <f aca="false">54/64</f>
        <v>0.84375</v>
      </c>
      <c r="C56" s="53" t="n">
        <f aca="false">B56*25.4</f>
        <v>21.43125</v>
      </c>
      <c r="D56" s="54" t="n">
        <f aca="false">B56/2</f>
        <v>0.421875</v>
      </c>
      <c r="E56" s="53" t="n">
        <f aca="false">C56/2</f>
        <v>10.715625</v>
      </c>
    </row>
    <row r="57" customFormat="false" ht="15" hidden="false" customHeight="false" outlineLevel="0" collapsed="false">
      <c r="A57" s="30" t="str">
        <f aca="false">IF(NOT(ISNUMBER(B57)),"",IF(B57&lt;=0,"",IF(ABS(B57*64-ROUND(B57*64,0))&gt;0.0005,"≈ ","")&amp;IF(INT(ROUND(B57*64,0)/64)&gt;0,INT(ROUND(B57*64,0)/64)&amp;IF(MOD(ROUND(B57*64,0),64)&gt;0," ",""),"")&amp;IF(MOD(ROUND(B57*64,0),64)&gt;0,MOD(ROUND(B57*64,0),64)/GCD(MOD(ROUND(B57*64,0),64),64)&amp;"/"&amp;64/GCD(MOD(ROUND(B57*64,0),64),64),IF(ROUND(B57*64,0)=0,"0",""))&amp;""""))</f>
        <v>55/64"</v>
      </c>
      <c r="B57" s="48" t="n">
        <f aca="false">55/64</f>
        <v>0.859375</v>
      </c>
      <c r="C57" s="49" t="n">
        <f aca="false">B57*25.4</f>
        <v>21.828125</v>
      </c>
      <c r="D57" s="50" t="n">
        <f aca="false">B57/2</f>
        <v>0.4296875</v>
      </c>
      <c r="E57" s="49" t="n">
        <f aca="false">C57/2</f>
        <v>10.9140625</v>
      </c>
    </row>
    <row r="58" customFormat="false" ht="15" hidden="false" customHeight="false" outlineLevel="0" collapsed="false">
      <c r="A58" s="51" t="str">
        <f aca="false">IF(NOT(ISNUMBER(B58)),"",IF(B58&lt;=0,"",IF(ABS(B58*64-ROUND(B58*64,0))&gt;0.0005,"≈ ","")&amp;IF(INT(ROUND(B58*64,0)/64)&gt;0,INT(ROUND(B58*64,0)/64)&amp;IF(MOD(ROUND(B58*64,0),64)&gt;0," ",""),"")&amp;IF(MOD(ROUND(B58*64,0),64)&gt;0,MOD(ROUND(B58*64,0),64)/GCD(MOD(ROUND(B58*64,0),64),64)&amp;"/"&amp;64/GCD(MOD(ROUND(B58*64,0),64),64),IF(ROUND(B58*64,0)=0,"0",""))&amp;""""))</f>
        <v>7/8"</v>
      </c>
      <c r="B58" s="52" t="n">
        <f aca="false">56/64</f>
        <v>0.875</v>
      </c>
      <c r="C58" s="53" t="n">
        <f aca="false">B58*25.4</f>
        <v>22.225</v>
      </c>
      <c r="D58" s="54" t="n">
        <f aca="false">B58/2</f>
        <v>0.4375</v>
      </c>
      <c r="E58" s="53" t="n">
        <f aca="false">C58/2</f>
        <v>11.1125</v>
      </c>
    </row>
    <row r="59" customFormat="false" ht="15" hidden="false" customHeight="false" outlineLevel="0" collapsed="false">
      <c r="A59" s="30" t="str">
        <f aca="false">IF(NOT(ISNUMBER(B59)),"",IF(B59&lt;=0,"",IF(ABS(B59*64-ROUND(B59*64,0))&gt;0.0005,"≈ ","")&amp;IF(INT(ROUND(B59*64,0)/64)&gt;0,INT(ROUND(B59*64,0)/64)&amp;IF(MOD(ROUND(B59*64,0),64)&gt;0," ",""),"")&amp;IF(MOD(ROUND(B59*64,0),64)&gt;0,MOD(ROUND(B59*64,0),64)/GCD(MOD(ROUND(B59*64,0),64),64)&amp;"/"&amp;64/GCD(MOD(ROUND(B59*64,0),64),64),IF(ROUND(B59*64,0)=0,"0",""))&amp;""""))</f>
        <v>57/64"</v>
      </c>
      <c r="B59" s="48" t="n">
        <f aca="false">57/64</f>
        <v>0.890625</v>
      </c>
      <c r="C59" s="49" t="n">
        <f aca="false">B59*25.4</f>
        <v>22.621875</v>
      </c>
      <c r="D59" s="50" t="n">
        <f aca="false">B59/2</f>
        <v>0.4453125</v>
      </c>
      <c r="E59" s="49" t="n">
        <f aca="false">C59/2</f>
        <v>11.3109375</v>
      </c>
    </row>
    <row r="60" customFormat="false" ht="15" hidden="false" customHeight="false" outlineLevel="0" collapsed="false">
      <c r="A60" s="51" t="str">
        <f aca="false">IF(NOT(ISNUMBER(B60)),"",IF(B60&lt;=0,"",IF(ABS(B60*64-ROUND(B60*64,0))&gt;0.0005,"≈ ","")&amp;IF(INT(ROUND(B60*64,0)/64)&gt;0,INT(ROUND(B60*64,0)/64)&amp;IF(MOD(ROUND(B60*64,0),64)&gt;0," ",""),"")&amp;IF(MOD(ROUND(B60*64,0),64)&gt;0,MOD(ROUND(B60*64,0),64)/GCD(MOD(ROUND(B60*64,0),64),64)&amp;"/"&amp;64/GCD(MOD(ROUND(B60*64,0),64),64),IF(ROUND(B60*64,0)=0,"0",""))&amp;""""))</f>
        <v>29/32"</v>
      </c>
      <c r="B60" s="52" t="n">
        <f aca="false">58/64</f>
        <v>0.90625</v>
      </c>
      <c r="C60" s="53" t="n">
        <f aca="false">B60*25.4</f>
        <v>23.01875</v>
      </c>
      <c r="D60" s="54" t="n">
        <f aca="false">B60/2</f>
        <v>0.453125</v>
      </c>
      <c r="E60" s="53" t="n">
        <f aca="false">C60/2</f>
        <v>11.509375</v>
      </c>
    </row>
    <row r="61" customFormat="false" ht="15" hidden="false" customHeight="false" outlineLevel="0" collapsed="false">
      <c r="A61" s="30" t="str">
        <f aca="false">IF(NOT(ISNUMBER(B61)),"",IF(B61&lt;=0,"",IF(ABS(B61*64-ROUND(B61*64,0))&gt;0.0005,"≈ ","")&amp;IF(INT(ROUND(B61*64,0)/64)&gt;0,INT(ROUND(B61*64,0)/64)&amp;IF(MOD(ROUND(B61*64,0),64)&gt;0," ",""),"")&amp;IF(MOD(ROUND(B61*64,0),64)&gt;0,MOD(ROUND(B61*64,0),64)/GCD(MOD(ROUND(B61*64,0),64),64)&amp;"/"&amp;64/GCD(MOD(ROUND(B61*64,0),64),64),IF(ROUND(B61*64,0)=0,"0",""))&amp;""""))</f>
        <v>59/64"</v>
      </c>
      <c r="B61" s="48" t="n">
        <f aca="false">59/64</f>
        <v>0.921875</v>
      </c>
      <c r="C61" s="49" t="n">
        <f aca="false">B61*25.4</f>
        <v>23.415625</v>
      </c>
      <c r="D61" s="50" t="n">
        <f aca="false">B61/2</f>
        <v>0.4609375</v>
      </c>
      <c r="E61" s="49" t="n">
        <f aca="false">C61/2</f>
        <v>11.7078125</v>
      </c>
    </row>
    <row r="62" customFormat="false" ht="15" hidden="false" customHeight="false" outlineLevel="0" collapsed="false">
      <c r="A62" s="51" t="str">
        <f aca="false">IF(NOT(ISNUMBER(B62)),"",IF(B62&lt;=0,"",IF(ABS(B62*64-ROUND(B62*64,0))&gt;0.0005,"≈ ","")&amp;IF(INT(ROUND(B62*64,0)/64)&gt;0,INT(ROUND(B62*64,0)/64)&amp;IF(MOD(ROUND(B62*64,0),64)&gt;0," ",""),"")&amp;IF(MOD(ROUND(B62*64,0),64)&gt;0,MOD(ROUND(B62*64,0),64)/GCD(MOD(ROUND(B62*64,0),64),64)&amp;"/"&amp;64/GCD(MOD(ROUND(B62*64,0),64),64),IF(ROUND(B62*64,0)=0,"0",""))&amp;""""))</f>
        <v>15/16"</v>
      </c>
      <c r="B62" s="52" t="n">
        <f aca="false">60/64</f>
        <v>0.9375</v>
      </c>
      <c r="C62" s="53" t="n">
        <f aca="false">B62*25.4</f>
        <v>23.8125</v>
      </c>
      <c r="D62" s="54" t="n">
        <f aca="false">B62/2</f>
        <v>0.46875</v>
      </c>
      <c r="E62" s="53" t="n">
        <f aca="false">C62/2</f>
        <v>11.90625</v>
      </c>
    </row>
    <row r="63" customFormat="false" ht="15" hidden="false" customHeight="false" outlineLevel="0" collapsed="false">
      <c r="A63" s="30" t="str">
        <f aca="false">IF(NOT(ISNUMBER(B63)),"",IF(B63&lt;=0,"",IF(ABS(B63*64-ROUND(B63*64,0))&gt;0.0005,"≈ ","")&amp;IF(INT(ROUND(B63*64,0)/64)&gt;0,INT(ROUND(B63*64,0)/64)&amp;IF(MOD(ROUND(B63*64,0),64)&gt;0," ",""),"")&amp;IF(MOD(ROUND(B63*64,0),64)&gt;0,MOD(ROUND(B63*64,0),64)/GCD(MOD(ROUND(B63*64,0),64),64)&amp;"/"&amp;64/GCD(MOD(ROUND(B63*64,0),64),64),IF(ROUND(B63*64,0)=0,"0",""))&amp;""""))</f>
        <v>61/64"</v>
      </c>
      <c r="B63" s="48" t="n">
        <f aca="false">61/64</f>
        <v>0.953125</v>
      </c>
      <c r="C63" s="49" t="n">
        <f aca="false">B63*25.4</f>
        <v>24.209375</v>
      </c>
      <c r="D63" s="50" t="n">
        <f aca="false">B63/2</f>
        <v>0.4765625</v>
      </c>
      <c r="E63" s="49" t="n">
        <f aca="false">C63/2</f>
        <v>12.1046875</v>
      </c>
    </row>
    <row r="64" customFormat="false" ht="15" hidden="false" customHeight="false" outlineLevel="0" collapsed="false">
      <c r="A64" s="51" t="str">
        <f aca="false">IF(NOT(ISNUMBER(B64)),"",IF(B64&lt;=0,"",IF(ABS(B64*64-ROUND(B64*64,0))&gt;0.0005,"≈ ","")&amp;IF(INT(ROUND(B64*64,0)/64)&gt;0,INT(ROUND(B64*64,0)/64)&amp;IF(MOD(ROUND(B64*64,0),64)&gt;0," ",""),"")&amp;IF(MOD(ROUND(B64*64,0),64)&gt;0,MOD(ROUND(B64*64,0),64)/GCD(MOD(ROUND(B64*64,0),64),64)&amp;"/"&amp;64/GCD(MOD(ROUND(B64*64,0),64),64),IF(ROUND(B64*64,0)=0,"0",""))&amp;""""))</f>
        <v>31/32"</v>
      </c>
      <c r="B64" s="52" t="n">
        <f aca="false">62/64</f>
        <v>0.96875</v>
      </c>
      <c r="C64" s="53" t="n">
        <f aca="false">B64*25.4</f>
        <v>24.60625</v>
      </c>
      <c r="D64" s="54" t="n">
        <f aca="false">B64/2</f>
        <v>0.484375</v>
      </c>
      <c r="E64" s="53" t="n">
        <f aca="false">C64/2</f>
        <v>12.303125</v>
      </c>
    </row>
    <row r="65" customFormat="false" ht="15" hidden="false" customHeight="false" outlineLevel="0" collapsed="false">
      <c r="A65" s="30" t="str">
        <f aca="false">IF(NOT(ISNUMBER(B65)),"",IF(B65&lt;=0,"",IF(ABS(B65*64-ROUND(B65*64,0))&gt;0.0005,"≈ ","")&amp;IF(INT(ROUND(B65*64,0)/64)&gt;0,INT(ROUND(B65*64,0)/64)&amp;IF(MOD(ROUND(B65*64,0),64)&gt;0," ",""),"")&amp;IF(MOD(ROUND(B65*64,0),64)&gt;0,MOD(ROUND(B65*64,0),64)/GCD(MOD(ROUND(B65*64,0),64),64)&amp;"/"&amp;64/GCD(MOD(ROUND(B65*64,0),64),64),IF(ROUND(B65*64,0)=0,"0",""))&amp;""""))</f>
        <v>63/64"</v>
      </c>
      <c r="B65" s="48" t="n">
        <f aca="false">63/64</f>
        <v>0.984375</v>
      </c>
      <c r="C65" s="49" t="n">
        <f aca="false">B65*25.4</f>
        <v>25.003125</v>
      </c>
      <c r="D65" s="50" t="n">
        <f aca="false">B65/2</f>
        <v>0.4921875</v>
      </c>
      <c r="E65" s="49" t="n">
        <f aca="false">C65/2</f>
        <v>12.5015625</v>
      </c>
    </row>
    <row r="66" customFormat="false" ht="15" hidden="false" customHeight="false" outlineLevel="0" collapsed="false">
      <c r="A66" s="51" t="str">
        <f aca="false">IF(NOT(ISNUMBER(B66)),"",IF(B66&lt;=0,"",IF(ABS(B66*64-ROUND(B66*64,0))&gt;0.0005,"≈ ","")&amp;IF(INT(ROUND(B66*64,0)/64)&gt;0,INT(ROUND(B66*64,0)/64)&amp;IF(MOD(ROUND(B66*64,0),64)&gt;0," ",""),"")&amp;IF(MOD(ROUND(B66*64,0),64)&gt;0,MOD(ROUND(B66*64,0),64)/GCD(MOD(ROUND(B66*64,0),64),64)&amp;"/"&amp;64/GCD(MOD(ROUND(B66*64,0),64),64),IF(ROUND(B66*64,0)=0,"0",""))&amp;""""))</f>
        <v>1"</v>
      </c>
      <c r="B66" s="52" t="n">
        <f aca="false">64/64</f>
        <v>1</v>
      </c>
      <c r="C66" s="53" t="n">
        <f aca="false">B66*25.4</f>
        <v>25.4</v>
      </c>
      <c r="D66" s="54" t="n">
        <f aca="false">B66/2</f>
        <v>0.5</v>
      </c>
      <c r="E66" s="53" t="n">
        <f aca="false">C66/2</f>
        <v>12.7</v>
      </c>
    </row>
    <row r="67" customFormat="false" ht="15" hidden="false" customHeight="false" outlineLevel="0" collapsed="false">
      <c r="A67" s="30" t="str">
        <f aca="false">IF(NOT(ISNUMBER(B67)),"",IF(B67&lt;=0,"",IF(ABS(B67*64-ROUND(B67*64,0))&gt;0.0005,"≈ ","")&amp;IF(INT(ROUND(B67*64,0)/64)&gt;0,INT(ROUND(B67*64,0)/64)&amp;IF(MOD(ROUND(B67*64,0),64)&gt;0," ",""),"")&amp;IF(MOD(ROUND(B67*64,0),64)&gt;0,MOD(ROUND(B67*64,0),64)/GCD(MOD(ROUND(B67*64,0),64),64)&amp;"/"&amp;64/GCD(MOD(ROUND(B67*64,0),64),64),IF(ROUND(B67*64,0)=0,"0",""))&amp;""""))</f>
        <v>1 1/64"</v>
      </c>
      <c r="B67" s="48" t="n">
        <f aca="false">65/64</f>
        <v>1.015625</v>
      </c>
      <c r="C67" s="49" t="n">
        <f aca="false">B67*25.4</f>
        <v>25.796875</v>
      </c>
      <c r="D67" s="50" t="n">
        <f aca="false">B67/2</f>
        <v>0.5078125</v>
      </c>
      <c r="E67" s="49" t="n">
        <f aca="false">C67/2</f>
        <v>12.8984375</v>
      </c>
    </row>
    <row r="68" customFormat="false" ht="15" hidden="false" customHeight="false" outlineLevel="0" collapsed="false">
      <c r="A68" s="51" t="str">
        <f aca="false">IF(NOT(ISNUMBER(B68)),"",IF(B68&lt;=0,"",IF(ABS(B68*64-ROUND(B68*64,0))&gt;0.0005,"≈ ","")&amp;IF(INT(ROUND(B68*64,0)/64)&gt;0,INT(ROUND(B68*64,0)/64)&amp;IF(MOD(ROUND(B68*64,0),64)&gt;0," ",""),"")&amp;IF(MOD(ROUND(B68*64,0),64)&gt;0,MOD(ROUND(B68*64,0),64)/GCD(MOD(ROUND(B68*64,0),64),64)&amp;"/"&amp;64/GCD(MOD(ROUND(B68*64,0),64),64),IF(ROUND(B68*64,0)=0,"0",""))&amp;""""))</f>
        <v>1 1/32"</v>
      </c>
      <c r="B68" s="52" t="n">
        <f aca="false">66/64</f>
        <v>1.03125</v>
      </c>
      <c r="C68" s="53" t="n">
        <f aca="false">B68*25.4</f>
        <v>26.19375</v>
      </c>
      <c r="D68" s="54" t="n">
        <f aca="false">B68/2</f>
        <v>0.515625</v>
      </c>
      <c r="E68" s="53" t="n">
        <f aca="false">C68/2</f>
        <v>13.096875</v>
      </c>
    </row>
    <row r="69" customFormat="false" ht="15" hidden="false" customHeight="false" outlineLevel="0" collapsed="false">
      <c r="A69" s="30" t="str">
        <f aca="false">IF(NOT(ISNUMBER(B69)),"",IF(B69&lt;=0,"",IF(ABS(B69*64-ROUND(B69*64,0))&gt;0.0005,"≈ ","")&amp;IF(INT(ROUND(B69*64,0)/64)&gt;0,INT(ROUND(B69*64,0)/64)&amp;IF(MOD(ROUND(B69*64,0),64)&gt;0," ",""),"")&amp;IF(MOD(ROUND(B69*64,0),64)&gt;0,MOD(ROUND(B69*64,0),64)/GCD(MOD(ROUND(B69*64,0),64),64)&amp;"/"&amp;64/GCD(MOD(ROUND(B69*64,0),64),64),IF(ROUND(B69*64,0)=0,"0",""))&amp;""""))</f>
        <v>1 3/64"</v>
      </c>
      <c r="B69" s="48" t="n">
        <f aca="false">67/64</f>
        <v>1.046875</v>
      </c>
      <c r="C69" s="49" t="n">
        <f aca="false">B69*25.4</f>
        <v>26.590625</v>
      </c>
      <c r="D69" s="50" t="n">
        <f aca="false">B69/2</f>
        <v>0.5234375</v>
      </c>
      <c r="E69" s="49" t="n">
        <f aca="false">C69/2</f>
        <v>13.2953125</v>
      </c>
    </row>
    <row r="70" customFormat="false" ht="15" hidden="false" customHeight="false" outlineLevel="0" collapsed="false">
      <c r="A70" s="51" t="str">
        <f aca="false">IF(NOT(ISNUMBER(B70)),"",IF(B70&lt;=0,"",IF(ABS(B70*64-ROUND(B70*64,0))&gt;0.0005,"≈ ","")&amp;IF(INT(ROUND(B70*64,0)/64)&gt;0,INT(ROUND(B70*64,0)/64)&amp;IF(MOD(ROUND(B70*64,0),64)&gt;0," ",""),"")&amp;IF(MOD(ROUND(B70*64,0),64)&gt;0,MOD(ROUND(B70*64,0),64)/GCD(MOD(ROUND(B70*64,0),64),64)&amp;"/"&amp;64/GCD(MOD(ROUND(B70*64,0),64),64),IF(ROUND(B70*64,0)=0,"0",""))&amp;""""))</f>
        <v>1 1/16"</v>
      </c>
      <c r="B70" s="52" t="n">
        <f aca="false">68/64</f>
        <v>1.0625</v>
      </c>
      <c r="C70" s="53" t="n">
        <f aca="false">B70*25.4</f>
        <v>26.9875</v>
      </c>
      <c r="D70" s="54" t="n">
        <f aca="false">B70/2</f>
        <v>0.53125</v>
      </c>
      <c r="E70" s="53" t="n">
        <f aca="false">C70/2</f>
        <v>13.49375</v>
      </c>
    </row>
    <row r="71" customFormat="false" ht="15" hidden="false" customHeight="false" outlineLevel="0" collapsed="false">
      <c r="A71" s="30" t="str">
        <f aca="false">IF(NOT(ISNUMBER(B71)),"",IF(B71&lt;=0,"",IF(ABS(B71*64-ROUND(B71*64,0))&gt;0.0005,"≈ ","")&amp;IF(INT(ROUND(B71*64,0)/64)&gt;0,INT(ROUND(B71*64,0)/64)&amp;IF(MOD(ROUND(B71*64,0),64)&gt;0," ",""),"")&amp;IF(MOD(ROUND(B71*64,0),64)&gt;0,MOD(ROUND(B71*64,0),64)/GCD(MOD(ROUND(B71*64,0),64),64)&amp;"/"&amp;64/GCD(MOD(ROUND(B71*64,0),64),64),IF(ROUND(B71*64,0)=0,"0",""))&amp;""""))</f>
        <v>1 5/64"</v>
      </c>
      <c r="B71" s="48" t="n">
        <f aca="false">69/64</f>
        <v>1.078125</v>
      </c>
      <c r="C71" s="49" t="n">
        <f aca="false">B71*25.4</f>
        <v>27.384375</v>
      </c>
      <c r="D71" s="50" t="n">
        <f aca="false">B71/2</f>
        <v>0.5390625</v>
      </c>
      <c r="E71" s="49" t="n">
        <f aca="false">C71/2</f>
        <v>13.6921875</v>
      </c>
    </row>
    <row r="72" customFormat="false" ht="15" hidden="false" customHeight="false" outlineLevel="0" collapsed="false">
      <c r="A72" s="51" t="str">
        <f aca="false">IF(NOT(ISNUMBER(B72)),"",IF(B72&lt;=0,"",IF(ABS(B72*64-ROUND(B72*64,0))&gt;0.0005,"≈ ","")&amp;IF(INT(ROUND(B72*64,0)/64)&gt;0,INT(ROUND(B72*64,0)/64)&amp;IF(MOD(ROUND(B72*64,0),64)&gt;0," ",""),"")&amp;IF(MOD(ROUND(B72*64,0),64)&gt;0,MOD(ROUND(B72*64,0),64)/GCD(MOD(ROUND(B72*64,0),64),64)&amp;"/"&amp;64/GCD(MOD(ROUND(B72*64,0),64),64),IF(ROUND(B72*64,0)=0,"0",""))&amp;""""))</f>
        <v>1 3/32"</v>
      </c>
      <c r="B72" s="52" t="n">
        <f aca="false">70/64</f>
        <v>1.09375</v>
      </c>
      <c r="C72" s="53" t="n">
        <f aca="false">B72*25.4</f>
        <v>27.78125</v>
      </c>
      <c r="D72" s="54" t="n">
        <f aca="false">B72/2</f>
        <v>0.546875</v>
      </c>
      <c r="E72" s="53" t="n">
        <f aca="false">C72/2</f>
        <v>13.890625</v>
      </c>
    </row>
    <row r="73" customFormat="false" ht="15" hidden="false" customHeight="false" outlineLevel="0" collapsed="false">
      <c r="A73" s="30" t="str">
        <f aca="false">IF(NOT(ISNUMBER(B73)),"",IF(B73&lt;=0,"",IF(ABS(B73*64-ROUND(B73*64,0))&gt;0.0005,"≈ ","")&amp;IF(INT(ROUND(B73*64,0)/64)&gt;0,INT(ROUND(B73*64,0)/64)&amp;IF(MOD(ROUND(B73*64,0),64)&gt;0," ",""),"")&amp;IF(MOD(ROUND(B73*64,0),64)&gt;0,MOD(ROUND(B73*64,0),64)/GCD(MOD(ROUND(B73*64,0),64),64)&amp;"/"&amp;64/GCD(MOD(ROUND(B73*64,0),64),64),IF(ROUND(B73*64,0)=0,"0",""))&amp;""""))</f>
        <v>1 7/64"</v>
      </c>
      <c r="B73" s="48" t="n">
        <f aca="false">71/64</f>
        <v>1.109375</v>
      </c>
      <c r="C73" s="49" t="n">
        <f aca="false">B73*25.4</f>
        <v>28.178125</v>
      </c>
      <c r="D73" s="50" t="n">
        <f aca="false">B73/2</f>
        <v>0.5546875</v>
      </c>
      <c r="E73" s="49" t="n">
        <f aca="false">C73/2</f>
        <v>14.0890625</v>
      </c>
    </row>
    <row r="74" customFormat="false" ht="15" hidden="false" customHeight="false" outlineLevel="0" collapsed="false">
      <c r="A74" s="51" t="str">
        <f aca="false">IF(NOT(ISNUMBER(B74)),"",IF(B74&lt;=0,"",IF(ABS(B74*64-ROUND(B74*64,0))&gt;0.0005,"≈ ","")&amp;IF(INT(ROUND(B74*64,0)/64)&gt;0,INT(ROUND(B74*64,0)/64)&amp;IF(MOD(ROUND(B74*64,0),64)&gt;0," ",""),"")&amp;IF(MOD(ROUND(B74*64,0),64)&gt;0,MOD(ROUND(B74*64,0),64)/GCD(MOD(ROUND(B74*64,0),64),64)&amp;"/"&amp;64/GCD(MOD(ROUND(B74*64,0),64),64),IF(ROUND(B74*64,0)=0,"0",""))&amp;""""))</f>
        <v>1 1/8"</v>
      </c>
      <c r="B74" s="52" t="n">
        <f aca="false">72/64</f>
        <v>1.125</v>
      </c>
      <c r="C74" s="53" t="n">
        <f aca="false">B74*25.4</f>
        <v>28.575</v>
      </c>
      <c r="D74" s="54" t="n">
        <f aca="false">B74/2</f>
        <v>0.5625</v>
      </c>
      <c r="E74" s="53" t="n">
        <f aca="false">C74/2</f>
        <v>14.2875</v>
      </c>
    </row>
    <row r="75" customFormat="false" ht="15" hidden="false" customHeight="false" outlineLevel="0" collapsed="false">
      <c r="A75" s="30" t="str">
        <f aca="false">IF(NOT(ISNUMBER(B75)),"",IF(B75&lt;=0,"",IF(ABS(B75*64-ROUND(B75*64,0))&gt;0.0005,"≈ ","")&amp;IF(INT(ROUND(B75*64,0)/64)&gt;0,INT(ROUND(B75*64,0)/64)&amp;IF(MOD(ROUND(B75*64,0),64)&gt;0," ",""),"")&amp;IF(MOD(ROUND(B75*64,0),64)&gt;0,MOD(ROUND(B75*64,0),64)/GCD(MOD(ROUND(B75*64,0),64),64)&amp;"/"&amp;64/GCD(MOD(ROUND(B75*64,0),64),64),IF(ROUND(B75*64,0)=0,"0",""))&amp;""""))</f>
        <v>1 9/64"</v>
      </c>
      <c r="B75" s="48" t="n">
        <f aca="false">73/64</f>
        <v>1.140625</v>
      </c>
      <c r="C75" s="49" t="n">
        <f aca="false">B75*25.4</f>
        <v>28.971875</v>
      </c>
      <c r="D75" s="50" t="n">
        <f aca="false">B75/2</f>
        <v>0.5703125</v>
      </c>
      <c r="E75" s="49" t="n">
        <f aca="false">C75/2</f>
        <v>14.4859375</v>
      </c>
    </row>
    <row r="76" customFormat="false" ht="15" hidden="false" customHeight="false" outlineLevel="0" collapsed="false">
      <c r="A76" s="51" t="str">
        <f aca="false">IF(NOT(ISNUMBER(B76)),"",IF(B76&lt;=0,"",IF(ABS(B76*64-ROUND(B76*64,0))&gt;0.0005,"≈ ","")&amp;IF(INT(ROUND(B76*64,0)/64)&gt;0,INT(ROUND(B76*64,0)/64)&amp;IF(MOD(ROUND(B76*64,0),64)&gt;0," ",""),"")&amp;IF(MOD(ROUND(B76*64,0),64)&gt;0,MOD(ROUND(B76*64,0),64)/GCD(MOD(ROUND(B76*64,0),64),64)&amp;"/"&amp;64/GCD(MOD(ROUND(B76*64,0),64),64),IF(ROUND(B76*64,0)=0,"0",""))&amp;""""))</f>
        <v>1 5/32"</v>
      </c>
      <c r="B76" s="52" t="n">
        <f aca="false">74/64</f>
        <v>1.15625</v>
      </c>
      <c r="C76" s="53" t="n">
        <f aca="false">B76*25.4</f>
        <v>29.36875</v>
      </c>
      <c r="D76" s="54" t="n">
        <f aca="false">B76/2</f>
        <v>0.578125</v>
      </c>
      <c r="E76" s="53" t="n">
        <f aca="false">C76/2</f>
        <v>14.684375</v>
      </c>
    </row>
    <row r="77" customFormat="false" ht="15" hidden="false" customHeight="false" outlineLevel="0" collapsed="false">
      <c r="A77" s="30" t="str">
        <f aca="false">IF(NOT(ISNUMBER(B77)),"",IF(B77&lt;=0,"",IF(ABS(B77*64-ROUND(B77*64,0))&gt;0.0005,"≈ ","")&amp;IF(INT(ROUND(B77*64,0)/64)&gt;0,INT(ROUND(B77*64,0)/64)&amp;IF(MOD(ROUND(B77*64,0),64)&gt;0," ",""),"")&amp;IF(MOD(ROUND(B77*64,0),64)&gt;0,MOD(ROUND(B77*64,0),64)/GCD(MOD(ROUND(B77*64,0),64),64)&amp;"/"&amp;64/GCD(MOD(ROUND(B77*64,0),64),64),IF(ROUND(B77*64,0)=0,"0",""))&amp;""""))</f>
        <v>1 11/64"</v>
      </c>
      <c r="B77" s="48" t="n">
        <f aca="false">75/64</f>
        <v>1.171875</v>
      </c>
      <c r="C77" s="49" t="n">
        <f aca="false">B77*25.4</f>
        <v>29.765625</v>
      </c>
      <c r="D77" s="50" t="n">
        <f aca="false">B77/2</f>
        <v>0.5859375</v>
      </c>
      <c r="E77" s="49" t="n">
        <f aca="false">C77/2</f>
        <v>14.8828125</v>
      </c>
    </row>
    <row r="78" customFormat="false" ht="15" hidden="false" customHeight="false" outlineLevel="0" collapsed="false">
      <c r="A78" s="51" t="str">
        <f aca="false">IF(NOT(ISNUMBER(B78)),"",IF(B78&lt;=0,"",IF(ABS(B78*64-ROUND(B78*64,0))&gt;0.0005,"≈ ","")&amp;IF(INT(ROUND(B78*64,0)/64)&gt;0,INT(ROUND(B78*64,0)/64)&amp;IF(MOD(ROUND(B78*64,0),64)&gt;0," ",""),"")&amp;IF(MOD(ROUND(B78*64,0),64)&gt;0,MOD(ROUND(B78*64,0),64)/GCD(MOD(ROUND(B78*64,0),64),64)&amp;"/"&amp;64/GCD(MOD(ROUND(B78*64,0),64),64),IF(ROUND(B78*64,0)=0,"0",""))&amp;""""))</f>
        <v>1 3/16"</v>
      </c>
      <c r="B78" s="52" t="n">
        <f aca="false">76/64</f>
        <v>1.1875</v>
      </c>
      <c r="C78" s="53" t="n">
        <f aca="false">B78*25.4</f>
        <v>30.1625</v>
      </c>
      <c r="D78" s="54" t="n">
        <f aca="false">B78/2</f>
        <v>0.59375</v>
      </c>
      <c r="E78" s="53" t="n">
        <f aca="false">C78/2</f>
        <v>15.08125</v>
      </c>
    </row>
    <row r="79" customFormat="false" ht="15" hidden="false" customHeight="false" outlineLevel="0" collapsed="false">
      <c r="A79" s="30" t="str">
        <f aca="false">IF(NOT(ISNUMBER(B79)),"",IF(B79&lt;=0,"",IF(ABS(B79*64-ROUND(B79*64,0))&gt;0.0005,"≈ ","")&amp;IF(INT(ROUND(B79*64,0)/64)&gt;0,INT(ROUND(B79*64,0)/64)&amp;IF(MOD(ROUND(B79*64,0),64)&gt;0," ",""),"")&amp;IF(MOD(ROUND(B79*64,0),64)&gt;0,MOD(ROUND(B79*64,0),64)/GCD(MOD(ROUND(B79*64,0),64),64)&amp;"/"&amp;64/GCD(MOD(ROUND(B79*64,0),64),64),IF(ROUND(B79*64,0)=0,"0",""))&amp;""""))</f>
        <v>1 13/64"</v>
      </c>
      <c r="B79" s="48" t="n">
        <f aca="false">77/64</f>
        <v>1.203125</v>
      </c>
      <c r="C79" s="49" t="n">
        <f aca="false">B79*25.4</f>
        <v>30.559375</v>
      </c>
      <c r="D79" s="50" t="n">
        <f aca="false">B79/2</f>
        <v>0.6015625</v>
      </c>
      <c r="E79" s="49" t="n">
        <f aca="false">C79/2</f>
        <v>15.2796875</v>
      </c>
    </row>
    <row r="80" customFormat="false" ht="15" hidden="false" customHeight="false" outlineLevel="0" collapsed="false">
      <c r="A80" s="51" t="str">
        <f aca="false">IF(NOT(ISNUMBER(B80)),"",IF(B80&lt;=0,"",IF(ABS(B80*64-ROUND(B80*64,0))&gt;0.0005,"≈ ","")&amp;IF(INT(ROUND(B80*64,0)/64)&gt;0,INT(ROUND(B80*64,0)/64)&amp;IF(MOD(ROUND(B80*64,0),64)&gt;0," ",""),"")&amp;IF(MOD(ROUND(B80*64,0),64)&gt;0,MOD(ROUND(B80*64,0),64)/GCD(MOD(ROUND(B80*64,0),64),64)&amp;"/"&amp;64/GCD(MOD(ROUND(B80*64,0),64),64),IF(ROUND(B80*64,0)=0,"0",""))&amp;""""))</f>
        <v>1 7/32"</v>
      </c>
      <c r="B80" s="52" t="n">
        <f aca="false">78/64</f>
        <v>1.21875</v>
      </c>
      <c r="C80" s="53" t="n">
        <f aca="false">B80*25.4</f>
        <v>30.95625</v>
      </c>
      <c r="D80" s="54" t="n">
        <f aca="false">B80/2</f>
        <v>0.609375</v>
      </c>
      <c r="E80" s="53" t="n">
        <f aca="false">C80/2</f>
        <v>15.478125</v>
      </c>
    </row>
    <row r="81" customFormat="false" ht="15" hidden="false" customHeight="false" outlineLevel="0" collapsed="false">
      <c r="A81" s="30" t="str">
        <f aca="false">IF(NOT(ISNUMBER(B81)),"",IF(B81&lt;=0,"",IF(ABS(B81*64-ROUND(B81*64,0))&gt;0.0005,"≈ ","")&amp;IF(INT(ROUND(B81*64,0)/64)&gt;0,INT(ROUND(B81*64,0)/64)&amp;IF(MOD(ROUND(B81*64,0),64)&gt;0," ",""),"")&amp;IF(MOD(ROUND(B81*64,0),64)&gt;0,MOD(ROUND(B81*64,0),64)/GCD(MOD(ROUND(B81*64,0),64),64)&amp;"/"&amp;64/GCD(MOD(ROUND(B81*64,0),64),64),IF(ROUND(B81*64,0)=0,"0",""))&amp;""""))</f>
        <v>1 15/64"</v>
      </c>
      <c r="B81" s="48" t="n">
        <f aca="false">79/64</f>
        <v>1.234375</v>
      </c>
      <c r="C81" s="49" t="n">
        <f aca="false">B81*25.4</f>
        <v>31.353125</v>
      </c>
      <c r="D81" s="50" t="n">
        <f aca="false">B81/2</f>
        <v>0.6171875</v>
      </c>
      <c r="E81" s="49" t="n">
        <f aca="false">C81/2</f>
        <v>15.6765625</v>
      </c>
    </row>
    <row r="82" customFormat="false" ht="15" hidden="false" customHeight="false" outlineLevel="0" collapsed="false">
      <c r="A82" s="51" t="str">
        <f aca="false">IF(NOT(ISNUMBER(B82)),"",IF(B82&lt;=0,"",IF(ABS(B82*64-ROUND(B82*64,0))&gt;0.0005,"≈ ","")&amp;IF(INT(ROUND(B82*64,0)/64)&gt;0,INT(ROUND(B82*64,0)/64)&amp;IF(MOD(ROUND(B82*64,0),64)&gt;0," ",""),"")&amp;IF(MOD(ROUND(B82*64,0),64)&gt;0,MOD(ROUND(B82*64,0),64)/GCD(MOD(ROUND(B82*64,0),64),64)&amp;"/"&amp;64/GCD(MOD(ROUND(B82*64,0),64),64),IF(ROUND(B82*64,0)=0,"0",""))&amp;""""))</f>
        <v>1 1/4"</v>
      </c>
      <c r="B82" s="52" t="n">
        <f aca="false">80/64</f>
        <v>1.25</v>
      </c>
      <c r="C82" s="53" t="n">
        <f aca="false">B82*25.4</f>
        <v>31.75</v>
      </c>
      <c r="D82" s="54" t="n">
        <f aca="false">B82/2</f>
        <v>0.625</v>
      </c>
      <c r="E82" s="53" t="n">
        <f aca="false">C82/2</f>
        <v>15.875</v>
      </c>
    </row>
    <row r="83" customFormat="false" ht="15" hidden="false" customHeight="false" outlineLevel="0" collapsed="false">
      <c r="A83" s="30" t="str">
        <f aca="false">IF(NOT(ISNUMBER(B83)),"",IF(B83&lt;=0,"",IF(ABS(B83*64-ROUND(B83*64,0))&gt;0.0005,"≈ ","")&amp;IF(INT(ROUND(B83*64,0)/64)&gt;0,INT(ROUND(B83*64,0)/64)&amp;IF(MOD(ROUND(B83*64,0),64)&gt;0," ",""),"")&amp;IF(MOD(ROUND(B83*64,0),64)&gt;0,MOD(ROUND(B83*64,0),64)/GCD(MOD(ROUND(B83*64,0),64),64)&amp;"/"&amp;64/GCD(MOD(ROUND(B83*64,0),64),64),IF(ROUND(B83*64,0)=0,"0",""))&amp;""""))</f>
        <v>1 17/64"</v>
      </c>
      <c r="B83" s="48" t="n">
        <f aca="false">81/64</f>
        <v>1.265625</v>
      </c>
      <c r="C83" s="49" t="n">
        <f aca="false">B83*25.4</f>
        <v>32.146875</v>
      </c>
      <c r="D83" s="50" t="n">
        <f aca="false">B83/2</f>
        <v>0.6328125</v>
      </c>
      <c r="E83" s="49" t="n">
        <f aca="false">C83/2</f>
        <v>16.0734375</v>
      </c>
    </row>
    <row r="84" customFormat="false" ht="15" hidden="false" customHeight="false" outlineLevel="0" collapsed="false">
      <c r="A84" s="51" t="str">
        <f aca="false">IF(NOT(ISNUMBER(B84)),"",IF(B84&lt;=0,"",IF(ABS(B84*64-ROUND(B84*64,0))&gt;0.0005,"≈ ","")&amp;IF(INT(ROUND(B84*64,0)/64)&gt;0,INT(ROUND(B84*64,0)/64)&amp;IF(MOD(ROUND(B84*64,0),64)&gt;0," ",""),"")&amp;IF(MOD(ROUND(B84*64,0),64)&gt;0,MOD(ROUND(B84*64,0),64)/GCD(MOD(ROUND(B84*64,0),64),64)&amp;"/"&amp;64/GCD(MOD(ROUND(B84*64,0),64),64),IF(ROUND(B84*64,0)=0,"0",""))&amp;""""))</f>
        <v>1 9/32"</v>
      </c>
      <c r="B84" s="52" t="n">
        <f aca="false">82/64</f>
        <v>1.28125</v>
      </c>
      <c r="C84" s="53" t="n">
        <f aca="false">B84*25.4</f>
        <v>32.54375</v>
      </c>
      <c r="D84" s="54" t="n">
        <f aca="false">B84/2</f>
        <v>0.640625</v>
      </c>
      <c r="E84" s="53" t="n">
        <f aca="false">C84/2</f>
        <v>16.271875</v>
      </c>
    </row>
    <row r="85" customFormat="false" ht="15" hidden="false" customHeight="false" outlineLevel="0" collapsed="false">
      <c r="A85" s="30" t="str">
        <f aca="false">IF(NOT(ISNUMBER(B85)),"",IF(B85&lt;=0,"",IF(ABS(B85*64-ROUND(B85*64,0))&gt;0.0005,"≈ ","")&amp;IF(INT(ROUND(B85*64,0)/64)&gt;0,INT(ROUND(B85*64,0)/64)&amp;IF(MOD(ROUND(B85*64,0),64)&gt;0," ",""),"")&amp;IF(MOD(ROUND(B85*64,0),64)&gt;0,MOD(ROUND(B85*64,0),64)/GCD(MOD(ROUND(B85*64,0),64),64)&amp;"/"&amp;64/GCD(MOD(ROUND(B85*64,0),64),64),IF(ROUND(B85*64,0)=0,"0",""))&amp;""""))</f>
        <v>1 19/64"</v>
      </c>
      <c r="B85" s="48" t="n">
        <f aca="false">83/64</f>
        <v>1.296875</v>
      </c>
      <c r="C85" s="49" t="n">
        <f aca="false">B85*25.4</f>
        <v>32.940625</v>
      </c>
      <c r="D85" s="50" t="n">
        <f aca="false">B85/2</f>
        <v>0.6484375</v>
      </c>
      <c r="E85" s="49" t="n">
        <f aca="false">C85/2</f>
        <v>16.4703125</v>
      </c>
    </row>
    <row r="86" customFormat="false" ht="15" hidden="false" customHeight="false" outlineLevel="0" collapsed="false">
      <c r="A86" s="51" t="str">
        <f aca="false">IF(NOT(ISNUMBER(B86)),"",IF(B86&lt;=0,"",IF(ABS(B86*64-ROUND(B86*64,0))&gt;0.0005,"≈ ","")&amp;IF(INT(ROUND(B86*64,0)/64)&gt;0,INT(ROUND(B86*64,0)/64)&amp;IF(MOD(ROUND(B86*64,0),64)&gt;0," ",""),"")&amp;IF(MOD(ROUND(B86*64,0),64)&gt;0,MOD(ROUND(B86*64,0),64)/GCD(MOD(ROUND(B86*64,0),64),64)&amp;"/"&amp;64/GCD(MOD(ROUND(B86*64,0),64),64),IF(ROUND(B86*64,0)=0,"0",""))&amp;""""))</f>
        <v>1 5/16"</v>
      </c>
      <c r="B86" s="52" t="n">
        <f aca="false">84/64</f>
        <v>1.3125</v>
      </c>
      <c r="C86" s="53" t="n">
        <f aca="false">B86*25.4</f>
        <v>33.3375</v>
      </c>
      <c r="D86" s="54" t="n">
        <f aca="false">B86/2</f>
        <v>0.65625</v>
      </c>
      <c r="E86" s="53" t="n">
        <f aca="false">C86/2</f>
        <v>16.66875</v>
      </c>
    </row>
    <row r="87" customFormat="false" ht="15" hidden="false" customHeight="false" outlineLevel="0" collapsed="false">
      <c r="A87" s="30" t="str">
        <f aca="false">IF(NOT(ISNUMBER(B87)),"",IF(B87&lt;=0,"",IF(ABS(B87*64-ROUND(B87*64,0))&gt;0.0005,"≈ ","")&amp;IF(INT(ROUND(B87*64,0)/64)&gt;0,INT(ROUND(B87*64,0)/64)&amp;IF(MOD(ROUND(B87*64,0),64)&gt;0," ",""),"")&amp;IF(MOD(ROUND(B87*64,0),64)&gt;0,MOD(ROUND(B87*64,0),64)/GCD(MOD(ROUND(B87*64,0),64),64)&amp;"/"&amp;64/GCD(MOD(ROUND(B87*64,0),64),64),IF(ROUND(B87*64,0)=0,"0",""))&amp;""""))</f>
        <v>1 21/64"</v>
      </c>
      <c r="B87" s="48" t="n">
        <f aca="false">85/64</f>
        <v>1.328125</v>
      </c>
      <c r="C87" s="49" t="n">
        <f aca="false">B87*25.4</f>
        <v>33.734375</v>
      </c>
      <c r="D87" s="50" t="n">
        <f aca="false">B87/2</f>
        <v>0.6640625</v>
      </c>
      <c r="E87" s="49" t="n">
        <f aca="false">C87/2</f>
        <v>16.8671875</v>
      </c>
    </row>
    <row r="88" customFormat="false" ht="15" hidden="false" customHeight="false" outlineLevel="0" collapsed="false">
      <c r="A88" s="51" t="str">
        <f aca="false">IF(NOT(ISNUMBER(B88)),"",IF(B88&lt;=0,"",IF(ABS(B88*64-ROUND(B88*64,0))&gt;0.0005,"≈ ","")&amp;IF(INT(ROUND(B88*64,0)/64)&gt;0,INT(ROUND(B88*64,0)/64)&amp;IF(MOD(ROUND(B88*64,0),64)&gt;0," ",""),"")&amp;IF(MOD(ROUND(B88*64,0),64)&gt;0,MOD(ROUND(B88*64,0),64)/GCD(MOD(ROUND(B88*64,0),64),64)&amp;"/"&amp;64/GCD(MOD(ROUND(B88*64,0),64),64),IF(ROUND(B88*64,0)=0,"0",""))&amp;""""))</f>
        <v>1 11/32"</v>
      </c>
      <c r="B88" s="52" t="n">
        <f aca="false">86/64</f>
        <v>1.34375</v>
      </c>
      <c r="C88" s="53" t="n">
        <f aca="false">B88*25.4</f>
        <v>34.13125</v>
      </c>
      <c r="D88" s="54" t="n">
        <f aca="false">B88/2</f>
        <v>0.671875</v>
      </c>
      <c r="E88" s="53" t="n">
        <f aca="false">C88/2</f>
        <v>17.065625</v>
      </c>
    </row>
    <row r="89" customFormat="false" ht="15" hidden="false" customHeight="false" outlineLevel="0" collapsed="false">
      <c r="A89" s="30" t="str">
        <f aca="false">IF(NOT(ISNUMBER(B89)),"",IF(B89&lt;=0,"",IF(ABS(B89*64-ROUND(B89*64,0))&gt;0.0005,"≈ ","")&amp;IF(INT(ROUND(B89*64,0)/64)&gt;0,INT(ROUND(B89*64,0)/64)&amp;IF(MOD(ROUND(B89*64,0),64)&gt;0," ",""),"")&amp;IF(MOD(ROUND(B89*64,0),64)&gt;0,MOD(ROUND(B89*64,0),64)/GCD(MOD(ROUND(B89*64,0),64),64)&amp;"/"&amp;64/GCD(MOD(ROUND(B89*64,0),64),64),IF(ROUND(B89*64,0)=0,"0",""))&amp;""""))</f>
        <v>1 23/64"</v>
      </c>
      <c r="B89" s="48" t="n">
        <f aca="false">87/64</f>
        <v>1.359375</v>
      </c>
      <c r="C89" s="49" t="n">
        <f aca="false">B89*25.4</f>
        <v>34.528125</v>
      </c>
      <c r="D89" s="50" t="n">
        <f aca="false">B89/2</f>
        <v>0.6796875</v>
      </c>
      <c r="E89" s="49" t="n">
        <f aca="false">C89/2</f>
        <v>17.2640625</v>
      </c>
    </row>
    <row r="90" customFormat="false" ht="15" hidden="false" customHeight="false" outlineLevel="0" collapsed="false">
      <c r="A90" s="51" t="str">
        <f aca="false">IF(NOT(ISNUMBER(B90)),"",IF(B90&lt;=0,"",IF(ABS(B90*64-ROUND(B90*64,0))&gt;0.0005,"≈ ","")&amp;IF(INT(ROUND(B90*64,0)/64)&gt;0,INT(ROUND(B90*64,0)/64)&amp;IF(MOD(ROUND(B90*64,0),64)&gt;0," ",""),"")&amp;IF(MOD(ROUND(B90*64,0),64)&gt;0,MOD(ROUND(B90*64,0),64)/GCD(MOD(ROUND(B90*64,0),64),64)&amp;"/"&amp;64/GCD(MOD(ROUND(B90*64,0),64),64),IF(ROUND(B90*64,0)=0,"0",""))&amp;""""))</f>
        <v>1 3/8"</v>
      </c>
      <c r="B90" s="52" t="n">
        <f aca="false">88/64</f>
        <v>1.375</v>
      </c>
      <c r="C90" s="53" t="n">
        <f aca="false">B90*25.4</f>
        <v>34.925</v>
      </c>
      <c r="D90" s="54" t="n">
        <f aca="false">B90/2</f>
        <v>0.6875</v>
      </c>
      <c r="E90" s="53" t="n">
        <f aca="false">C90/2</f>
        <v>17.4625</v>
      </c>
    </row>
    <row r="91" customFormat="false" ht="15" hidden="false" customHeight="false" outlineLevel="0" collapsed="false">
      <c r="A91" s="30" t="str">
        <f aca="false">IF(NOT(ISNUMBER(B91)),"",IF(B91&lt;=0,"",IF(ABS(B91*64-ROUND(B91*64,0))&gt;0.0005,"≈ ","")&amp;IF(INT(ROUND(B91*64,0)/64)&gt;0,INT(ROUND(B91*64,0)/64)&amp;IF(MOD(ROUND(B91*64,0),64)&gt;0," ",""),"")&amp;IF(MOD(ROUND(B91*64,0),64)&gt;0,MOD(ROUND(B91*64,0),64)/GCD(MOD(ROUND(B91*64,0),64),64)&amp;"/"&amp;64/GCD(MOD(ROUND(B91*64,0),64),64),IF(ROUND(B91*64,0)=0,"0",""))&amp;""""))</f>
        <v>1 25/64"</v>
      </c>
      <c r="B91" s="48" t="n">
        <f aca="false">89/64</f>
        <v>1.390625</v>
      </c>
      <c r="C91" s="49" t="n">
        <f aca="false">B91*25.4</f>
        <v>35.321875</v>
      </c>
      <c r="D91" s="50" t="n">
        <f aca="false">B91/2</f>
        <v>0.6953125</v>
      </c>
      <c r="E91" s="49" t="n">
        <f aca="false">C91/2</f>
        <v>17.6609375</v>
      </c>
    </row>
    <row r="92" customFormat="false" ht="15" hidden="false" customHeight="false" outlineLevel="0" collapsed="false">
      <c r="A92" s="51" t="str">
        <f aca="false">IF(NOT(ISNUMBER(B92)),"",IF(B92&lt;=0,"",IF(ABS(B92*64-ROUND(B92*64,0))&gt;0.0005,"≈ ","")&amp;IF(INT(ROUND(B92*64,0)/64)&gt;0,INT(ROUND(B92*64,0)/64)&amp;IF(MOD(ROUND(B92*64,0),64)&gt;0," ",""),"")&amp;IF(MOD(ROUND(B92*64,0),64)&gt;0,MOD(ROUND(B92*64,0),64)/GCD(MOD(ROUND(B92*64,0),64),64)&amp;"/"&amp;64/GCD(MOD(ROUND(B92*64,0),64),64),IF(ROUND(B92*64,0)=0,"0",""))&amp;""""))</f>
        <v>1 13/32"</v>
      </c>
      <c r="B92" s="52" t="n">
        <f aca="false">90/64</f>
        <v>1.40625</v>
      </c>
      <c r="C92" s="53" t="n">
        <f aca="false">B92*25.4</f>
        <v>35.71875</v>
      </c>
      <c r="D92" s="54" t="n">
        <f aca="false">B92/2</f>
        <v>0.703125</v>
      </c>
      <c r="E92" s="53" t="n">
        <f aca="false">C92/2</f>
        <v>17.859375</v>
      </c>
    </row>
    <row r="93" customFormat="false" ht="15" hidden="false" customHeight="false" outlineLevel="0" collapsed="false">
      <c r="A93" s="30" t="str">
        <f aca="false">IF(NOT(ISNUMBER(B93)),"",IF(B93&lt;=0,"",IF(ABS(B93*64-ROUND(B93*64,0))&gt;0.0005,"≈ ","")&amp;IF(INT(ROUND(B93*64,0)/64)&gt;0,INT(ROUND(B93*64,0)/64)&amp;IF(MOD(ROUND(B93*64,0),64)&gt;0," ",""),"")&amp;IF(MOD(ROUND(B93*64,0),64)&gt;0,MOD(ROUND(B93*64,0),64)/GCD(MOD(ROUND(B93*64,0),64),64)&amp;"/"&amp;64/GCD(MOD(ROUND(B93*64,0),64),64),IF(ROUND(B93*64,0)=0,"0",""))&amp;""""))</f>
        <v>1 27/64"</v>
      </c>
      <c r="B93" s="48" t="n">
        <f aca="false">91/64</f>
        <v>1.421875</v>
      </c>
      <c r="C93" s="49" t="n">
        <f aca="false">B93*25.4</f>
        <v>36.115625</v>
      </c>
      <c r="D93" s="50" t="n">
        <f aca="false">B93/2</f>
        <v>0.7109375</v>
      </c>
      <c r="E93" s="49" t="n">
        <f aca="false">C93/2</f>
        <v>18.0578125</v>
      </c>
    </row>
    <row r="94" customFormat="false" ht="15" hidden="false" customHeight="false" outlineLevel="0" collapsed="false">
      <c r="A94" s="51" t="str">
        <f aca="false">IF(NOT(ISNUMBER(B94)),"",IF(B94&lt;=0,"",IF(ABS(B94*64-ROUND(B94*64,0))&gt;0.0005,"≈ ","")&amp;IF(INT(ROUND(B94*64,0)/64)&gt;0,INT(ROUND(B94*64,0)/64)&amp;IF(MOD(ROUND(B94*64,0),64)&gt;0," ",""),"")&amp;IF(MOD(ROUND(B94*64,0),64)&gt;0,MOD(ROUND(B94*64,0),64)/GCD(MOD(ROUND(B94*64,0),64),64)&amp;"/"&amp;64/GCD(MOD(ROUND(B94*64,0),64),64),IF(ROUND(B94*64,0)=0,"0",""))&amp;""""))</f>
        <v>1 7/16"</v>
      </c>
      <c r="B94" s="52" t="n">
        <f aca="false">92/64</f>
        <v>1.4375</v>
      </c>
      <c r="C94" s="53" t="n">
        <f aca="false">B94*25.4</f>
        <v>36.5125</v>
      </c>
      <c r="D94" s="54" t="n">
        <f aca="false">B94/2</f>
        <v>0.71875</v>
      </c>
      <c r="E94" s="53" t="n">
        <f aca="false">C94/2</f>
        <v>18.25625</v>
      </c>
    </row>
    <row r="95" customFormat="false" ht="15" hidden="false" customHeight="false" outlineLevel="0" collapsed="false">
      <c r="A95" s="30" t="str">
        <f aca="false">IF(NOT(ISNUMBER(B95)),"",IF(B95&lt;=0,"",IF(ABS(B95*64-ROUND(B95*64,0))&gt;0.0005,"≈ ","")&amp;IF(INT(ROUND(B95*64,0)/64)&gt;0,INT(ROUND(B95*64,0)/64)&amp;IF(MOD(ROUND(B95*64,0),64)&gt;0," ",""),"")&amp;IF(MOD(ROUND(B95*64,0),64)&gt;0,MOD(ROUND(B95*64,0),64)/GCD(MOD(ROUND(B95*64,0),64),64)&amp;"/"&amp;64/GCD(MOD(ROUND(B95*64,0),64),64),IF(ROUND(B95*64,0)=0,"0",""))&amp;""""))</f>
        <v>1 29/64"</v>
      </c>
      <c r="B95" s="48" t="n">
        <f aca="false">93/64</f>
        <v>1.453125</v>
      </c>
      <c r="C95" s="49" t="n">
        <f aca="false">B95*25.4</f>
        <v>36.909375</v>
      </c>
      <c r="D95" s="50" t="n">
        <f aca="false">B95/2</f>
        <v>0.7265625</v>
      </c>
      <c r="E95" s="49" t="n">
        <f aca="false">C95/2</f>
        <v>18.4546875</v>
      </c>
    </row>
    <row r="96" customFormat="false" ht="15" hidden="false" customHeight="false" outlineLevel="0" collapsed="false">
      <c r="A96" s="51" t="str">
        <f aca="false">IF(NOT(ISNUMBER(B96)),"",IF(B96&lt;=0,"",IF(ABS(B96*64-ROUND(B96*64,0))&gt;0.0005,"≈ ","")&amp;IF(INT(ROUND(B96*64,0)/64)&gt;0,INT(ROUND(B96*64,0)/64)&amp;IF(MOD(ROUND(B96*64,0),64)&gt;0," ",""),"")&amp;IF(MOD(ROUND(B96*64,0),64)&gt;0,MOD(ROUND(B96*64,0),64)/GCD(MOD(ROUND(B96*64,0),64),64)&amp;"/"&amp;64/GCD(MOD(ROUND(B96*64,0),64),64),IF(ROUND(B96*64,0)=0,"0",""))&amp;""""))</f>
        <v>1 15/32"</v>
      </c>
      <c r="B96" s="52" t="n">
        <f aca="false">94/64</f>
        <v>1.46875</v>
      </c>
      <c r="C96" s="53" t="n">
        <f aca="false">B96*25.4</f>
        <v>37.30625</v>
      </c>
      <c r="D96" s="54" t="n">
        <f aca="false">B96/2</f>
        <v>0.734375</v>
      </c>
      <c r="E96" s="53" t="n">
        <f aca="false">C96/2</f>
        <v>18.653125</v>
      </c>
    </row>
    <row r="97" customFormat="false" ht="15" hidden="false" customHeight="false" outlineLevel="0" collapsed="false">
      <c r="A97" s="30" t="str">
        <f aca="false">IF(NOT(ISNUMBER(B97)),"",IF(B97&lt;=0,"",IF(ABS(B97*64-ROUND(B97*64,0))&gt;0.0005,"≈ ","")&amp;IF(INT(ROUND(B97*64,0)/64)&gt;0,INT(ROUND(B97*64,0)/64)&amp;IF(MOD(ROUND(B97*64,0),64)&gt;0," ",""),"")&amp;IF(MOD(ROUND(B97*64,0),64)&gt;0,MOD(ROUND(B97*64,0),64)/GCD(MOD(ROUND(B97*64,0),64),64)&amp;"/"&amp;64/GCD(MOD(ROUND(B97*64,0),64),64),IF(ROUND(B97*64,0)=0,"0",""))&amp;""""))</f>
        <v>1 31/64"</v>
      </c>
      <c r="B97" s="48" t="n">
        <f aca="false">95/64</f>
        <v>1.484375</v>
      </c>
      <c r="C97" s="49" t="n">
        <f aca="false">B97*25.4</f>
        <v>37.703125</v>
      </c>
      <c r="D97" s="50" t="n">
        <f aca="false">B97/2</f>
        <v>0.7421875</v>
      </c>
      <c r="E97" s="49" t="n">
        <f aca="false">C97/2</f>
        <v>18.8515625</v>
      </c>
    </row>
    <row r="98" customFormat="false" ht="15" hidden="false" customHeight="false" outlineLevel="0" collapsed="false">
      <c r="A98" s="51" t="str">
        <f aca="false">IF(NOT(ISNUMBER(B98)),"",IF(B98&lt;=0,"",IF(ABS(B98*64-ROUND(B98*64,0))&gt;0.0005,"≈ ","")&amp;IF(INT(ROUND(B98*64,0)/64)&gt;0,INT(ROUND(B98*64,0)/64)&amp;IF(MOD(ROUND(B98*64,0),64)&gt;0," ",""),"")&amp;IF(MOD(ROUND(B98*64,0),64)&gt;0,MOD(ROUND(B98*64,0),64)/GCD(MOD(ROUND(B98*64,0),64),64)&amp;"/"&amp;64/GCD(MOD(ROUND(B98*64,0),64),64),IF(ROUND(B98*64,0)=0,"0",""))&amp;""""))</f>
        <v>1 1/2"</v>
      </c>
      <c r="B98" s="52" t="n">
        <f aca="false">96/64</f>
        <v>1.5</v>
      </c>
      <c r="C98" s="53" t="n">
        <f aca="false">B98*25.4</f>
        <v>38.1</v>
      </c>
      <c r="D98" s="54" t="n">
        <f aca="false">B98/2</f>
        <v>0.75</v>
      </c>
      <c r="E98" s="53" t="n">
        <f aca="false">C98/2</f>
        <v>19.05</v>
      </c>
    </row>
    <row r="99" customFormat="false" ht="15" hidden="false" customHeight="false" outlineLevel="0" collapsed="false">
      <c r="A99" s="30" t="str">
        <f aca="false">IF(NOT(ISNUMBER(B99)),"",IF(B99&lt;=0,"",IF(ABS(B99*64-ROUND(B99*64,0))&gt;0.0005,"≈ ","")&amp;IF(INT(ROUND(B99*64,0)/64)&gt;0,INT(ROUND(B99*64,0)/64)&amp;IF(MOD(ROUND(B99*64,0),64)&gt;0," ",""),"")&amp;IF(MOD(ROUND(B99*64,0),64)&gt;0,MOD(ROUND(B99*64,0),64)/GCD(MOD(ROUND(B99*64,0),64),64)&amp;"/"&amp;64/GCD(MOD(ROUND(B99*64,0),64),64),IF(ROUND(B99*64,0)=0,"0",""))&amp;""""))</f>
        <v>1 33/64"</v>
      </c>
      <c r="B99" s="48" t="n">
        <f aca="false">97/64</f>
        <v>1.515625</v>
      </c>
      <c r="C99" s="49" t="n">
        <f aca="false">B99*25.4</f>
        <v>38.496875</v>
      </c>
      <c r="D99" s="50" t="n">
        <f aca="false">B99/2</f>
        <v>0.7578125</v>
      </c>
      <c r="E99" s="49" t="n">
        <f aca="false">C99/2</f>
        <v>19.2484375</v>
      </c>
    </row>
    <row r="100" customFormat="false" ht="15" hidden="false" customHeight="false" outlineLevel="0" collapsed="false">
      <c r="A100" s="51" t="str">
        <f aca="false">IF(NOT(ISNUMBER(B100)),"",IF(B100&lt;=0,"",IF(ABS(B100*64-ROUND(B100*64,0))&gt;0.0005,"≈ ","")&amp;IF(INT(ROUND(B100*64,0)/64)&gt;0,INT(ROUND(B100*64,0)/64)&amp;IF(MOD(ROUND(B100*64,0),64)&gt;0," ",""),"")&amp;IF(MOD(ROUND(B100*64,0),64)&gt;0,MOD(ROUND(B100*64,0),64)/GCD(MOD(ROUND(B100*64,0),64),64)&amp;"/"&amp;64/GCD(MOD(ROUND(B100*64,0),64),64),IF(ROUND(B100*64,0)=0,"0",""))&amp;""""))</f>
        <v>1 17/32"</v>
      </c>
      <c r="B100" s="52" t="n">
        <f aca="false">98/64</f>
        <v>1.53125</v>
      </c>
      <c r="C100" s="53" t="n">
        <f aca="false">B100*25.4</f>
        <v>38.89375</v>
      </c>
      <c r="D100" s="54" t="n">
        <f aca="false">B100/2</f>
        <v>0.765625</v>
      </c>
      <c r="E100" s="53" t="n">
        <f aca="false">C100/2</f>
        <v>19.446875</v>
      </c>
    </row>
    <row r="101" customFormat="false" ht="15" hidden="false" customHeight="false" outlineLevel="0" collapsed="false">
      <c r="A101" s="30" t="str">
        <f aca="false">IF(NOT(ISNUMBER(B101)),"",IF(B101&lt;=0,"",IF(ABS(B101*64-ROUND(B101*64,0))&gt;0.0005,"≈ ","")&amp;IF(INT(ROUND(B101*64,0)/64)&gt;0,INT(ROUND(B101*64,0)/64)&amp;IF(MOD(ROUND(B101*64,0),64)&gt;0," ",""),"")&amp;IF(MOD(ROUND(B101*64,0),64)&gt;0,MOD(ROUND(B101*64,0),64)/GCD(MOD(ROUND(B101*64,0),64),64)&amp;"/"&amp;64/GCD(MOD(ROUND(B101*64,0),64),64),IF(ROUND(B101*64,0)=0,"0",""))&amp;""""))</f>
        <v>1 35/64"</v>
      </c>
      <c r="B101" s="48" t="n">
        <f aca="false">99/64</f>
        <v>1.546875</v>
      </c>
      <c r="C101" s="49" t="n">
        <f aca="false">B101*25.4</f>
        <v>39.290625</v>
      </c>
      <c r="D101" s="50" t="n">
        <f aca="false">B101/2</f>
        <v>0.7734375</v>
      </c>
      <c r="E101" s="49" t="n">
        <f aca="false">C101/2</f>
        <v>19.6453125</v>
      </c>
    </row>
    <row r="102" customFormat="false" ht="15" hidden="false" customHeight="false" outlineLevel="0" collapsed="false">
      <c r="A102" s="51" t="str">
        <f aca="false">IF(NOT(ISNUMBER(B102)),"",IF(B102&lt;=0,"",IF(ABS(B102*64-ROUND(B102*64,0))&gt;0.0005,"≈ ","")&amp;IF(INT(ROUND(B102*64,0)/64)&gt;0,INT(ROUND(B102*64,0)/64)&amp;IF(MOD(ROUND(B102*64,0),64)&gt;0," ",""),"")&amp;IF(MOD(ROUND(B102*64,0),64)&gt;0,MOD(ROUND(B102*64,0),64)/GCD(MOD(ROUND(B102*64,0),64),64)&amp;"/"&amp;64/GCD(MOD(ROUND(B102*64,0),64),64),IF(ROUND(B102*64,0)=0,"0",""))&amp;""""))</f>
        <v>1 9/16"</v>
      </c>
      <c r="B102" s="52" t="n">
        <f aca="false">100/64</f>
        <v>1.5625</v>
      </c>
      <c r="C102" s="53" t="n">
        <f aca="false">B102*25.4</f>
        <v>39.6875</v>
      </c>
      <c r="D102" s="54" t="n">
        <f aca="false">B102/2</f>
        <v>0.78125</v>
      </c>
      <c r="E102" s="53" t="n">
        <f aca="false">C102/2</f>
        <v>19.84375</v>
      </c>
    </row>
    <row r="103" customFormat="false" ht="15" hidden="false" customHeight="false" outlineLevel="0" collapsed="false">
      <c r="A103" s="30" t="str">
        <f aca="false">IF(NOT(ISNUMBER(B103)),"",IF(B103&lt;=0,"",IF(ABS(B103*64-ROUND(B103*64,0))&gt;0.0005,"≈ ","")&amp;IF(INT(ROUND(B103*64,0)/64)&gt;0,INT(ROUND(B103*64,0)/64)&amp;IF(MOD(ROUND(B103*64,0),64)&gt;0," ",""),"")&amp;IF(MOD(ROUND(B103*64,0),64)&gt;0,MOD(ROUND(B103*64,0),64)/GCD(MOD(ROUND(B103*64,0),64),64)&amp;"/"&amp;64/GCD(MOD(ROUND(B103*64,0),64),64),IF(ROUND(B103*64,0)=0,"0",""))&amp;""""))</f>
        <v>1 37/64"</v>
      </c>
      <c r="B103" s="48" t="n">
        <f aca="false">101/64</f>
        <v>1.578125</v>
      </c>
      <c r="C103" s="49" t="n">
        <f aca="false">B103*25.4</f>
        <v>40.084375</v>
      </c>
      <c r="D103" s="50" t="n">
        <f aca="false">B103/2</f>
        <v>0.7890625</v>
      </c>
      <c r="E103" s="49" t="n">
        <f aca="false">C103/2</f>
        <v>20.0421875</v>
      </c>
    </row>
    <row r="104" customFormat="false" ht="15" hidden="false" customHeight="false" outlineLevel="0" collapsed="false">
      <c r="A104" s="51" t="str">
        <f aca="false">IF(NOT(ISNUMBER(B104)),"",IF(B104&lt;=0,"",IF(ABS(B104*64-ROUND(B104*64,0))&gt;0.0005,"≈ ","")&amp;IF(INT(ROUND(B104*64,0)/64)&gt;0,INT(ROUND(B104*64,0)/64)&amp;IF(MOD(ROUND(B104*64,0),64)&gt;0," ",""),"")&amp;IF(MOD(ROUND(B104*64,0),64)&gt;0,MOD(ROUND(B104*64,0),64)/GCD(MOD(ROUND(B104*64,0),64),64)&amp;"/"&amp;64/GCD(MOD(ROUND(B104*64,0),64),64),IF(ROUND(B104*64,0)=0,"0",""))&amp;""""))</f>
        <v>1 19/32"</v>
      </c>
      <c r="B104" s="52" t="n">
        <f aca="false">102/64</f>
        <v>1.59375</v>
      </c>
      <c r="C104" s="53" t="n">
        <f aca="false">B104*25.4</f>
        <v>40.48125</v>
      </c>
      <c r="D104" s="54" t="n">
        <f aca="false">B104/2</f>
        <v>0.796875</v>
      </c>
      <c r="E104" s="53" t="n">
        <f aca="false">C104/2</f>
        <v>20.240625</v>
      </c>
    </row>
    <row r="105" customFormat="false" ht="15" hidden="false" customHeight="false" outlineLevel="0" collapsed="false">
      <c r="A105" s="30" t="str">
        <f aca="false">IF(NOT(ISNUMBER(B105)),"",IF(B105&lt;=0,"",IF(ABS(B105*64-ROUND(B105*64,0))&gt;0.0005,"≈ ","")&amp;IF(INT(ROUND(B105*64,0)/64)&gt;0,INT(ROUND(B105*64,0)/64)&amp;IF(MOD(ROUND(B105*64,0),64)&gt;0," ",""),"")&amp;IF(MOD(ROUND(B105*64,0),64)&gt;0,MOD(ROUND(B105*64,0),64)/GCD(MOD(ROUND(B105*64,0),64),64)&amp;"/"&amp;64/GCD(MOD(ROUND(B105*64,0),64),64),IF(ROUND(B105*64,0)=0,"0",""))&amp;""""))</f>
        <v>1 39/64"</v>
      </c>
      <c r="B105" s="48" t="n">
        <f aca="false">103/64</f>
        <v>1.609375</v>
      </c>
      <c r="C105" s="49" t="n">
        <f aca="false">B105*25.4</f>
        <v>40.878125</v>
      </c>
      <c r="D105" s="50" t="n">
        <f aca="false">B105/2</f>
        <v>0.8046875</v>
      </c>
      <c r="E105" s="49" t="n">
        <f aca="false">C105/2</f>
        <v>20.4390625</v>
      </c>
    </row>
    <row r="106" customFormat="false" ht="15" hidden="false" customHeight="false" outlineLevel="0" collapsed="false">
      <c r="A106" s="51" t="str">
        <f aca="false">IF(NOT(ISNUMBER(B106)),"",IF(B106&lt;=0,"",IF(ABS(B106*64-ROUND(B106*64,0))&gt;0.0005,"≈ ","")&amp;IF(INT(ROUND(B106*64,0)/64)&gt;0,INT(ROUND(B106*64,0)/64)&amp;IF(MOD(ROUND(B106*64,0),64)&gt;0," ",""),"")&amp;IF(MOD(ROUND(B106*64,0),64)&gt;0,MOD(ROUND(B106*64,0),64)/GCD(MOD(ROUND(B106*64,0),64),64)&amp;"/"&amp;64/GCD(MOD(ROUND(B106*64,0),64),64),IF(ROUND(B106*64,0)=0,"0",""))&amp;""""))</f>
        <v>1 5/8"</v>
      </c>
      <c r="B106" s="52" t="n">
        <f aca="false">104/64</f>
        <v>1.625</v>
      </c>
      <c r="C106" s="53" t="n">
        <f aca="false">B106*25.4</f>
        <v>41.275</v>
      </c>
      <c r="D106" s="54" t="n">
        <f aca="false">B106/2</f>
        <v>0.8125</v>
      </c>
      <c r="E106" s="53" t="n">
        <f aca="false">C106/2</f>
        <v>20.6375</v>
      </c>
    </row>
    <row r="107" customFormat="false" ht="15" hidden="false" customHeight="false" outlineLevel="0" collapsed="false">
      <c r="A107" s="30" t="str">
        <f aca="false">IF(NOT(ISNUMBER(B107)),"",IF(B107&lt;=0,"",IF(ABS(B107*64-ROUND(B107*64,0))&gt;0.0005,"≈ ","")&amp;IF(INT(ROUND(B107*64,0)/64)&gt;0,INT(ROUND(B107*64,0)/64)&amp;IF(MOD(ROUND(B107*64,0),64)&gt;0," ",""),"")&amp;IF(MOD(ROUND(B107*64,0),64)&gt;0,MOD(ROUND(B107*64,0),64)/GCD(MOD(ROUND(B107*64,0),64),64)&amp;"/"&amp;64/GCD(MOD(ROUND(B107*64,0),64),64),IF(ROUND(B107*64,0)=0,"0",""))&amp;""""))</f>
        <v>1 41/64"</v>
      </c>
      <c r="B107" s="48" t="n">
        <f aca="false">105/64</f>
        <v>1.640625</v>
      </c>
      <c r="C107" s="49" t="n">
        <f aca="false">B107*25.4</f>
        <v>41.671875</v>
      </c>
      <c r="D107" s="50" t="n">
        <f aca="false">B107/2</f>
        <v>0.8203125</v>
      </c>
      <c r="E107" s="49" t="n">
        <f aca="false">C107/2</f>
        <v>20.8359375</v>
      </c>
    </row>
    <row r="108" customFormat="false" ht="15" hidden="false" customHeight="false" outlineLevel="0" collapsed="false">
      <c r="A108" s="51" t="str">
        <f aca="false">IF(NOT(ISNUMBER(B108)),"",IF(B108&lt;=0,"",IF(ABS(B108*64-ROUND(B108*64,0))&gt;0.0005,"≈ ","")&amp;IF(INT(ROUND(B108*64,0)/64)&gt;0,INT(ROUND(B108*64,0)/64)&amp;IF(MOD(ROUND(B108*64,0),64)&gt;0," ",""),"")&amp;IF(MOD(ROUND(B108*64,0),64)&gt;0,MOD(ROUND(B108*64,0),64)/GCD(MOD(ROUND(B108*64,0),64),64)&amp;"/"&amp;64/GCD(MOD(ROUND(B108*64,0),64),64),IF(ROUND(B108*64,0)=0,"0",""))&amp;""""))</f>
        <v>1 21/32"</v>
      </c>
      <c r="B108" s="52" t="n">
        <f aca="false">106/64</f>
        <v>1.65625</v>
      </c>
      <c r="C108" s="53" t="n">
        <f aca="false">B108*25.4</f>
        <v>42.06875</v>
      </c>
      <c r="D108" s="54" t="n">
        <f aca="false">B108/2</f>
        <v>0.828125</v>
      </c>
      <c r="E108" s="53" t="n">
        <f aca="false">C108/2</f>
        <v>21.034375</v>
      </c>
    </row>
    <row r="109" customFormat="false" ht="15" hidden="false" customHeight="false" outlineLevel="0" collapsed="false">
      <c r="A109" s="30" t="str">
        <f aca="false">IF(NOT(ISNUMBER(B109)),"",IF(B109&lt;=0,"",IF(ABS(B109*64-ROUND(B109*64,0))&gt;0.0005,"≈ ","")&amp;IF(INT(ROUND(B109*64,0)/64)&gt;0,INT(ROUND(B109*64,0)/64)&amp;IF(MOD(ROUND(B109*64,0),64)&gt;0," ",""),"")&amp;IF(MOD(ROUND(B109*64,0),64)&gt;0,MOD(ROUND(B109*64,0),64)/GCD(MOD(ROUND(B109*64,0),64),64)&amp;"/"&amp;64/GCD(MOD(ROUND(B109*64,0),64),64),IF(ROUND(B109*64,0)=0,"0",""))&amp;""""))</f>
        <v>1 43/64"</v>
      </c>
      <c r="B109" s="48" t="n">
        <f aca="false">107/64</f>
        <v>1.671875</v>
      </c>
      <c r="C109" s="49" t="n">
        <f aca="false">B109*25.4</f>
        <v>42.465625</v>
      </c>
      <c r="D109" s="50" t="n">
        <f aca="false">B109/2</f>
        <v>0.8359375</v>
      </c>
      <c r="E109" s="49" t="n">
        <f aca="false">C109/2</f>
        <v>21.2328125</v>
      </c>
    </row>
    <row r="110" customFormat="false" ht="15" hidden="false" customHeight="false" outlineLevel="0" collapsed="false">
      <c r="A110" s="51" t="str">
        <f aca="false">IF(NOT(ISNUMBER(B110)),"",IF(B110&lt;=0,"",IF(ABS(B110*64-ROUND(B110*64,0))&gt;0.0005,"≈ ","")&amp;IF(INT(ROUND(B110*64,0)/64)&gt;0,INT(ROUND(B110*64,0)/64)&amp;IF(MOD(ROUND(B110*64,0),64)&gt;0," ",""),"")&amp;IF(MOD(ROUND(B110*64,0),64)&gt;0,MOD(ROUND(B110*64,0),64)/GCD(MOD(ROUND(B110*64,0),64),64)&amp;"/"&amp;64/GCD(MOD(ROUND(B110*64,0),64),64),IF(ROUND(B110*64,0)=0,"0",""))&amp;""""))</f>
        <v>1 11/16"</v>
      </c>
      <c r="B110" s="52" t="n">
        <f aca="false">108/64</f>
        <v>1.6875</v>
      </c>
      <c r="C110" s="53" t="n">
        <f aca="false">B110*25.4</f>
        <v>42.8625</v>
      </c>
      <c r="D110" s="54" t="n">
        <f aca="false">B110/2</f>
        <v>0.84375</v>
      </c>
      <c r="E110" s="53" t="n">
        <f aca="false">C110/2</f>
        <v>21.43125</v>
      </c>
    </row>
    <row r="111" customFormat="false" ht="15" hidden="false" customHeight="false" outlineLevel="0" collapsed="false">
      <c r="A111" s="30" t="str">
        <f aca="false">IF(NOT(ISNUMBER(B111)),"",IF(B111&lt;=0,"",IF(ABS(B111*64-ROUND(B111*64,0))&gt;0.0005,"≈ ","")&amp;IF(INT(ROUND(B111*64,0)/64)&gt;0,INT(ROUND(B111*64,0)/64)&amp;IF(MOD(ROUND(B111*64,0),64)&gt;0," ",""),"")&amp;IF(MOD(ROUND(B111*64,0),64)&gt;0,MOD(ROUND(B111*64,0),64)/GCD(MOD(ROUND(B111*64,0),64),64)&amp;"/"&amp;64/GCD(MOD(ROUND(B111*64,0),64),64),IF(ROUND(B111*64,0)=0,"0",""))&amp;""""))</f>
        <v>1 45/64"</v>
      </c>
      <c r="B111" s="48" t="n">
        <f aca="false">109/64</f>
        <v>1.703125</v>
      </c>
      <c r="C111" s="49" t="n">
        <f aca="false">B111*25.4</f>
        <v>43.259375</v>
      </c>
      <c r="D111" s="50" t="n">
        <f aca="false">B111/2</f>
        <v>0.8515625</v>
      </c>
      <c r="E111" s="49" t="n">
        <f aca="false">C111/2</f>
        <v>21.6296875</v>
      </c>
    </row>
    <row r="112" customFormat="false" ht="15" hidden="false" customHeight="false" outlineLevel="0" collapsed="false">
      <c r="A112" s="51" t="str">
        <f aca="false">IF(NOT(ISNUMBER(B112)),"",IF(B112&lt;=0,"",IF(ABS(B112*64-ROUND(B112*64,0))&gt;0.0005,"≈ ","")&amp;IF(INT(ROUND(B112*64,0)/64)&gt;0,INT(ROUND(B112*64,0)/64)&amp;IF(MOD(ROUND(B112*64,0),64)&gt;0," ",""),"")&amp;IF(MOD(ROUND(B112*64,0),64)&gt;0,MOD(ROUND(B112*64,0),64)/GCD(MOD(ROUND(B112*64,0),64),64)&amp;"/"&amp;64/GCD(MOD(ROUND(B112*64,0),64),64),IF(ROUND(B112*64,0)=0,"0",""))&amp;""""))</f>
        <v>1 23/32"</v>
      </c>
      <c r="B112" s="52" t="n">
        <f aca="false">110/64</f>
        <v>1.71875</v>
      </c>
      <c r="C112" s="53" t="n">
        <f aca="false">B112*25.4</f>
        <v>43.65625</v>
      </c>
      <c r="D112" s="54" t="n">
        <f aca="false">B112/2</f>
        <v>0.859375</v>
      </c>
      <c r="E112" s="53" t="n">
        <f aca="false">C112/2</f>
        <v>21.828125</v>
      </c>
    </row>
    <row r="113" customFormat="false" ht="15" hidden="false" customHeight="false" outlineLevel="0" collapsed="false">
      <c r="A113" s="30" t="str">
        <f aca="false">IF(NOT(ISNUMBER(B113)),"",IF(B113&lt;=0,"",IF(ABS(B113*64-ROUND(B113*64,0))&gt;0.0005,"≈ ","")&amp;IF(INT(ROUND(B113*64,0)/64)&gt;0,INT(ROUND(B113*64,0)/64)&amp;IF(MOD(ROUND(B113*64,0),64)&gt;0," ",""),"")&amp;IF(MOD(ROUND(B113*64,0),64)&gt;0,MOD(ROUND(B113*64,0),64)/GCD(MOD(ROUND(B113*64,0),64),64)&amp;"/"&amp;64/GCD(MOD(ROUND(B113*64,0),64),64),IF(ROUND(B113*64,0)=0,"0",""))&amp;""""))</f>
        <v>1 47/64"</v>
      </c>
      <c r="B113" s="48" t="n">
        <f aca="false">111/64</f>
        <v>1.734375</v>
      </c>
      <c r="C113" s="49" t="n">
        <f aca="false">B113*25.4</f>
        <v>44.053125</v>
      </c>
      <c r="D113" s="50" t="n">
        <f aca="false">B113/2</f>
        <v>0.8671875</v>
      </c>
      <c r="E113" s="49" t="n">
        <f aca="false">C113/2</f>
        <v>22.0265625</v>
      </c>
    </row>
    <row r="114" customFormat="false" ht="15" hidden="false" customHeight="false" outlineLevel="0" collapsed="false">
      <c r="A114" s="51" t="str">
        <f aca="false">IF(NOT(ISNUMBER(B114)),"",IF(B114&lt;=0,"",IF(ABS(B114*64-ROUND(B114*64,0))&gt;0.0005,"≈ ","")&amp;IF(INT(ROUND(B114*64,0)/64)&gt;0,INT(ROUND(B114*64,0)/64)&amp;IF(MOD(ROUND(B114*64,0),64)&gt;0," ",""),"")&amp;IF(MOD(ROUND(B114*64,0),64)&gt;0,MOD(ROUND(B114*64,0),64)/GCD(MOD(ROUND(B114*64,0),64),64)&amp;"/"&amp;64/GCD(MOD(ROUND(B114*64,0),64),64),IF(ROUND(B114*64,0)=0,"0",""))&amp;""""))</f>
        <v>1 3/4"</v>
      </c>
      <c r="B114" s="52" t="n">
        <f aca="false">112/64</f>
        <v>1.75</v>
      </c>
      <c r="C114" s="53" t="n">
        <f aca="false">B114*25.4</f>
        <v>44.45</v>
      </c>
      <c r="D114" s="54" t="n">
        <f aca="false">B114/2</f>
        <v>0.875</v>
      </c>
      <c r="E114" s="53" t="n">
        <f aca="false">C114/2</f>
        <v>22.225</v>
      </c>
    </row>
    <row r="115" customFormat="false" ht="15" hidden="false" customHeight="false" outlineLevel="0" collapsed="false">
      <c r="A115" s="30" t="str">
        <f aca="false">IF(NOT(ISNUMBER(B115)),"",IF(B115&lt;=0,"",IF(ABS(B115*64-ROUND(B115*64,0))&gt;0.0005,"≈ ","")&amp;IF(INT(ROUND(B115*64,0)/64)&gt;0,INT(ROUND(B115*64,0)/64)&amp;IF(MOD(ROUND(B115*64,0),64)&gt;0," ",""),"")&amp;IF(MOD(ROUND(B115*64,0),64)&gt;0,MOD(ROUND(B115*64,0),64)/GCD(MOD(ROUND(B115*64,0),64),64)&amp;"/"&amp;64/GCD(MOD(ROUND(B115*64,0),64),64),IF(ROUND(B115*64,0)=0,"0",""))&amp;""""))</f>
        <v>1 49/64"</v>
      </c>
      <c r="B115" s="48" t="n">
        <f aca="false">113/64</f>
        <v>1.765625</v>
      </c>
      <c r="C115" s="49" t="n">
        <f aca="false">B115*25.4</f>
        <v>44.846875</v>
      </c>
      <c r="D115" s="50" t="n">
        <f aca="false">B115/2</f>
        <v>0.8828125</v>
      </c>
      <c r="E115" s="49" t="n">
        <f aca="false">C115/2</f>
        <v>22.4234375</v>
      </c>
    </row>
    <row r="116" customFormat="false" ht="15" hidden="false" customHeight="false" outlineLevel="0" collapsed="false">
      <c r="A116" s="51" t="str">
        <f aca="false">IF(NOT(ISNUMBER(B116)),"",IF(B116&lt;=0,"",IF(ABS(B116*64-ROUND(B116*64,0))&gt;0.0005,"≈ ","")&amp;IF(INT(ROUND(B116*64,0)/64)&gt;0,INT(ROUND(B116*64,0)/64)&amp;IF(MOD(ROUND(B116*64,0),64)&gt;0," ",""),"")&amp;IF(MOD(ROUND(B116*64,0),64)&gt;0,MOD(ROUND(B116*64,0),64)/GCD(MOD(ROUND(B116*64,0),64),64)&amp;"/"&amp;64/GCD(MOD(ROUND(B116*64,0),64),64),IF(ROUND(B116*64,0)=0,"0",""))&amp;""""))</f>
        <v>1 25/32"</v>
      </c>
      <c r="B116" s="52" t="n">
        <f aca="false">114/64</f>
        <v>1.78125</v>
      </c>
      <c r="C116" s="53" t="n">
        <f aca="false">B116*25.4</f>
        <v>45.24375</v>
      </c>
      <c r="D116" s="54" t="n">
        <f aca="false">B116/2</f>
        <v>0.890625</v>
      </c>
      <c r="E116" s="53" t="n">
        <f aca="false">C116/2</f>
        <v>22.621875</v>
      </c>
    </row>
    <row r="117" customFormat="false" ht="15" hidden="false" customHeight="false" outlineLevel="0" collapsed="false">
      <c r="A117" s="30" t="str">
        <f aca="false">IF(NOT(ISNUMBER(B117)),"",IF(B117&lt;=0,"",IF(ABS(B117*64-ROUND(B117*64,0))&gt;0.0005,"≈ ","")&amp;IF(INT(ROUND(B117*64,0)/64)&gt;0,INT(ROUND(B117*64,0)/64)&amp;IF(MOD(ROUND(B117*64,0),64)&gt;0," ",""),"")&amp;IF(MOD(ROUND(B117*64,0),64)&gt;0,MOD(ROUND(B117*64,0),64)/GCD(MOD(ROUND(B117*64,0),64),64)&amp;"/"&amp;64/GCD(MOD(ROUND(B117*64,0),64),64),IF(ROUND(B117*64,0)=0,"0",""))&amp;""""))</f>
        <v>1 51/64"</v>
      </c>
      <c r="B117" s="48" t="n">
        <f aca="false">115/64</f>
        <v>1.796875</v>
      </c>
      <c r="C117" s="49" t="n">
        <f aca="false">B117*25.4</f>
        <v>45.640625</v>
      </c>
      <c r="D117" s="50" t="n">
        <f aca="false">B117/2</f>
        <v>0.8984375</v>
      </c>
      <c r="E117" s="49" t="n">
        <f aca="false">C117/2</f>
        <v>22.8203125</v>
      </c>
    </row>
    <row r="118" customFormat="false" ht="15" hidden="false" customHeight="false" outlineLevel="0" collapsed="false">
      <c r="A118" s="51" t="str">
        <f aca="false">IF(NOT(ISNUMBER(B118)),"",IF(B118&lt;=0,"",IF(ABS(B118*64-ROUND(B118*64,0))&gt;0.0005,"≈ ","")&amp;IF(INT(ROUND(B118*64,0)/64)&gt;0,INT(ROUND(B118*64,0)/64)&amp;IF(MOD(ROUND(B118*64,0),64)&gt;0," ",""),"")&amp;IF(MOD(ROUND(B118*64,0),64)&gt;0,MOD(ROUND(B118*64,0),64)/GCD(MOD(ROUND(B118*64,0),64),64)&amp;"/"&amp;64/GCD(MOD(ROUND(B118*64,0),64),64),IF(ROUND(B118*64,0)=0,"0",""))&amp;""""))</f>
        <v>1 13/16"</v>
      </c>
      <c r="B118" s="52" t="n">
        <f aca="false">116/64</f>
        <v>1.8125</v>
      </c>
      <c r="C118" s="53" t="n">
        <f aca="false">B118*25.4</f>
        <v>46.0375</v>
      </c>
      <c r="D118" s="54" t="n">
        <f aca="false">B118/2</f>
        <v>0.90625</v>
      </c>
      <c r="E118" s="53" t="n">
        <f aca="false">C118/2</f>
        <v>23.01875</v>
      </c>
    </row>
    <row r="119" customFormat="false" ht="15" hidden="false" customHeight="false" outlineLevel="0" collapsed="false">
      <c r="A119" s="30" t="str">
        <f aca="false">IF(NOT(ISNUMBER(B119)),"",IF(B119&lt;=0,"",IF(ABS(B119*64-ROUND(B119*64,0))&gt;0.0005,"≈ ","")&amp;IF(INT(ROUND(B119*64,0)/64)&gt;0,INT(ROUND(B119*64,0)/64)&amp;IF(MOD(ROUND(B119*64,0),64)&gt;0," ",""),"")&amp;IF(MOD(ROUND(B119*64,0),64)&gt;0,MOD(ROUND(B119*64,0),64)/GCD(MOD(ROUND(B119*64,0),64),64)&amp;"/"&amp;64/GCD(MOD(ROUND(B119*64,0),64),64),IF(ROUND(B119*64,0)=0,"0",""))&amp;""""))</f>
        <v>1 53/64"</v>
      </c>
      <c r="B119" s="48" t="n">
        <f aca="false">117/64</f>
        <v>1.828125</v>
      </c>
      <c r="C119" s="49" t="n">
        <f aca="false">B119*25.4</f>
        <v>46.434375</v>
      </c>
      <c r="D119" s="50" t="n">
        <f aca="false">B119/2</f>
        <v>0.9140625</v>
      </c>
      <c r="E119" s="49" t="n">
        <f aca="false">C119/2</f>
        <v>23.2171875</v>
      </c>
    </row>
    <row r="120" customFormat="false" ht="15" hidden="false" customHeight="false" outlineLevel="0" collapsed="false">
      <c r="A120" s="51" t="str">
        <f aca="false">IF(NOT(ISNUMBER(B120)),"",IF(B120&lt;=0,"",IF(ABS(B120*64-ROUND(B120*64,0))&gt;0.0005,"≈ ","")&amp;IF(INT(ROUND(B120*64,0)/64)&gt;0,INT(ROUND(B120*64,0)/64)&amp;IF(MOD(ROUND(B120*64,0),64)&gt;0," ",""),"")&amp;IF(MOD(ROUND(B120*64,0),64)&gt;0,MOD(ROUND(B120*64,0),64)/GCD(MOD(ROUND(B120*64,0),64),64)&amp;"/"&amp;64/GCD(MOD(ROUND(B120*64,0),64),64),IF(ROUND(B120*64,0)=0,"0",""))&amp;""""))</f>
        <v>1 27/32"</v>
      </c>
      <c r="B120" s="52" t="n">
        <f aca="false">118/64</f>
        <v>1.84375</v>
      </c>
      <c r="C120" s="53" t="n">
        <f aca="false">B120*25.4</f>
        <v>46.83125</v>
      </c>
      <c r="D120" s="54" t="n">
        <f aca="false">B120/2</f>
        <v>0.921875</v>
      </c>
      <c r="E120" s="53" t="n">
        <f aca="false">C120/2</f>
        <v>23.415625</v>
      </c>
    </row>
    <row r="121" customFormat="false" ht="15" hidden="false" customHeight="false" outlineLevel="0" collapsed="false">
      <c r="A121" s="30" t="str">
        <f aca="false">IF(NOT(ISNUMBER(B121)),"",IF(B121&lt;=0,"",IF(ABS(B121*64-ROUND(B121*64,0))&gt;0.0005,"≈ ","")&amp;IF(INT(ROUND(B121*64,0)/64)&gt;0,INT(ROUND(B121*64,0)/64)&amp;IF(MOD(ROUND(B121*64,0),64)&gt;0," ",""),"")&amp;IF(MOD(ROUND(B121*64,0),64)&gt;0,MOD(ROUND(B121*64,0),64)/GCD(MOD(ROUND(B121*64,0),64),64)&amp;"/"&amp;64/GCD(MOD(ROUND(B121*64,0),64),64),IF(ROUND(B121*64,0)=0,"0",""))&amp;""""))</f>
        <v>1 55/64"</v>
      </c>
      <c r="B121" s="48" t="n">
        <f aca="false">119/64</f>
        <v>1.859375</v>
      </c>
      <c r="C121" s="49" t="n">
        <f aca="false">B121*25.4</f>
        <v>47.228125</v>
      </c>
      <c r="D121" s="50" t="n">
        <f aca="false">B121/2</f>
        <v>0.9296875</v>
      </c>
      <c r="E121" s="49" t="n">
        <f aca="false">C121/2</f>
        <v>23.6140625</v>
      </c>
    </row>
    <row r="122" customFormat="false" ht="15" hidden="false" customHeight="false" outlineLevel="0" collapsed="false">
      <c r="A122" s="51" t="str">
        <f aca="false">IF(NOT(ISNUMBER(B122)),"",IF(B122&lt;=0,"",IF(ABS(B122*64-ROUND(B122*64,0))&gt;0.0005,"≈ ","")&amp;IF(INT(ROUND(B122*64,0)/64)&gt;0,INT(ROUND(B122*64,0)/64)&amp;IF(MOD(ROUND(B122*64,0),64)&gt;0," ",""),"")&amp;IF(MOD(ROUND(B122*64,0),64)&gt;0,MOD(ROUND(B122*64,0),64)/GCD(MOD(ROUND(B122*64,0),64),64)&amp;"/"&amp;64/GCD(MOD(ROUND(B122*64,0),64),64),IF(ROUND(B122*64,0)=0,"0",""))&amp;""""))</f>
        <v>1 7/8"</v>
      </c>
      <c r="B122" s="52" t="n">
        <f aca="false">120/64</f>
        <v>1.875</v>
      </c>
      <c r="C122" s="53" t="n">
        <f aca="false">B122*25.4</f>
        <v>47.625</v>
      </c>
      <c r="D122" s="54" t="n">
        <f aca="false">B122/2</f>
        <v>0.9375</v>
      </c>
      <c r="E122" s="53" t="n">
        <f aca="false">C122/2</f>
        <v>23.8125</v>
      </c>
    </row>
    <row r="123" customFormat="false" ht="15" hidden="false" customHeight="false" outlineLevel="0" collapsed="false">
      <c r="A123" s="30" t="str">
        <f aca="false">IF(NOT(ISNUMBER(B123)),"",IF(B123&lt;=0,"",IF(ABS(B123*64-ROUND(B123*64,0))&gt;0.0005,"≈ ","")&amp;IF(INT(ROUND(B123*64,0)/64)&gt;0,INT(ROUND(B123*64,0)/64)&amp;IF(MOD(ROUND(B123*64,0),64)&gt;0," ",""),"")&amp;IF(MOD(ROUND(B123*64,0),64)&gt;0,MOD(ROUND(B123*64,0),64)/GCD(MOD(ROUND(B123*64,0),64),64)&amp;"/"&amp;64/GCD(MOD(ROUND(B123*64,0),64),64),IF(ROUND(B123*64,0)=0,"0",""))&amp;""""))</f>
        <v>1 57/64"</v>
      </c>
      <c r="B123" s="48" t="n">
        <f aca="false">121/64</f>
        <v>1.890625</v>
      </c>
      <c r="C123" s="49" t="n">
        <f aca="false">B123*25.4</f>
        <v>48.021875</v>
      </c>
      <c r="D123" s="50" t="n">
        <f aca="false">B123/2</f>
        <v>0.9453125</v>
      </c>
      <c r="E123" s="49" t="n">
        <f aca="false">C123/2</f>
        <v>24.0109375</v>
      </c>
    </row>
    <row r="124" customFormat="false" ht="15" hidden="false" customHeight="false" outlineLevel="0" collapsed="false">
      <c r="A124" s="51" t="str">
        <f aca="false">IF(NOT(ISNUMBER(B124)),"",IF(B124&lt;=0,"",IF(ABS(B124*64-ROUND(B124*64,0))&gt;0.0005,"≈ ","")&amp;IF(INT(ROUND(B124*64,0)/64)&gt;0,INT(ROUND(B124*64,0)/64)&amp;IF(MOD(ROUND(B124*64,0),64)&gt;0," ",""),"")&amp;IF(MOD(ROUND(B124*64,0),64)&gt;0,MOD(ROUND(B124*64,0),64)/GCD(MOD(ROUND(B124*64,0),64),64)&amp;"/"&amp;64/GCD(MOD(ROUND(B124*64,0),64),64),IF(ROUND(B124*64,0)=0,"0",""))&amp;""""))</f>
        <v>1 29/32"</v>
      </c>
      <c r="B124" s="52" t="n">
        <f aca="false">122/64</f>
        <v>1.90625</v>
      </c>
      <c r="C124" s="53" t="n">
        <f aca="false">B124*25.4</f>
        <v>48.41875</v>
      </c>
      <c r="D124" s="54" t="n">
        <f aca="false">B124/2</f>
        <v>0.953125</v>
      </c>
      <c r="E124" s="53" t="n">
        <f aca="false">C124/2</f>
        <v>24.209375</v>
      </c>
    </row>
    <row r="125" customFormat="false" ht="15" hidden="false" customHeight="false" outlineLevel="0" collapsed="false">
      <c r="A125" s="30" t="str">
        <f aca="false">IF(NOT(ISNUMBER(B125)),"",IF(B125&lt;=0,"",IF(ABS(B125*64-ROUND(B125*64,0))&gt;0.0005,"≈ ","")&amp;IF(INT(ROUND(B125*64,0)/64)&gt;0,INT(ROUND(B125*64,0)/64)&amp;IF(MOD(ROUND(B125*64,0),64)&gt;0," ",""),"")&amp;IF(MOD(ROUND(B125*64,0),64)&gt;0,MOD(ROUND(B125*64,0),64)/GCD(MOD(ROUND(B125*64,0),64),64)&amp;"/"&amp;64/GCD(MOD(ROUND(B125*64,0),64),64),IF(ROUND(B125*64,0)=0,"0",""))&amp;""""))</f>
        <v>1 59/64"</v>
      </c>
      <c r="B125" s="48" t="n">
        <f aca="false">123/64</f>
        <v>1.921875</v>
      </c>
      <c r="C125" s="49" t="n">
        <f aca="false">B125*25.4</f>
        <v>48.815625</v>
      </c>
      <c r="D125" s="50" t="n">
        <f aca="false">B125/2</f>
        <v>0.9609375</v>
      </c>
      <c r="E125" s="49" t="n">
        <f aca="false">C125/2</f>
        <v>24.4078125</v>
      </c>
    </row>
    <row r="126" customFormat="false" ht="15" hidden="false" customHeight="false" outlineLevel="0" collapsed="false">
      <c r="A126" s="51" t="str">
        <f aca="false">IF(NOT(ISNUMBER(B126)),"",IF(B126&lt;=0,"",IF(ABS(B126*64-ROUND(B126*64,0))&gt;0.0005,"≈ ","")&amp;IF(INT(ROUND(B126*64,0)/64)&gt;0,INT(ROUND(B126*64,0)/64)&amp;IF(MOD(ROUND(B126*64,0),64)&gt;0," ",""),"")&amp;IF(MOD(ROUND(B126*64,0),64)&gt;0,MOD(ROUND(B126*64,0),64)/GCD(MOD(ROUND(B126*64,0),64),64)&amp;"/"&amp;64/GCD(MOD(ROUND(B126*64,0),64),64),IF(ROUND(B126*64,0)=0,"0",""))&amp;""""))</f>
        <v>1 15/16"</v>
      </c>
      <c r="B126" s="52" t="n">
        <f aca="false">124/64</f>
        <v>1.9375</v>
      </c>
      <c r="C126" s="53" t="n">
        <f aca="false">B126*25.4</f>
        <v>49.2125</v>
      </c>
      <c r="D126" s="54" t="n">
        <f aca="false">B126/2</f>
        <v>0.96875</v>
      </c>
      <c r="E126" s="53" t="n">
        <f aca="false">C126/2</f>
        <v>24.60625</v>
      </c>
    </row>
    <row r="127" customFormat="false" ht="15" hidden="false" customHeight="false" outlineLevel="0" collapsed="false">
      <c r="A127" s="30" t="str">
        <f aca="false">IF(NOT(ISNUMBER(B127)),"",IF(B127&lt;=0,"",IF(ABS(B127*64-ROUND(B127*64,0))&gt;0.0005,"≈ ","")&amp;IF(INT(ROUND(B127*64,0)/64)&gt;0,INT(ROUND(B127*64,0)/64)&amp;IF(MOD(ROUND(B127*64,0),64)&gt;0," ",""),"")&amp;IF(MOD(ROUND(B127*64,0),64)&gt;0,MOD(ROUND(B127*64,0),64)/GCD(MOD(ROUND(B127*64,0),64),64)&amp;"/"&amp;64/GCD(MOD(ROUND(B127*64,0),64),64),IF(ROUND(B127*64,0)=0,"0",""))&amp;""""))</f>
        <v>1 61/64"</v>
      </c>
      <c r="B127" s="48" t="n">
        <f aca="false">125/64</f>
        <v>1.953125</v>
      </c>
      <c r="C127" s="49" t="n">
        <f aca="false">B127*25.4</f>
        <v>49.609375</v>
      </c>
      <c r="D127" s="50" t="n">
        <f aca="false">B127/2</f>
        <v>0.9765625</v>
      </c>
      <c r="E127" s="49" t="n">
        <f aca="false">C127/2</f>
        <v>24.8046875</v>
      </c>
    </row>
    <row r="128" customFormat="false" ht="15" hidden="false" customHeight="false" outlineLevel="0" collapsed="false">
      <c r="A128" s="51" t="str">
        <f aca="false">IF(NOT(ISNUMBER(B128)),"",IF(B128&lt;=0,"",IF(ABS(B128*64-ROUND(B128*64,0))&gt;0.0005,"≈ ","")&amp;IF(INT(ROUND(B128*64,0)/64)&gt;0,INT(ROUND(B128*64,0)/64)&amp;IF(MOD(ROUND(B128*64,0),64)&gt;0," ",""),"")&amp;IF(MOD(ROUND(B128*64,0),64)&gt;0,MOD(ROUND(B128*64,0),64)/GCD(MOD(ROUND(B128*64,0),64),64)&amp;"/"&amp;64/GCD(MOD(ROUND(B128*64,0),64),64),IF(ROUND(B128*64,0)=0,"0",""))&amp;""""))</f>
        <v>1 31/32"</v>
      </c>
      <c r="B128" s="52" t="n">
        <f aca="false">126/64</f>
        <v>1.96875</v>
      </c>
      <c r="C128" s="53" t="n">
        <f aca="false">B128*25.4</f>
        <v>50.00625</v>
      </c>
      <c r="D128" s="54" t="n">
        <f aca="false">B128/2</f>
        <v>0.984375</v>
      </c>
      <c r="E128" s="53" t="n">
        <f aca="false">C128/2</f>
        <v>25.003125</v>
      </c>
    </row>
    <row r="129" customFormat="false" ht="15" hidden="false" customHeight="false" outlineLevel="0" collapsed="false">
      <c r="A129" s="30" t="str">
        <f aca="false">IF(NOT(ISNUMBER(B129)),"",IF(B129&lt;=0,"",IF(ABS(B129*64-ROUND(B129*64,0))&gt;0.0005,"≈ ","")&amp;IF(INT(ROUND(B129*64,0)/64)&gt;0,INT(ROUND(B129*64,0)/64)&amp;IF(MOD(ROUND(B129*64,0),64)&gt;0," ",""),"")&amp;IF(MOD(ROUND(B129*64,0),64)&gt;0,MOD(ROUND(B129*64,0),64)/GCD(MOD(ROUND(B129*64,0),64),64)&amp;"/"&amp;64/GCD(MOD(ROUND(B129*64,0),64),64),IF(ROUND(B129*64,0)=0,"0",""))&amp;""""))</f>
        <v>1 63/64"</v>
      </c>
      <c r="B129" s="48" t="n">
        <f aca="false">127/64</f>
        <v>1.984375</v>
      </c>
      <c r="C129" s="49" t="n">
        <f aca="false">B129*25.4</f>
        <v>50.403125</v>
      </c>
      <c r="D129" s="50" t="n">
        <f aca="false">B129/2</f>
        <v>0.9921875</v>
      </c>
      <c r="E129" s="49" t="n">
        <f aca="false">C129/2</f>
        <v>25.2015625</v>
      </c>
    </row>
    <row r="130" customFormat="false" ht="15" hidden="false" customHeight="false" outlineLevel="0" collapsed="false">
      <c r="A130" s="51" t="str">
        <f aca="false">IF(NOT(ISNUMBER(B130)),"",IF(B130&lt;=0,"",IF(ABS(B130*64-ROUND(B130*64,0))&gt;0.0005,"≈ ","")&amp;IF(INT(ROUND(B130*64,0)/64)&gt;0,INT(ROUND(B130*64,0)/64)&amp;IF(MOD(ROUND(B130*64,0),64)&gt;0," ",""),"")&amp;IF(MOD(ROUND(B130*64,0),64)&gt;0,MOD(ROUND(B130*64,0),64)/GCD(MOD(ROUND(B130*64,0),64),64)&amp;"/"&amp;64/GCD(MOD(ROUND(B130*64,0),64),64),IF(ROUND(B130*64,0)=0,"0",""))&amp;""""))</f>
        <v>2"</v>
      </c>
      <c r="B130" s="52" t="n">
        <f aca="false">128/64</f>
        <v>2</v>
      </c>
      <c r="C130" s="53" t="n">
        <f aca="false">B130*25.4</f>
        <v>50.8</v>
      </c>
      <c r="D130" s="54" t="n">
        <f aca="false">B130/2</f>
        <v>1</v>
      </c>
      <c r="E130" s="53" t="n">
        <f aca="false">C130/2</f>
        <v>25.4</v>
      </c>
    </row>
    <row r="131" customFormat="false" ht="15" hidden="false" customHeight="false" outlineLevel="0" collapsed="false">
      <c r="A131" s="30" t="str">
        <f aca="false">IF(NOT(ISNUMBER(B131)),"",IF(B131&lt;=0,"",IF(ABS(B131*64-ROUND(B131*64,0))&gt;0.0005,"≈ ","")&amp;IF(INT(ROUND(B131*64,0)/64)&gt;0,INT(ROUND(B131*64,0)/64)&amp;IF(MOD(ROUND(B131*64,0),64)&gt;0," ",""),"")&amp;IF(MOD(ROUND(B131*64,0),64)&gt;0,MOD(ROUND(B131*64,0),64)/GCD(MOD(ROUND(B131*64,0),64),64)&amp;"/"&amp;64/GCD(MOD(ROUND(B131*64,0),64),64),IF(ROUND(B131*64,0)=0,"0",""))&amp;""""))</f>
        <v>2 1/64"</v>
      </c>
      <c r="B131" s="48" t="n">
        <f aca="false">129/64</f>
        <v>2.015625</v>
      </c>
      <c r="C131" s="49" t="n">
        <f aca="false">B131*25.4</f>
        <v>51.196875</v>
      </c>
      <c r="D131" s="50" t="n">
        <f aca="false">B131/2</f>
        <v>1.0078125</v>
      </c>
      <c r="E131" s="49" t="n">
        <f aca="false">C131/2</f>
        <v>25.5984375</v>
      </c>
    </row>
    <row r="132" customFormat="false" ht="15" hidden="false" customHeight="false" outlineLevel="0" collapsed="false">
      <c r="A132" s="51" t="str">
        <f aca="false">IF(NOT(ISNUMBER(B132)),"",IF(B132&lt;=0,"",IF(ABS(B132*64-ROUND(B132*64,0))&gt;0.0005,"≈ ","")&amp;IF(INT(ROUND(B132*64,0)/64)&gt;0,INT(ROUND(B132*64,0)/64)&amp;IF(MOD(ROUND(B132*64,0),64)&gt;0," ",""),"")&amp;IF(MOD(ROUND(B132*64,0),64)&gt;0,MOD(ROUND(B132*64,0),64)/GCD(MOD(ROUND(B132*64,0),64),64)&amp;"/"&amp;64/GCD(MOD(ROUND(B132*64,0),64),64),IF(ROUND(B132*64,0)=0,"0",""))&amp;""""))</f>
        <v>2 1/32"</v>
      </c>
      <c r="B132" s="52" t="n">
        <f aca="false">130/64</f>
        <v>2.03125</v>
      </c>
      <c r="C132" s="53" t="n">
        <f aca="false">B132*25.4</f>
        <v>51.59375</v>
      </c>
      <c r="D132" s="54" t="n">
        <f aca="false">B132/2</f>
        <v>1.015625</v>
      </c>
      <c r="E132" s="53" t="n">
        <f aca="false">C132/2</f>
        <v>25.796875</v>
      </c>
    </row>
    <row r="133" customFormat="false" ht="15" hidden="false" customHeight="false" outlineLevel="0" collapsed="false">
      <c r="A133" s="30" t="str">
        <f aca="false">IF(NOT(ISNUMBER(B133)),"",IF(B133&lt;=0,"",IF(ABS(B133*64-ROUND(B133*64,0))&gt;0.0005,"≈ ","")&amp;IF(INT(ROUND(B133*64,0)/64)&gt;0,INT(ROUND(B133*64,0)/64)&amp;IF(MOD(ROUND(B133*64,0),64)&gt;0," ",""),"")&amp;IF(MOD(ROUND(B133*64,0),64)&gt;0,MOD(ROUND(B133*64,0),64)/GCD(MOD(ROUND(B133*64,0),64),64)&amp;"/"&amp;64/GCD(MOD(ROUND(B133*64,0),64),64),IF(ROUND(B133*64,0)=0,"0",""))&amp;""""))</f>
        <v>2 3/64"</v>
      </c>
      <c r="B133" s="48" t="n">
        <f aca="false">131/64</f>
        <v>2.046875</v>
      </c>
      <c r="C133" s="49" t="n">
        <f aca="false">B133*25.4</f>
        <v>51.990625</v>
      </c>
      <c r="D133" s="50" t="n">
        <f aca="false">B133/2</f>
        <v>1.0234375</v>
      </c>
      <c r="E133" s="49" t="n">
        <f aca="false">C133/2</f>
        <v>25.9953125</v>
      </c>
    </row>
    <row r="134" customFormat="false" ht="15" hidden="false" customHeight="false" outlineLevel="0" collapsed="false">
      <c r="A134" s="51" t="str">
        <f aca="false">IF(NOT(ISNUMBER(B134)),"",IF(B134&lt;=0,"",IF(ABS(B134*64-ROUND(B134*64,0))&gt;0.0005,"≈ ","")&amp;IF(INT(ROUND(B134*64,0)/64)&gt;0,INT(ROUND(B134*64,0)/64)&amp;IF(MOD(ROUND(B134*64,0),64)&gt;0," ",""),"")&amp;IF(MOD(ROUND(B134*64,0),64)&gt;0,MOD(ROUND(B134*64,0),64)/GCD(MOD(ROUND(B134*64,0),64),64)&amp;"/"&amp;64/GCD(MOD(ROUND(B134*64,0),64),64),IF(ROUND(B134*64,0)=0,"0",""))&amp;""""))</f>
        <v>2 1/16"</v>
      </c>
      <c r="B134" s="52" t="n">
        <f aca="false">132/64</f>
        <v>2.0625</v>
      </c>
      <c r="C134" s="53" t="n">
        <f aca="false">B134*25.4</f>
        <v>52.3875</v>
      </c>
      <c r="D134" s="54" t="n">
        <f aca="false">B134/2</f>
        <v>1.03125</v>
      </c>
      <c r="E134" s="53" t="n">
        <f aca="false">C134/2</f>
        <v>26.19375</v>
      </c>
    </row>
    <row r="135" customFormat="false" ht="15" hidden="false" customHeight="false" outlineLevel="0" collapsed="false">
      <c r="A135" s="30" t="str">
        <f aca="false">IF(NOT(ISNUMBER(B135)),"",IF(B135&lt;=0,"",IF(ABS(B135*64-ROUND(B135*64,0))&gt;0.0005,"≈ ","")&amp;IF(INT(ROUND(B135*64,0)/64)&gt;0,INT(ROUND(B135*64,0)/64)&amp;IF(MOD(ROUND(B135*64,0),64)&gt;0," ",""),"")&amp;IF(MOD(ROUND(B135*64,0),64)&gt;0,MOD(ROUND(B135*64,0),64)/GCD(MOD(ROUND(B135*64,0),64),64)&amp;"/"&amp;64/GCD(MOD(ROUND(B135*64,0),64),64),IF(ROUND(B135*64,0)=0,"0",""))&amp;""""))</f>
        <v>2 5/64"</v>
      </c>
      <c r="B135" s="48" t="n">
        <f aca="false">133/64</f>
        <v>2.078125</v>
      </c>
      <c r="C135" s="49" t="n">
        <f aca="false">B135*25.4</f>
        <v>52.784375</v>
      </c>
      <c r="D135" s="50" t="n">
        <f aca="false">B135/2</f>
        <v>1.0390625</v>
      </c>
      <c r="E135" s="49" t="n">
        <f aca="false">C135/2</f>
        <v>26.3921875</v>
      </c>
    </row>
    <row r="136" customFormat="false" ht="15" hidden="false" customHeight="false" outlineLevel="0" collapsed="false">
      <c r="A136" s="51" t="str">
        <f aca="false">IF(NOT(ISNUMBER(B136)),"",IF(B136&lt;=0,"",IF(ABS(B136*64-ROUND(B136*64,0))&gt;0.0005,"≈ ","")&amp;IF(INT(ROUND(B136*64,0)/64)&gt;0,INT(ROUND(B136*64,0)/64)&amp;IF(MOD(ROUND(B136*64,0),64)&gt;0," ",""),"")&amp;IF(MOD(ROUND(B136*64,0),64)&gt;0,MOD(ROUND(B136*64,0),64)/GCD(MOD(ROUND(B136*64,0),64),64)&amp;"/"&amp;64/GCD(MOD(ROUND(B136*64,0),64),64),IF(ROUND(B136*64,0)=0,"0",""))&amp;""""))</f>
        <v>2 3/32"</v>
      </c>
      <c r="B136" s="52" t="n">
        <f aca="false">134/64</f>
        <v>2.09375</v>
      </c>
      <c r="C136" s="53" t="n">
        <f aca="false">B136*25.4</f>
        <v>53.18125</v>
      </c>
      <c r="D136" s="54" t="n">
        <f aca="false">B136/2</f>
        <v>1.046875</v>
      </c>
      <c r="E136" s="53" t="n">
        <f aca="false">C136/2</f>
        <v>26.590625</v>
      </c>
    </row>
    <row r="137" customFormat="false" ht="15" hidden="false" customHeight="false" outlineLevel="0" collapsed="false">
      <c r="A137" s="30" t="str">
        <f aca="false">IF(NOT(ISNUMBER(B137)),"",IF(B137&lt;=0,"",IF(ABS(B137*64-ROUND(B137*64,0))&gt;0.0005,"≈ ","")&amp;IF(INT(ROUND(B137*64,0)/64)&gt;0,INT(ROUND(B137*64,0)/64)&amp;IF(MOD(ROUND(B137*64,0),64)&gt;0," ",""),"")&amp;IF(MOD(ROUND(B137*64,0),64)&gt;0,MOD(ROUND(B137*64,0),64)/GCD(MOD(ROUND(B137*64,0),64),64)&amp;"/"&amp;64/GCD(MOD(ROUND(B137*64,0),64),64),IF(ROUND(B137*64,0)=0,"0",""))&amp;""""))</f>
        <v>2 7/64"</v>
      </c>
      <c r="B137" s="48" t="n">
        <f aca="false">135/64</f>
        <v>2.109375</v>
      </c>
      <c r="C137" s="49" t="n">
        <f aca="false">B137*25.4</f>
        <v>53.578125</v>
      </c>
      <c r="D137" s="50" t="n">
        <f aca="false">B137/2</f>
        <v>1.0546875</v>
      </c>
      <c r="E137" s="49" t="n">
        <f aca="false">C137/2</f>
        <v>26.7890625</v>
      </c>
    </row>
    <row r="138" customFormat="false" ht="15" hidden="false" customHeight="false" outlineLevel="0" collapsed="false">
      <c r="A138" s="51" t="str">
        <f aca="false">IF(NOT(ISNUMBER(B138)),"",IF(B138&lt;=0,"",IF(ABS(B138*64-ROUND(B138*64,0))&gt;0.0005,"≈ ","")&amp;IF(INT(ROUND(B138*64,0)/64)&gt;0,INT(ROUND(B138*64,0)/64)&amp;IF(MOD(ROUND(B138*64,0),64)&gt;0," ",""),"")&amp;IF(MOD(ROUND(B138*64,0),64)&gt;0,MOD(ROUND(B138*64,0),64)/GCD(MOD(ROUND(B138*64,0),64),64)&amp;"/"&amp;64/GCD(MOD(ROUND(B138*64,0),64),64),IF(ROUND(B138*64,0)=0,"0",""))&amp;""""))</f>
        <v>2 1/8"</v>
      </c>
      <c r="B138" s="52" t="n">
        <f aca="false">136/64</f>
        <v>2.125</v>
      </c>
      <c r="C138" s="53" t="n">
        <f aca="false">B138*25.4</f>
        <v>53.975</v>
      </c>
      <c r="D138" s="54" t="n">
        <f aca="false">B138/2</f>
        <v>1.0625</v>
      </c>
      <c r="E138" s="53" t="n">
        <f aca="false">C138/2</f>
        <v>26.9875</v>
      </c>
    </row>
    <row r="139" customFormat="false" ht="15" hidden="false" customHeight="false" outlineLevel="0" collapsed="false">
      <c r="A139" s="30" t="str">
        <f aca="false">IF(NOT(ISNUMBER(B139)),"",IF(B139&lt;=0,"",IF(ABS(B139*64-ROUND(B139*64,0))&gt;0.0005,"≈ ","")&amp;IF(INT(ROUND(B139*64,0)/64)&gt;0,INT(ROUND(B139*64,0)/64)&amp;IF(MOD(ROUND(B139*64,0),64)&gt;0," ",""),"")&amp;IF(MOD(ROUND(B139*64,0),64)&gt;0,MOD(ROUND(B139*64,0),64)/GCD(MOD(ROUND(B139*64,0),64),64)&amp;"/"&amp;64/GCD(MOD(ROUND(B139*64,0),64),64),IF(ROUND(B139*64,0)=0,"0",""))&amp;""""))</f>
        <v>2 9/64"</v>
      </c>
      <c r="B139" s="48" t="n">
        <f aca="false">137/64</f>
        <v>2.140625</v>
      </c>
      <c r="C139" s="49" t="n">
        <f aca="false">B139*25.4</f>
        <v>54.371875</v>
      </c>
      <c r="D139" s="50" t="n">
        <f aca="false">B139/2</f>
        <v>1.0703125</v>
      </c>
      <c r="E139" s="49" t="n">
        <f aca="false">C139/2</f>
        <v>27.1859375</v>
      </c>
    </row>
    <row r="140" customFormat="false" ht="15" hidden="false" customHeight="false" outlineLevel="0" collapsed="false">
      <c r="A140" s="51" t="str">
        <f aca="false">IF(NOT(ISNUMBER(B140)),"",IF(B140&lt;=0,"",IF(ABS(B140*64-ROUND(B140*64,0))&gt;0.0005,"≈ ","")&amp;IF(INT(ROUND(B140*64,0)/64)&gt;0,INT(ROUND(B140*64,0)/64)&amp;IF(MOD(ROUND(B140*64,0),64)&gt;0," ",""),"")&amp;IF(MOD(ROUND(B140*64,0),64)&gt;0,MOD(ROUND(B140*64,0),64)/GCD(MOD(ROUND(B140*64,0),64),64)&amp;"/"&amp;64/GCD(MOD(ROUND(B140*64,0),64),64),IF(ROUND(B140*64,0)=0,"0",""))&amp;""""))</f>
        <v>2 5/32"</v>
      </c>
      <c r="B140" s="52" t="n">
        <f aca="false">138/64</f>
        <v>2.15625</v>
      </c>
      <c r="C140" s="53" t="n">
        <f aca="false">B140*25.4</f>
        <v>54.76875</v>
      </c>
      <c r="D140" s="54" t="n">
        <f aca="false">B140/2</f>
        <v>1.078125</v>
      </c>
      <c r="E140" s="53" t="n">
        <f aca="false">C140/2</f>
        <v>27.384375</v>
      </c>
    </row>
    <row r="141" customFormat="false" ht="15" hidden="false" customHeight="false" outlineLevel="0" collapsed="false">
      <c r="A141" s="30" t="str">
        <f aca="false">IF(NOT(ISNUMBER(B141)),"",IF(B141&lt;=0,"",IF(ABS(B141*64-ROUND(B141*64,0))&gt;0.0005,"≈ ","")&amp;IF(INT(ROUND(B141*64,0)/64)&gt;0,INT(ROUND(B141*64,0)/64)&amp;IF(MOD(ROUND(B141*64,0),64)&gt;0," ",""),"")&amp;IF(MOD(ROUND(B141*64,0),64)&gt;0,MOD(ROUND(B141*64,0),64)/GCD(MOD(ROUND(B141*64,0),64),64)&amp;"/"&amp;64/GCD(MOD(ROUND(B141*64,0),64),64),IF(ROUND(B141*64,0)=0,"0",""))&amp;""""))</f>
        <v>2 11/64"</v>
      </c>
      <c r="B141" s="48" t="n">
        <f aca="false">139/64</f>
        <v>2.171875</v>
      </c>
      <c r="C141" s="49" t="n">
        <f aca="false">B141*25.4</f>
        <v>55.165625</v>
      </c>
      <c r="D141" s="50" t="n">
        <f aca="false">B141/2</f>
        <v>1.0859375</v>
      </c>
      <c r="E141" s="49" t="n">
        <f aca="false">C141/2</f>
        <v>27.5828125</v>
      </c>
    </row>
    <row r="142" customFormat="false" ht="15" hidden="false" customHeight="false" outlineLevel="0" collapsed="false">
      <c r="A142" s="51" t="str">
        <f aca="false">IF(NOT(ISNUMBER(B142)),"",IF(B142&lt;=0,"",IF(ABS(B142*64-ROUND(B142*64,0))&gt;0.0005,"≈ ","")&amp;IF(INT(ROUND(B142*64,0)/64)&gt;0,INT(ROUND(B142*64,0)/64)&amp;IF(MOD(ROUND(B142*64,0),64)&gt;0," ",""),"")&amp;IF(MOD(ROUND(B142*64,0),64)&gt;0,MOD(ROUND(B142*64,0),64)/GCD(MOD(ROUND(B142*64,0),64),64)&amp;"/"&amp;64/GCD(MOD(ROUND(B142*64,0),64),64),IF(ROUND(B142*64,0)=0,"0",""))&amp;""""))</f>
        <v>2 3/16"</v>
      </c>
      <c r="B142" s="52" t="n">
        <f aca="false">140/64</f>
        <v>2.1875</v>
      </c>
      <c r="C142" s="53" t="n">
        <f aca="false">B142*25.4</f>
        <v>55.5625</v>
      </c>
      <c r="D142" s="54" t="n">
        <f aca="false">B142/2</f>
        <v>1.09375</v>
      </c>
      <c r="E142" s="53" t="n">
        <f aca="false">C142/2</f>
        <v>27.78125</v>
      </c>
    </row>
    <row r="143" customFormat="false" ht="15" hidden="false" customHeight="false" outlineLevel="0" collapsed="false">
      <c r="A143" s="30" t="str">
        <f aca="false">IF(NOT(ISNUMBER(B143)),"",IF(B143&lt;=0,"",IF(ABS(B143*64-ROUND(B143*64,0))&gt;0.0005,"≈ ","")&amp;IF(INT(ROUND(B143*64,0)/64)&gt;0,INT(ROUND(B143*64,0)/64)&amp;IF(MOD(ROUND(B143*64,0),64)&gt;0," ",""),"")&amp;IF(MOD(ROUND(B143*64,0),64)&gt;0,MOD(ROUND(B143*64,0),64)/GCD(MOD(ROUND(B143*64,0),64),64)&amp;"/"&amp;64/GCD(MOD(ROUND(B143*64,0),64),64),IF(ROUND(B143*64,0)=0,"0",""))&amp;""""))</f>
        <v>2 13/64"</v>
      </c>
      <c r="B143" s="48" t="n">
        <f aca="false">141/64</f>
        <v>2.203125</v>
      </c>
      <c r="C143" s="49" t="n">
        <f aca="false">B143*25.4</f>
        <v>55.959375</v>
      </c>
      <c r="D143" s="50" t="n">
        <f aca="false">B143/2</f>
        <v>1.1015625</v>
      </c>
      <c r="E143" s="49" t="n">
        <f aca="false">C143/2</f>
        <v>27.9796875</v>
      </c>
    </row>
    <row r="144" customFormat="false" ht="15" hidden="false" customHeight="false" outlineLevel="0" collapsed="false">
      <c r="A144" s="51" t="str">
        <f aca="false">IF(NOT(ISNUMBER(B144)),"",IF(B144&lt;=0,"",IF(ABS(B144*64-ROUND(B144*64,0))&gt;0.0005,"≈ ","")&amp;IF(INT(ROUND(B144*64,0)/64)&gt;0,INT(ROUND(B144*64,0)/64)&amp;IF(MOD(ROUND(B144*64,0),64)&gt;0," ",""),"")&amp;IF(MOD(ROUND(B144*64,0),64)&gt;0,MOD(ROUND(B144*64,0),64)/GCD(MOD(ROUND(B144*64,0),64),64)&amp;"/"&amp;64/GCD(MOD(ROUND(B144*64,0),64),64),IF(ROUND(B144*64,0)=0,"0",""))&amp;""""))</f>
        <v>2 7/32"</v>
      </c>
      <c r="B144" s="52" t="n">
        <f aca="false">142/64</f>
        <v>2.21875</v>
      </c>
      <c r="C144" s="53" t="n">
        <f aca="false">B144*25.4</f>
        <v>56.35625</v>
      </c>
      <c r="D144" s="54" t="n">
        <f aca="false">B144/2</f>
        <v>1.109375</v>
      </c>
      <c r="E144" s="53" t="n">
        <f aca="false">C144/2</f>
        <v>28.178125</v>
      </c>
    </row>
    <row r="145" customFormat="false" ht="15" hidden="false" customHeight="false" outlineLevel="0" collapsed="false">
      <c r="A145" s="30" t="str">
        <f aca="false">IF(NOT(ISNUMBER(B145)),"",IF(B145&lt;=0,"",IF(ABS(B145*64-ROUND(B145*64,0))&gt;0.0005,"≈ ","")&amp;IF(INT(ROUND(B145*64,0)/64)&gt;0,INT(ROUND(B145*64,0)/64)&amp;IF(MOD(ROUND(B145*64,0),64)&gt;0," ",""),"")&amp;IF(MOD(ROUND(B145*64,0),64)&gt;0,MOD(ROUND(B145*64,0),64)/GCD(MOD(ROUND(B145*64,0),64),64)&amp;"/"&amp;64/GCD(MOD(ROUND(B145*64,0),64),64),IF(ROUND(B145*64,0)=0,"0",""))&amp;""""))</f>
        <v>2 15/64"</v>
      </c>
      <c r="B145" s="48" t="n">
        <f aca="false">143/64</f>
        <v>2.234375</v>
      </c>
      <c r="C145" s="49" t="n">
        <f aca="false">B145*25.4</f>
        <v>56.753125</v>
      </c>
      <c r="D145" s="50" t="n">
        <f aca="false">B145/2</f>
        <v>1.1171875</v>
      </c>
      <c r="E145" s="49" t="n">
        <f aca="false">C145/2</f>
        <v>28.3765625</v>
      </c>
    </row>
    <row r="146" customFormat="false" ht="15" hidden="false" customHeight="false" outlineLevel="0" collapsed="false">
      <c r="A146" s="51" t="str">
        <f aca="false">IF(NOT(ISNUMBER(B146)),"",IF(B146&lt;=0,"",IF(ABS(B146*64-ROUND(B146*64,0))&gt;0.0005,"≈ ","")&amp;IF(INT(ROUND(B146*64,0)/64)&gt;0,INT(ROUND(B146*64,0)/64)&amp;IF(MOD(ROUND(B146*64,0),64)&gt;0," ",""),"")&amp;IF(MOD(ROUND(B146*64,0),64)&gt;0,MOD(ROUND(B146*64,0),64)/GCD(MOD(ROUND(B146*64,0),64),64)&amp;"/"&amp;64/GCD(MOD(ROUND(B146*64,0),64),64),IF(ROUND(B146*64,0)=0,"0",""))&amp;""""))</f>
        <v>2 1/4"</v>
      </c>
      <c r="B146" s="52" t="n">
        <f aca="false">144/64</f>
        <v>2.25</v>
      </c>
      <c r="C146" s="53" t="n">
        <f aca="false">B146*25.4</f>
        <v>57.15</v>
      </c>
      <c r="D146" s="54" t="n">
        <f aca="false">B146/2</f>
        <v>1.125</v>
      </c>
      <c r="E146" s="53" t="n">
        <f aca="false">C146/2</f>
        <v>28.575</v>
      </c>
    </row>
    <row r="147" customFormat="false" ht="15" hidden="false" customHeight="false" outlineLevel="0" collapsed="false">
      <c r="A147" s="30" t="str">
        <f aca="false">IF(NOT(ISNUMBER(B147)),"",IF(B147&lt;=0,"",IF(ABS(B147*64-ROUND(B147*64,0))&gt;0.0005,"≈ ","")&amp;IF(INT(ROUND(B147*64,0)/64)&gt;0,INT(ROUND(B147*64,0)/64)&amp;IF(MOD(ROUND(B147*64,0),64)&gt;0," ",""),"")&amp;IF(MOD(ROUND(B147*64,0),64)&gt;0,MOD(ROUND(B147*64,0),64)/GCD(MOD(ROUND(B147*64,0),64),64)&amp;"/"&amp;64/GCD(MOD(ROUND(B147*64,0),64),64),IF(ROUND(B147*64,0)=0,"0",""))&amp;""""))</f>
        <v>2 17/64"</v>
      </c>
      <c r="B147" s="48" t="n">
        <f aca="false">145/64</f>
        <v>2.265625</v>
      </c>
      <c r="C147" s="49" t="n">
        <f aca="false">B147*25.4</f>
        <v>57.546875</v>
      </c>
      <c r="D147" s="50" t="n">
        <f aca="false">B147/2</f>
        <v>1.1328125</v>
      </c>
      <c r="E147" s="49" t="n">
        <f aca="false">C147/2</f>
        <v>28.7734375</v>
      </c>
    </row>
    <row r="148" customFormat="false" ht="15" hidden="false" customHeight="false" outlineLevel="0" collapsed="false">
      <c r="A148" s="51" t="str">
        <f aca="false">IF(NOT(ISNUMBER(B148)),"",IF(B148&lt;=0,"",IF(ABS(B148*64-ROUND(B148*64,0))&gt;0.0005,"≈ ","")&amp;IF(INT(ROUND(B148*64,0)/64)&gt;0,INT(ROUND(B148*64,0)/64)&amp;IF(MOD(ROUND(B148*64,0),64)&gt;0," ",""),"")&amp;IF(MOD(ROUND(B148*64,0),64)&gt;0,MOD(ROUND(B148*64,0),64)/GCD(MOD(ROUND(B148*64,0),64),64)&amp;"/"&amp;64/GCD(MOD(ROUND(B148*64,0),64),64),IF(ROUND(B148*64,0)=0,"0",""))&amp;""""))</f>
        <v>2 9/32"</v>
      </c>
      <c r="B148" s="52" t="n">
        <f aca="false">146/64</f>
        <v>2.28125</v>
      </c>
      <c r="C148" s="53" t="n">
        <f aca="false">B148*25.4</f>
        <v>57.94375</v>
      </c>
      <c r="D148" s="54" t="n">
        <f aca="false">B148/2</f>
        <v>1.140625</v>
      </c>
      <c r="E148" s="53" t="n">
        <f aca="false">C148/2</f>
        <v>28.971875</v>
      </c>
    </row>
    <row r="149" customFormat="false" ht="15" hidden="false" customHeight="false" outlineLevel="0" collapsed="false">
      <c r="A149" s="30" t="str">
        <f aca="false">IF(NOT(ISNUMBER(B149)),"",IF(B149&lt;=0,"",IF(ABS(B149*64-ROUND(B149*64,0))&gt;0.0005,"≈ ","")&amp;IF(INT(ROUND(B149*64,0)/64)&gt;0,INT(ROUND(B149*64,0)/64)&amp;IF(MOD(ROUND(B149*64,0),64)&gt;0," ",""),"")&amp;IF(MOD(ROUND(B149*64,0),64)&gt;0,MOD(ROUND(B149*64,0),64)/GCD(MOD(ROUND(B149*64,0),64),64)&amp;"/"&amp;64/GCD(MOD(ROUND(B149*64,0),64),64),IF(ROUND(B149*64,0)=0,"0",""))&amp;""""))</f>
        <v>2 19/64"</v>
      </c>
      <c r="B149" s="48" t="n">
        <f aca="false">147/64</f>
        <v>2.296875</v>
      </c>
      <c r="C149" s="49" t="n">
        <f aca="false">B149*25.4</f>
        <v>58.340625</v>
      </c>
      <c r="D149" s="50" t="n">
        <f aca="false">B149/2</f>
        <v>1.1484375</v>
      </c>
      <c r="E149" s="49" t="n">
        <f aca="false">C149/2</f>
        <v>29.1703125</v>
      </c>
    </row>
    <row r="150" customFormat="false" ht="15" hidden="false" customHeight="false" outlineLevel="0" collapsed="false">
      <c r="A150" s="51" t="str">
        <f aca="false">IF(NOT(ISNUMBER(B150)),"",IF(B150&lt;=0,"",IF(ABS(B150*64-ROUND(B150*64,0))&gt;0.0005,"≈ ","")&amp;IF(INT(ROUND(B150*64,0)/64)&gt;0,INT(ROUND(B150*64,0)/64)&amp;IF(MOD(ROUND(B150*64,0),64)&gt;0," ",""),"")&amp;IF(MOD(ROUND(B150*64,0),64)&gt;0,MOD(ROUND(B150*64,0),64)/GCD(MOD(ROUND(B150*64,0),64),64)&amp;"/"&amp;64/GCD(MOD(ROUND(B150*64,0),64),64),IF(ROUND(B150*64,0)=0,"0",""))&amp;""""))</f>
        <v>2 5/16"</v>
      </c>
      <c r="B150" s="52" t="n">
        <f aca="false">148/64</f>
        <v>2.3125</v>
      </c>
      <c r="C150" s="53" t="n">
        <f aca="false">B150*25.4</f>
        <v>58.7375</v>
      </c>
      <c r="D150" s="54" t="n">
        <f aca="false">B150/2</f>
        <v>1.15625</v>
      </c>
      <c r="E150" s="53" t="n">
        <f aca="false">C150/2</f>
        <v>29.36875</v>
      </c>
    </row>
    <row r="151" customFormat="false" ht="15" hidden="false" customHeight="false" outlineLevel="0" collapsed="false">
      <c r="A151" s="30" t="str">
        <f aca="false">IF(NOT(ISNUMBER(B151)),"",IF(B151&lt;=0,"",IF(ABS(B151*64-ROUND(B151*64,0))&gt;0.0005,"≈ ","")&amp;IF(INT(ROUND(B151*64,0)/64)&gt;0,INT(ROUND(B151*64,0)/64)&amp;IF(MOD(ROUND(B151*64,0),64)&gt;0," ",""),"")&amp;IF(MOD(ROUND(B151*64,0),64)&gt;0,MOD(ROUND(B151*64,0),64)/GCD(MOD(ROUND(B151*64,0),64),64)&amp;"/"&amp;64/GCD(MOD(ROUND(B151*64,0),64),64),IF(ROUND(B151*64,0)=0,"0",""))&amp;""""))</f>
        <v>2 21/64"</v>
      </c>
      <c r="B151" s="48" t="n">
        <f aca="false">149/64</f>
        <v>2.328125</v>
      </c>
      <c r="C151" s="49" t="n">
        <f aca="false">B151*25.4</f>
        <v>59.134375</v>
      </c>
      <c r="D151" s="50" t="n">
        <f aca="false">B151/2</f>
        <v>1.1640625</v>
      </c>
      <c r="E151" s="49" t="n">
        <f aca="false">C151/2</f>
        <v>29.5671875</v>
      </c>
    </row>
    <row r="152" customFormat="false" ht="15" hidden="false" customHeight="false" outlineLevel="0" collapsed="false">
      <c r="A152" s="51" t="str">
        <f aca="false">IF(NOT(ISNUMBER(B152)),"",IF(B152&lt;=0,"",IF(ABS(B152*64-ROUND(B152*64,0))&gt;0.0005,"≈ ","")&amp;IF(INT(ROUND(B152*64,0)/64)&gt;0,INT(ROUND(B152*64,0)/64)&amp;IF(MOD(ROUND(B152*64,0),64)&gt;0," ",""),"")&amp;IF(MOD(ROUND(B152*64,0),64)&gt;0,MOD(ROUND(B152*64,0),64)/GCD(MOD(ROUND(B152*64,0),64),64)&amp;"/"&amp;64/GCD(MOD(ROUND(B152*64,0),64),64),IF(ROUND(B152*64,0)=0,"0",""))&amp;""""))</f>
        <v>2 11/32"</v>
      </c>
      <c r="B152" s="52" t="n">
        <f aca="false">150/64</f>
        <v>2.34375</v>
      </c>
      <c r="C152" s="53" t="n">
        <f aca="false">B152*25.4</f>
        <v>59.53125</v>
      </c>
      <c r="D152" s="54" t="n">
        <f aca="false">B152/2</f>
        <v>1.171875</v>
      </c>
      <c r="E152" s="53" t="n">
        <f aca="false">C152/2</f>
        <v>29.765625</v>
      </c>
    </row>
    <row r="153" customFormat="false" ht="15" hidden="false" customHeight="false" outlineLevel="0" collapsed="false">
      <c r="A153" s="30" t="str">
        <f aca="false">IF(NOT(ISNUMBER(B153)),"",IF(B153&lt;=0,"",IF(ABS(B153*64-ROUND(B153*64,0))&gt;0.0005,"≈ ","")&amp;IF(INT(ROUND(B153*64,0)/64)&gt;0,INT(ROUND(B153*64,0)/64)&amp;IF(MOD(ROUND(B153*64,0),64)&gt;0," ",""),"")&amp;IF(MOD(ROUND(B153*64,0),64)&gt;0,MOD(ROUND(B153*64,0),64)/GCD(MOD(ROUND(B153*64,0),64),64)&amp;"/"&amp;64/GCD(MOD(ROUND(B153*64,0),64),64),IF(ROUND(B153*64,0)=0,"0",""))&amp;""""))</f>
        <v>2 23/64"</v>
      </c>
      <c r="B153" s="48" t="n">
        <f aca="false">151/64</f>
        <v>2.359375</v>
      </c>
      <c r="C153" s="49" t="n">
        <f aca="false">B153*25.4</f>
        <v>59.928125</v>
      </c>
      <c r="D153" s="50" t="n">
        <f aca="false">B153/2</f>
        <v>1.1796875</v>
      </c>
      <c r="E153" s="49" t="n">
        <f aca="false">C153/2</f>
        <v>29.9640625</v>
      </c>
    </row>
    <row r="154" customFormat="false" ht="15" hidden="false" customHeight="false" outlineLevel="0" collapsed="false">
      <c r="A154" s="51" t="str">
        <f aca="false">IF(NOT(ISNUMBER(B154)),"",IF(B154&lt;=0,"",IF(ABS(B154*64-ROUND(B154*64,0))&gt;0.0005,"≈ ","")&amp;IF(INT(ROUND(B154*64,0)/64)&gt;0,INT(ROUND(B154*64,0)/64)&amp;IF(MOD(ROUND(B154*64,0),64)&gt;0," ",""),"")&amp;IF(MOD(ROUND(B154*64,0),64)&gt;0,MOD(ROUND(B154*64,0),64)/GCD(MOD(ROUND(B154*64,0),64),64)&amp;"/"&amp;64/GCD(MOD(ROUND(B154*64,0),64),64),IF(ROUND(B154*64,0)=0,"0",""))&amp;""""))</f>
        <v>2 3/8"</v>
      </c>
      <c r="B154" s="52" t="n">
        <f aca="false">152/64</f>
        <v>2.375</v>
      </c>
      <c r="C154" s="53" t="n">
        <f aca="false">B154*25.4</f>
        <v>60.325</v>
      </c>
      <c r="D154" s="54" t="n">
        <f aca="false">B154/2</f>
        <v>1.1875</v>
      </c>
      <c r="E154" s="53" t="n">
        <f aca="false">C154/2</f>
        <v>30.1625</v>
      </c>
    </row>
    <row r="155" customFormat="false" ht="15" hidden="false" customHeight="false" outlineLevel="0" collapsed="false">
      <c r="A155" s="30" t="str">
        <f aca="false">IF(NOT(ISNUMBER(B155)),"",IF(B155&lt;=0,"",IF(ABS(B155*64-ROUND(B155*64,0))&gt;0.0005,"≈ ","")&amp;IF(INT(ROUND(B155*64,0)/64)&gt;0,INT(ROUND(B155*64,0)/64)&amp;IF(MOD(ROUND(B155*64,0),64)&gt;0," ",""),"")&amp;IF(MOD(ROUND(B155*64,0),64)&gt;0,MOD(ROUND(B155*64,0),64)/GCD(MOD(ROUND(B155*64,0),64),64)&amp;"/"&amp;64/GCD(MOD(ROUND(B155*64,0),64),64),IF(ROUND(B155*64,0)=0,"0",""))&amp;""""))</f>
        <v>2 25/64"</v>
      </c>
      <c r="B155" s="48" t="n">
        <f aca="false">153/64</f>
        <v>2.390625</v>
      </c>
      <c r="C155" s="49" t="n">
        <f aca="false">B155*25.4</f>
        <v>60.721875</v>
      </c>
      <c r="D155" s="50" t="n">
        <f aca="false">B155/2</f>
        <v>1.1953125</v>
      </c>
      <c r="E155" s="49" t="n">
        <f aca="false">C155/2</f>
        <v>30.3609375</v>
      </c>
    </row>
    <row r="156" customFormat="false" ht="15" hidden="false" customHeight="false" outlineLevel="0" collapsed="false">
      <c r="A156" s="51" t="str">
        <f aca="false">IF(NOT(ISNUMBER(B156)),"",IF(B156&lt;=0,"",IF(ABS(B156*64-ROUND(B156*64,0))&gt;0.0005,"≈ ","")&amp;IF(INT(ROUND(B156*64,0)/64)&gt;0,INT(ROUND(B156*64,0)/64)&amp;IF(MOD(ROUND(B156*64,0),64)&gt;0," ",""),"")&amp;IF(MOD(ROUND(B156*64,0),64)&gt;0,MOD(ROUND(B156*64,0),64)/GCD(MOD(ROUND(B156*64,0),64),64)&amp;"/"&amp;64/GCD(MOD(ROUND(B156*64,0),64),64),IF(ROUND(B156*64,0)=0,"0",""))&amp;""""))</f>
        <v>2 13/32"</v>
      </c>
      <c r="B156" s="52" t="n">
        <f aca="false">154/64</f>
        <v>2.40625</v>
      </c>
      <c r="C156" s="53" t="n">
        <f aca="false">B156*25.4</f>
        <v>61.11875</v>
      </c>
      <c r="D156" s="54" t="n">
        <f aca="false">B156/2</f>
        <v>1.203125</v>
      </c>
      <c r="E156" s="53" t="n">
        <f aca="false">C156/2</f>
        <v>30.559375</v>
      </c>
    </row>
    <row r="157" customFormat="false" ht="15" hidden="false" customHeight="false" outlineLevel="0" collapsed="false">
      <c r="A157" s="30" t="str">
        <f aca="false">IF(NOT(ISNUMBER(B157)),"",IF(B157&lt;=0,"",IF(ABS(B157*64-ROUND(B157*64,0))&gt;0.0005,"≈ ","")&amp;IF(INT(ROUND(B157*64,0)/64)&gt;0,INT(ROUND(B157*64,0)/64)&amp;IF(MOD(ROUND(B157*64,0),64)&gt;0," ",""),"")&amp;IF(MOD(ROUND(B157*64,0),64)&gt;0,MOD(ROUND(B157*64,0),64)/GCD(MOD(ROUND(B157*64,0),64),64)&amp;"/"&amp;64/GCD(MOD(ROUND(B157*64,0),64),64),IF(ROUND(B157*64,0)=0,"0",""))&amp;""""))</f>
        <v>2 27/64"</v>
      </c>
      <c r="B157" s="48" t="n">
        <f aca="false">155/64</f>
        <v>2.421875</v>
      </c>
      <c r="C157" s="49" t="n">
        <f aca="false">B157*25.4</f>
        <v>61.515625</v>
      </c>
      <c r="D157" s="50" t="n">
        <f aca="false">B157/2</f>
        <v>1.2109375</v>
      </c>
      <c r="E157" s="49" t="n">
        <f aca="false">C157/2</f>
        <v>30.7578125</v>
      </c>
    </row>
    <row r="158" customFormat="false" ht="15" hidden="false" customHeight="false" outlineLevel="0" collapsed="false">
      <c r="A158" s="51" t="str">
        <f aca="false">IF(NOT(ISNUMBER(B158)),"",IF(B158&lt;=0,"",IF(ABS(B158*64-ROUND(B158*64,0))&gt;0.0005,"≈ ","")&amp;IF(INT(ROUND(B158*64,0)/64)&gt;0,INT(ROUND(B158*64,0)/64)&amp;IF(MOD(ROUND(B158*64,0),64)&gt;0," ",""),"")&amp;IF(MOD(ROUND(B158*64,0),64)&gt;0,MOD(ROUND(B158*64,0),64)/GCD(MOD(ROUND(B158*64,0),64),64)&amp;"/"&amp;64/GCD(MOD(ROUND(B158*64,0),64),64),IF(ROUND(B158*64,0)=0,"0",""))&amp;""""))</f>
        <v>2 7/16"</v>
      </c>
      <c r="B158" s="52" t="n">
        <f aca="false">156/64</f>
        <v>2.4375</v>
      </c>
      <c r="C158" s="53" t="n">
        <f aca="false">B158*25.4</f>
        <v>61.9125</v>
      </c>
      <c r="D158" s="54" t="n">
        <f aca="false">B158/2</f>
        <v>1.21875</v>
      </c>
      <c r="E158" s="53" t="n">
        <f aca="false">C158/2</f>
        <v>30.95625</v>
      </c>
    </row>
    <row r="159" customFormat="false" ht="15" hidden="false" customHeight="false" outlineLevel="0" collapsed="false">
      <c r="A159" s="30" t="str">
        <f aca="false">IF(NOT(ISNUMBER(B159)),"",IF(B159&lt;=0,"",IF(ABS(B159*64-ROUND(B159*64,0))&gt;0.0005,"≈ ","")&amp;IF(INT(ROUND(B159*64,0)/64)&gt;0,INT(ROUND(B159*64,0)/64)&amp;IF(MOD(ROUND(B159*64,0),64)&gt;0," ",""),"")&amp;IF(MOD(ROUND(B159*64,0),64)&gt;0,MOD(ROUND(B159*64,0),64)/GCD(MOD(ROUND(B159*64,0),64),64)&amp;"/"&amp;64/GCD(MOD(ROUND(B159*64,0),64),64),IF(ROUND(B159*64,0)=0,"0",""))&amp;""""))</f>
        <v>2 29/64"</v>
      </c>
      <c r="B159" s="48" t="n">
        <f aca="false">157/64</f>
        <v>2.453125</v>
      </c>
      <c r="C159" s="49" t="n">
        <f aca="false">B159*25.4</f>
        <v>62.309375</v>
      </c>
      <c r="D159" s="50" t="n">
        <f aca="false">B159/2</f>
        <v>1.2265625</v>
      </c>
      <c r="E159" s="49" t="n">
        <f aca="false">C159/2</f>
        <v>31.1546875</v>
      </c>
    </row>
    <row r="160" customFormat="false" ht="15" hidden="false" customHeight="false" outlineLevel="0" collapsed="false">
      <c r="A160" s="51" t="str">
        <f aca="false">IF(NOT(ISNUMBER(B160)),"",IF(B160&lt;=0,"",IF(ABS(B160*64-ROUND(B160*64,0))&gt;0.0005,"≈ ","")&amp;IF(INT(ROUND(B160*64,0)/64)&gt;0,INT(ROUND(B160*64,0)/64)&amp;IF(MOD(ROUND(B160*64,0),64)&gt;0," ",""),"")&amp;IF(MOD(ROUND(B160*64,0),64)&gt;0,MOD(ROUND(B160*64,0),64)/GCD(MOD(ROUND(B160*64,0),64),64)&amp;"/"&amp;64/GCD(MOD(ROUND(B160*64,0),64),64),IF(ROUND(B160*64,0)=0,"0",""))&amp;""""))</f>
        <v>2 15/32"</v>
      </c>
      <c r="B160" s="52" t="n">
        <f aca="false">158/64</f>
        <v>2.46875</v>
      </c>
      <c r="C160" s="53" t="n">
        <f aca="false">B160*25.4</f>
        <v>62.70625</v>
      </c>
      <c r="D160" s="54" t="n">
        <f aca="false">B160/2</f>
        <v>1.234375</v>
      </c>
      <c r="E160" s="53" t="n">
        <f aca="false">C160/2</f>
        <v>31.353125</v>
      </c>
    </row>
    <row r="161" customFormat="false" ht="15" hidden="false" customHeight="false" outlineLevel="0" collapsed="false">
      <c r="A161" s="30" t="str">
        <f aca="false">IF(NOT(ISNUMBER(B161)),"",IF(B161&lt;=0,"",IF(ABS(B161*64-ROUND(B161*64,0))&gt;0.0005,"≈ ","")&amp;IF(INT(ROUND(B161*64,0)/64)&gt;0,INT(ROUND(B161*64,0)/64)&amp;IF(MOD(ROUND(B161*64,0),64)&gt;0," ",""),"")&amp;IF(MOD(ROUND(B161*64,0),64)&gt;0,MOD(ROUND(B161*64,0),64)/GCD(MOD(ROUND(B161*64,0),64),64)&amp;"/"&amp;64/GCD(MOD(ROUND(B161*64,0),64),64),IF(ROUND(B161*64,0)=0,"0",""))&amp;""""))</f>
        <v>2 31/64"</v>
      </c>
      <c r="B161" s="48" t="n">
        <f aca="false">159/64</f>
        <v>2.484375</v>
      </c>
      <c r="C161" s="49" t="n">
        <f aca="false">B161*25.4</f>
        <v>63.103125</v>
      </c>
      <c r="D161" s="50" t="n">
        <f aca="false">B161/2</f>
        <v>1.2421875</v>
      </c>
      <c r="E161" s="49" t="n">
        <f aca="false">C161/2</f>
        <v>31.5515625</v>
      </c>
    </row>
    <row r="162" customFormat="false" ht="15" hidden="false" customHeight="false" outlineLevel="0" collapsed="false">
      <c r="A162" s="51" t="str">
        <f aca="false">IF(NOT(ISNUMBER(B162)),"",IF(B162&lt;=0,"",IF(ABS(B162*64-ROUND(B162*64,0))&gt;0.0005,"≈ ","")&amp;IF(INT(ROUND(B162*64,0)/64)&gt;0,INT(ROUND(B162*64,0)/64)&amp;IF(MOD(ROUND(B162*64,0),64)&gt;0," ",""),"")&amp;IF(MOD(ROUND(B162*64,0),64)&gt;0,MOD(ROUND(B162*64,0),64)/GCD(MOD(ROUND(B162*64,0),64),64)&amp;"/"&amp;64/GCD(MOD(ROUND(B162*64,0),64),64),IF(ROUND(B162*64,0)=0,"0",""))&amp;""""))</f>
        <v>2 1/2"</v>
      </c>
      <c r="B162" s="52" t="n">
        <f aca="false">160/64</f>
        <v>2.5</v>
      </c>
      <c r="C162" s="53" t="n">
        <f aca="false">B162*25.4</f>
        <v>63.5</v>
      </c>
      <c r="D162" s="54" t="n">
        <f aca="false">B162/2</f>
        <v>1.25</v>
      </c>
      <c r="E162" s="53" t="n">
        <f aca="false">C162/2</f>
        <v>31.75</v>
      </c>
    </row>
    <row r="163" customFormat="false" ht="15" hidden="false" customHeight="false" outlineLevel="0" collapsed="false">
      <c r="A163" s="30" t="str">
        <f aca="false">IF(NOT(ISNUMBER(B163)),"",IF(B163&lt;=0,"",IF(ABS(B163*64-ROUND(B163*64,0))&gt;0.0005,"≈ ","")&amp;IF(INT(ROUND(B163*64,0)/64)&gt;0,INT(ROUND(B163*64,0)/64)&amp;IF(MOD(ROUND(B163*64,0),64)&gt;0," ",""),"")&amp;IF(MOD(ROUND(B163*64,0),64)&gt;0,MOD(ROUND(B163*64,0),64)/GCD(MOD(ROUND(B163*64,0),64),64)&amp;"/"&amp;64/GCD(MOD(ROUND(B163*64,0),64),64),IF(ROUND(B163*64,0)=0,"0",""))&amp;""""))</f>
        <v>2 33/64"</v>
      </c>
      <c r="B163" s="48" t="n">
        <f aca="false">161/64</f>
        <v>2.515625</v>
      </c>
      <c r="C163" s="49" t="n">
        <f aca="false">B163*25.4</f>
        <v>63.896875</v>
      </c>
      <c r="D163" s="50" t="n">
        <f aca="false">B163/2</f>
        <v>1.2578125</v>
      </c>
      <c r="E163" s="49" t="n">
        <f aca="false">C163/2</f>
        <v>31.9484375</v>
      </c>
    </row>
    <row r="164" customFormat="false" ht="15" hidden="false" customHeight="false" outlineLevel="0" collapsed="false">
      <c r="A164" s="51" t="str">
        <f aca="false">IF(NOT(ISNUMBER(B164)),"",IF(B164&lt;=0,"",IF(ABS(B164*64-ROUND(B164*64,0))&gt;0.0005,"≈ ","")&amp;IF(INT(ROUND(B164*64,0)/64)&gt;0,INT(ROUND(B164*64,0)/64)&amp;IF(MOD(ROUND(B164*64,0),64)&gt;0," ",""),"")&amp;IF(MOD(ROUND(B164*64,0),64)&gt;0,MOD(ROUND(B164*64,0),64)/GCD(MOD(ROUND(B164*64,0),64),64)&amp;"/"&amp;64/GCD(MOD(ROUND(B164*64,0),64),64),IF(ROUND(B164*64,0)=0,"0",""))&amp;""""))</f>
        <v>2 17/32"</v>
      </c>
      <c r="B164" s="52" t="n">
        <f aca="false">162/64</f>
        <v>2.53125</v>
      </c>
      <c r="C164" s="53" t="n">
        <f aca="false">B164*25.4</f>
        <v>64.29375</v>
      </c>
      <c r="D164" s="54" t="n">
        <f aca="false">B164/2</f>
        <v>1.265625</v>
      </c>
      <c r="E164" s="53" t="n">
        <f aca="false">C164/2</f>
        <v>32.146875</v>
      </c>
    </row>
    <row r="165" customFormat="false" ht="15" hidden="false" customHeight="false" outlineLevel="0" collapsed="false">
      <c r="A165" s="30" t="str">
        <f aca="false">IF(NOT(ISNUMBER(B165)),"",IF(B165&lt;=0,"",IF(ABS(B165*64-ROUND(B165*64,0))&gt;0.0005,"≈ ","")&amp;IF(INT(ROUND(B165*64,0)/64)&gt;0,INT(ROUND(B165*64,0)/64)&amp;IF(MOD(ROUND(B165*64,0),64)&gt;0," ",""),"")&amp;IF(MOD(ROUND(B165*64,0),64)&gt;0,MOD(ROUND(B165*64,0),64)/GCD(MOD(ROUND(B165*64,0),64),64)&amp;"/"&amp;64/GCD(MOD(ROUND(B165*64,0),64),64),IF(ROUND(B165*64,0)=0,"0",""))&amp;""""))</f>
        <v>2 35/64"</v>
      </c>
      <c r="B165" s="48" t="n">
        <f aca="false">163/64</f>
        <v>2.546875</v>
      </c>
      <c r="C165" s="49" t="n">
        <f aca="false">B165*25.4</f>
        <v>64.690625</v>
      </c>
      <c r="D165" s="50" t="n">
        <f aca="false">B165/2</f>
        <v>1.2734375</v>
      </c>
      <c r="E165" s="49" t="n">
        <f aca="false">C165/2</f>
        <v>32.3453125</v>
      </c>
    </row>
    <row r="166" customFormat="false" ht="15" hidden="false" customHeight="false" outlineLevel="0" collapsed="false">
      <c r="A166" s="51" t="str">
        <f aca="false">IF(NOT(ISNUMBER(B166)),"",IF(B166&lt;=0,"",IF(ABS(B166*64-ROUND(B166*64,0))&gt;0.0005,"≈ ","")&amp;IF(INT(ROUND(B166*64,0)/64)&gt;0,INT(ROUND(B166*64,0)/64)&amp;IF(MOD(ROUND(B166*64,0),64)&gt;0," ",""),"")&amp;IF(MOD(ROUND(B166*64,0),64)&gt;0,MOD(ROUND(B166*64,0),64)/GCD(MOD(ROUND(B166*64,0),64),64)&amp;"/"&amp;64/GCD(MOD(ROUND(B166*64,0),64),64),IF(ROUND(B166*64,0)=0,"0",""))&amp;""""))</f>
        <v>2 9/16"</v>
      </c>
      <c r="B166" s="52" t="n">
        <f aca="false">164/64</f>
        <v>2.5625</v>
      </c>
      <c r="C166" s="53" t="n">
        <f aca="false">B166*25.4</f>
        <v>65.0875</v>
      </c>
      <c r="D166" s="54" t="n">
        <f aca="false">B166/2</f>
        <v>1.28125</v>
      </c>
      <c r="E166" s="53" t="n">
        <f aca="false">C166/2</f>
        <v>32.54375</v>
      </c>
    </row>
    <row r="167" customFormat="false" ht="15" hidden="false" customHeight="false" outlineLevel="0" collapsed="false">
      <c r="A167" s="30" t="str">
        <f aca="false">IF(NOT(ISNUMBER(B167)),"",IF(B167&lt;=0,"",IF(ABS(B167*64-ROUND(B167*64,0))&gt;0.0005,"≈ ","")&amp;IF(INT(ROUND(B167*64,0)/64)&gt;0,INT(ROUND(B167*64,0)/64)&amp;IF(MOD(ROUND(B167*64,0),64)&gt;0," ",""),"")&amp;IF(MOD(ROUND(B167*64,0),64)&gt;0,MOD(ROUND(B167*64,0),64)/GCD(MOD(ROUND(B167*64,0),64),64)&amp;"/"&amp;64/GCD(MOD(ROUND(B167*64,0),64),64),IF(ROUND(B167*64,0)=0,"0",""))&amp;""""))</f>
        <v>2 37/64"</v>
      </c>
      <c r="B167" s="48" t="n">
        <f aca="false">165/64</f>
        <v>2.578125</v>
      </c>
      <c r="C167" s="49" t="n">
        <f aca="false">B167*25.4</f>
        <v>65.484375</v>
      </c>
      <c r="D167" s="50" t="n">
        <f aca="false">B167/2</f>
        <v>1.2890625</v>
      </c>
      <c r="E167" s="49" t="n">
        <f aca="false">C167/2</f>
        <v>32.7421875</v>
      </c>
    </row>
    <row r="168" customFormat="false" ht="15" hidden="false" customHeight="false" outlineLevel="0" collapsed="false">
      <c r="A168" s="51" t="str">
        <f aca="false">IF(NOT(ISNUMBER(B168)),"",IF(B168&lt;=0,"",IF(ABS(B168*64-ROUND(B168*64,0))&gt;0.0005,"≈ ","")&amp;IF(INT(ROUND(B168*64,0)/64)&gt;0,INT(ROUND(B168*64,0)/64)&amp;IF(MOD(ROUND(B168*64,0),64)&gt;0," ",""),"")&amp;IF(MOD(ROUND(B168*64,0),64)&gt;0,MOD(ROUND(B168*64,0),64)/GCD(MOD(ROUND(B168*64,0),64),64)&amp;"/"&amp;64/GCD(MOD(ROUND(B168*64,0),64),64),IF(ROUND(B168*64,0)=0,"0",""))&amp;""""))</f>
        <v>2 19/32"</v>
      </c>
      <c r="B168" s="52" t="n">
        <f aca="false">166/64</f>
        <v>2.59375</v>
      </c>
      <c r="C168" s="53" t="n">
        <f aca="false">B168*25.4</f>
        <v>65.88125</v>
      </c>
      <c r="D168" s="54" t="n">
        <f aca="false">B168/2</f>
        <v>1.296875</v>
      </c>
      <c r="E168" s="53" t="n">
        <f aca="false">C168/2</f>
        <v>32.940625</v>
      </c>
    </row>
    <row r="169" customFormat="false" ht="15" hidden="false" customHeight="false" outlineLevel="0" collapsed="false">
      <c r="A169" s="30" t="str">
        <f aca="false">IF(NOT(ISNUMBER(B169)),"",IF(B169&lt;=0,"",IF(ABS(B169*64-ROUND(B169*64,0))&gt;0.0005,"≈ ","")&amp;IF(INT(ROUND(B169*64,0)/64)&gt;0,INT(ROUND(B169*64,0)/64)&amp;IF(MOD(ROUND(B169*64,0),64)&gt;0," ",""),"")&amp;IF(MOD(ROUND(B169*64,0),64)&gt;0,MOD(ROUND(B169*64,0),64)/GCD(MOD(ROUND(B169*64,0),64),64)&amp;"/"&amp;64/GCD(MOD(ROUND(B169*64,0),64),64),IF(ROUND(B169*64,0)=0,"0",""))&amp;""""))</f>
        <v>2 39/64"</v>
      </c>
      <c r="B169" s="48" t="n">
        <f aca="false">167/64</f>
        <v>2.609375</v>
      </c>
      <c r="C169" s="49" t="n">
        <f aca="false">B169*25.4</f>
        <v>66.278125</v>
      </c>
      <c r="D169" s="50" t="n">
        <f aca="false">B169/2</f>
        <v>1.3046875</v>
      </c>
      <c r="E169" s="49" t="n">
        <f aca="false">C169/2</f>
        <v>33.1390625</v>
      </c>
    </row>
    <row r="170" customFormat="false" ht="15" hidden="false" customHeight="false" outlineLevel="0" collapsed="false">
      <c r="A170" s="51" t="str">
        <f aca="false">IF(NOT(ISNUMBER(B170)),"",IF(B170&lt;=0,"",IF(ABS(B170*64-ROUND(B170*64,0))&gt;0.0005,"≈ ","")&amp;IF(INT(ROUND(B170*64,0)/64)&gt;0,INT(ROUND(B170*64,0)/64)&amp;IF(MOD(ROUND(B170*64,0),64)&gt;0," ",""),"")&amp;IF(MOD(ROUND(B170*64,0),64)&gt;0,MOD(ROUND(B170*64,0),64)/GCD(MOD(ROUND(B170*64,0),64),64)&amp;"/"&amp;64/GCD(MOD(ROUND(B170*64,0),64),64),IF(ROUND(B170*64,0)=0,"0",""))&amp;""""))</f>
        <v>2 5/8"</v>
      </c>
      <c r="B170" s="52" t="n">
        <f aca="false">168/64</f>
        <v>2.625</v>
      </c>
      <c r="C170" s="53" t="n">
        <f aca="false">B170*25.4</f>
        <v>66.675</v>
      </c>
      <c r="D170" s="54" t="n">
        <f aca="false">B170/2</f>
        <v>1.3125</v>
      </c>
      <c r="E170" s="53" t="n">
        <f aca="false">C170/2</f>
        <v>33.3375</v>
      </c>
    </row>
    <row r="171" customFormat="false" ht="15" hidden="false" customHeight="false" outlineLevel="0" collapsed="false">
      <c r="A171" s="30" t="str">
        <f aca="false">IF(NOT(ISNUMBER(B171)),"",IF(B171&lt;=0,"",IF(ABS(B171*64-ROUND(B171*64,0))&gt;0.0005,"≈ ","")&amp;IF(INT(ROUND(B171*64,0)/64)&gt;0,INT(ROUND(B171*64,0)/64)&amp;IF(MOD(ROUND(B171*64,0),64)&gt;0," ",""),"")&amp;IF(MOD(ROUND(B171*64,0),64)&gt;0,MOD(ROUND(B171*64,0),64)/GCD(MOD(ROUND(B171*64,0),64),64)&amp;"/"&amp;64/GCD(MOD(ROUND(B171*64,0),64),64),IF(ROUND(B171*64,0)=0,"0",""))&amp;""""))</f>
        <v>2 41/64"</v>
      </c>
      <c r="B171" s="48" t="n">
        <f aca="false">169/64</f>
        <v>2.640625</v>
      </c>
      <c r="C171" s="49" t="n">
        <f aca="false">B171*25.4</f>
        <v>67.071875</v>
      </c>
      <c r="D171" s="50" t="n">
        <f aca="false">B171/2</f>
        <v>1.3203125</v>
      </c>
      <c r="E171" s="49" t="n">
        <f aca="false">C171/2</f>
        <v>33.5359375</v>
      </c>
    </row>
    <row r="172" customFormat="false" ht="15" hidden="false" customHeight="false" outlineLevel="0" collapsed="false">
      <c r="A172" s="51" t="str">
        <f aca="false">IF(NOT(ISNUMBER(B172)),"",IF(B172&lt;=0,"",IF(ABS(B172*64-ROUND(B172*64,0))&gt;0.0005,"≈ ","")&amp;IF(INT(ROUND(B172*64,0)/64)&gt;0,INT(ROUND(B172*64,0)/64)&amp;IF(MOD(ROUND(B172*64,0),64)&gt;0," ",""),"")&amp;IF(MOD(ROUND(B172*64,0),64)&gt;0,MOD(ROUND(B172*64,0),64)/GCD(MOD(ROUND(B172*64,0),64),64)&amp;"/"&amp;64/GCD(MOD(ROUND(B172*64,0),64),64),IF(ROUND(B172*64,0)=0,"0",""))&amp;""""))</f>
        <v>2 21/32"</v>
      </c>
      <c r="B172" s="52" t="n">
        <f aca="false">170/64</f>
        <v>2.65625</v>
      </c>
      <c r="C172" s="53" t="n">
        <f aca="false">B172*25.4</f>
        <v>67.46875</v>
      </c>
      <c r="D172" s="54" t="n">
        <f aca="false">B172/2</f>
        <v>1.328125</v>
      </c>
      <c r="E172" s="53" t="n">
        <f aca="false">C172/2</f>
        <v>33.734375</v>
      </c>
    </row>
    <row r="173" customFormat="false" ht="15" hidden="false" customHeight="false" outlineLevel="0" collapsed="false">
      <c r="A173" s="30" t="str">
        <f aca="false">IF(NOT(ISNUMBER(B173)),"",IF(B173&lt;=0,"",IF(ABS(B173*64-ROUND(B173*64,0))&gt;0.0005,"≈ ","")&amp;IF(INT(ROUND(B173*64,0)/64)&gt;0,INT(ROUND(B173*64,0)/64)&amp;IF(MOD(ROUND(B173*64,0),64)&gt;0," ",""),"")&amp;IF(MOD(ROUND(B173*64,0),64)&gt;0,MOD(ROUND(B173*64,0),64)/GCD(MOD(ROUND(B173*64,0),64),64)&amp;"/"&amp;64/GCD(MOD(ROUND(B173*64,0),64),64),IF(ROUND(B173*64,0)=0,"0",""))&amp;""""))</f>
        <v>2 43/64"</v>
      </c>
      <c r="B173" s="48" t="n">
        <f aca="false">171/64</f>
        <v>2.671875</v>
      </c>
      <c r="C173" s="49" t="n">
        <f aca="false">B173*25.4</f>
        <v>67.865625</v>
      </c>
      <c r="D173" s="50" t="n">
        <f aca="false">B173/2</f>
        <v>1.3359375</v>
      </c>
      <c r="E173" s="49" t="n">
        <f aca="false">C173/2</f>
        <v>33.9328125</v>
      </c>
    </row>
    <row r="174" customFormat="false" ht="15" hidden="false" customHeight="false" outlineLevel="0" collapsed="false">
      <c r="A174" s="51" t="str">
        <f aca="false">IF(NOT(ISNUMBER(B174)),"",IF(B174&lt;=0,"",IF(ABS(B174*64-ROUND(B174*64,0))&gt;0.0005,"≈ ","")&amp;IF(INT(ROUND(B174*64,0)/64)&gt;0,INT(ROUND(B174*64,0)/64)&amp;IF(MOD(ROUND(B174*64,0),64)&gt;0," ",""),"")&amp;IF(MOD(ROUND(B174*64,0),64)&gt;0,MOD(ROUND(B174*64,0),64)/GCD(MOD(ROUND(B174*64,0),64),64)&amp;"/"&amp;64/GCD(MOD(ROUND(B174*64,0),64),64),IF(ROUND(B174*64,0)=0,"0",""))&amp;""""))</f>
        <v>2 11/16"</v>
      </c>
      <c r="B174" s="52" t="n">
        <f aca="false">172/64</f>
        <v>2.6875</v>
      </c>
      <c r="C174" s="53" t="n">
        <f aca="false">B174*25.4</f>
        <v>68.2625</v>
      </c>
      <c r="D174" s="54" t="n">
        <f aca="false">B174/2</f>
        <v>1.34375</v>
      </c>
      <c r="E174" s="53" t="n">
        <f aca="false">C174/2</f>
        <v>34.13125</v>
      </c>
    </row>
    <row r="175" customFormat="false" ht="15" hidden="false" customHeight="false" outlineLevel="0" collapsed="false">
      <c r="A175" s="30" t="str">
        <f aca="false">IF(NOT(ISNUMBER(B175)),"",IF(B175&lt;=0,"",IF(ABS(B175*64-ROUND(B175*64,0))&gt;0.0005,"≈ ","")&amp;IF(INT(ROUND(B175*64,0)/64)&gt;0,INT(ROUND(B175*64,0)/64)&amp;IF(MOD(ROUND(B175*64,0),64)&gt;0," ",""),"")&amp;IF(MOD(ROUND(B175*64,0),64)&gt;0,MOD(ROUND(B175*64,0),64)/GCD(MOD(ROUND(B175*64,0),64),64)&amp;"/"&amp;64/GCD(MOD(ROUND(B175*64,0),64),64),IF(ROUND(B175*64,0)=0,"0",""))&amp;""""))</f>
        <v>2 45/64"</v>
      </c>
      <c r="B175" s="48" t="n">
        <f aca="false">173/64</f>
        <v>2.703125</v>
      </c>
      <c r="C175" s="49" t="n">
        <f aca="false">B175*25.4</f>
        <v>68.659375</v>
      </c>
      <c r="D175" s="50" t="n">
        <f aca="false">B175/2</f>
        <v>1.3515625</v>
      </c>
      <c r="E175" s="49" t="n">
        <f aca="false">C175/2</f>
        <v>34.3296875</v>
      </c>
    </row>
    <row r="176" customFormat="false" ht="15" hidden="false" customHeight="false" outlineLevel="0" collapsed="false">
      <c r="A176" s="51" t="str">
        <f aca="false">IF(NOT(ISNUMBER(B176)),"",IF(B176&lt;=0,"",IF(ABS(B176*64-ROUND(B176*64,0))&gt;0.0005,"≈ ","")&amp;IF(INT(ROUND(B176*64,0)/64)&gt;0,INT(ROUND(B176*64,0)/64)&amp;IF(MOD(ROUND(B176*64,0),64)&gt;0," ",""),"")&amp;IF(MOD(ROUND(B176*64,0),64)&gt;0,MOD(ROUND(B176*64,0),64)/GCD(MOD(ROUND(B176*64,0),64),64)&amp;"/"&amp;64/GCD(MOD(ROUND(B176*64,0),64),64),IF(ROUND(B176*64,0)=0,"0",""))&amp;""""))</f>
        <v>2 23/32"</v>
      </c>
      <c r="B176" s="52" t="n">
        <f aca="false">174/64</f>
        <v>2.71875</v>
      </c>
      <c r="C176" s="53" t="n">
        <f aca="false">B176*25.4</f>
        <v>69.05625</v>
      </c>
      <c r="D176" s="54" t="n">
        <f aca="false">B176/2</f>
        <v>1.359375</v>
      </c>
      <c r="E176" s="53" t="n">
        <f aca="false">C176/2</f>
        <v>34.528125</v>
      </c>
    </row>
    <row r="177" customFormat="false" ht="15" hidden="false" customHeight="false" outlineLevel="0" collapsed="false">
      <c r="A177" s="30" t="str">
        <f aca="false">IF(NOT(ISNUMBER(B177)),"",IF(B177&lt;=0,"",IF(ABS(B177*64-ROUND(B177*64,0))&gt;0.0005,"≈ ","")&amp;IF(INT(ROUND(B177*64,0)/64)&gt;0,INT(ROUND(B177*64,0)/64)&amp;IF(MOD(ROUND(B177*64,0),64)&gt;0," ",""),"")&amp;IF(MOD(ROUND(B177*64,0),64)&gt;0,MOD(ROUND(B177*64,0),64)/GCD(MOD(ROUND(B177*64,0),64),64)&amp;"/"&amp;64/GCD(MOD(ROUND(B177*64,0),64),64),IF(ROUND(B177*64,0)=0,"0",""))&amp;""""))</f>
        <v>2 47/64"</v>
      </c>
      <c r="B177" s="48" t="n">
        <f aca="false">175/64</f>
        <v>2.734375</v>
      </c>
      <c r="C177" s="49" t="n">
        <f aca="false">B177*25.4</f>
        <v>69.453125</v>
      </c>
      <c r="D177" s="50" t="n">
        <f aca="false">B177/2</f>
        <v>1.3671875</v>
      </c>
      <c r="E177" s="49" t="n">
        <f aca="false">C177/2</f>
        <v>34.7265625</v>
      </c>
    </row>
    <row r="178" customFormat="false" ht="15" hidden="false" customHeight="false" outlineLevel="0" collapsed="false">
      <c r="A178" s="51" t="str">
        <f aca="false">IF(NOT(ISNUMBER(B178)),"",IF(B178&lt;=0,"",IF(ABS(B178*64-ROUND(B178*64,0))&gt;0.0005,"≈ ","")&amp;IF(INT(ROUND(B178*64,0)/64)&gt;0,INT(ROUND(B178*64,0)/64)&amp;IF(MOD(ROUND(B178*64,0),64)&gt;0," ",""),"")&amp;IF(MOD(ROUND(B178*64,0),64)&gt;0,MOD(ROUND(B178*64,0),64)/GCD(MOD(ROUND(B178*64,0),64),64)&amp;"/"&amp;64/GCD(MOD(ROUND(B178*64,0),64),64),IF(ROUND(B178*64,0)=0,"0",""))&amp;""""))</f>
        <v>2 3/4"</v>
      </c>
      <c r="B178" s="52" t="n">
        <f aca="false">176/64</f>
        <v>2.75</v>
      </c>
      <c r="C178" s="53" t="n">
        <f aca="false">B178*25.4</f>
        <v>69.85</v>
      </c>
      <c r="D178" s="54" t="n">
        <f aca="false">B178/2</f>
        <v>1.375</v>
      </c>
      <c r="E178" s="53" t="n">
        <f aca="false">C178/2</f>
        <v>34.925</v>
      </c>
    </row>
    <row r="179" customFormat="false" ht="15" hidden="false" customHeight="false" outlineLevel="0" collapsed="false">
      <c r="A179" s="30" t="str">
        <f aca="false">IF(NOT(ISNUMBER(B179)),"",IF(B179&lt;=0,"",IF(ABS(B179*64-ROUND(B179*64,0))&gt;0.0005,"≈ ","")&amp;IF(INT(ROUND(B179*64,0)/64)&gt;0,INT(ROUND(B179*64,0)/64)&amp;IF(MOD(ROUND(B179*64,0),64)&gt;0," ",""),"")&amp;IF(MOD(ROUND(B179*64,0),64)&gt;0,MOD(ROUND(B179*64,0),64)/GCD(MOD(ROUND(B179*64,0),64),64)&amp;"/"&amp;64/GCD(MOD(ROUND(B179*64,0),64),64),IF(ROUND(B179*64,0)=0,"0",""))&amp;""""))</f>
        <v>2 49/64"</v>
      </c>
      <c r="B179" s="48" t="n">
        <f aca="false">177/64</f>
        <v>2.765625</v>
      </c>
      <c r="C179" s="49" t="n">
        <f aca="false">B179*25.4</f>
        <v>70.246875</v>
      </c>
      <c r="D179" s="50" t="n">
        <f aca="false">B179/2</f>
        <v>1.3828125</v>
      </c>
      <c r="E179" s="49" t="n">
        <f aca="false">C179/2</f>
        <v>35.1234375</v>
      </c>
    </row>
    <row r="180" customFormat="false" ht="15" hidden="false" customHeight="false" outlineLevel="0" collapsed="false">
      <c r="A180" s="51" t="str">
        <f aca="false">IF(NOT(ISNUMBER(B180)),"",IF(B180&lt;=0,"",IF(ABS(B180*64-ROUND(B180*64,0))&gt;0.0005,"≈ ","")&amp;IF(INT(ROUND(B180*64,0)/64)&gt;0,INT(ROUND(B180*64,0)/64)&amp;IF(MOD(ROUND(B180*64,0),64)&gt;0," ",""),"")&amp;IF(MOD(ROUND(B180*64,0),64)&gt;0,MOD(ROUND(B180*64,0),64)/GCD(MOD(ROUND(B180*64,0),64),64)&amp;"/"&amp;64/GCD(MOD(ROUND(B180*64,0),64),64),IF(ROUND(B180*64,0)=0,"0",""))&amp;""""))</f>
        <v>2 25/32"</v>
      </c>
      <c r="B180" s="52" t="n">
        <f aca="false">178/64</f>
        <v>2.78125</v>
      </c>
      <c r="C180" s="53" t="n">
        <f aca="false">B180*25.4</f>
        <v>70.64375</v>
      </c>
      <c r="D180" s="54" t="n">
        <f aca="false">B180/2</f>
        <v>1.390625</v>
      </c>
      <c r="E180" s="53" t="n">
        <f aca="false">C180/2</f>
        <v>35.321875</v>
      </c>
    </row>
    <row r="181" customFormat="false" ht="15" hidden="false" customHeight="false" outlineLevel="0" collapsed="false">
      <c r="A181" s="30" t="str">
        <f aca="false">IF(NOT(ISNUMBER(B181)),"",IF(B181&lt;=0,"",IF(ABS(B181*64-ROUND(B181*64,0))&gt;0.0005,"≈ ","")&amp;IF(INT(ROUND(B181*64,0)/64)&gt;0,INT(ROUND(B181*64,0)/64)&amp;IF(MOD(ROUND(B181*64,0),64)&gt;0," ",""),"")&amp;IF(MOD(ROUND(B181*64,0),64)&gt;0,MOD(ROUND(B181*64,0),64)/GCD(MOD(ROUND(B181*64,0),64),64)&amp;"/"&amp;64/GCD(MOD(ROUND(B181*64,0),64),64),IF(ROUND(B181*64,0)=0,"0",""))&amp;""""))</f>
        <v>2 51/64"</v>
      </c>
      <c r="B181" s="48" t="n">
        <f aca="false">179/64</f>
        <v>2.796875</v>
      </c>
      <c r="C181" s="49" t="n">
        <f aca="false">B181*25.4</f>
        <v>71.040625</v>
      </c>
      <c r="D181" s="50" t="n">
        <f aca="false">B181/2</f>
        <v>1.3984375</v>
      </c>
      <c r="E181" s="49" t="n">
        <f aca="false">C181/2</f>
        <v>35.5203125</v>
      </c>
    </row>
    <row r="182" customFormat="false" ht="15" hidden="false" customHeight="false" outlineLevel="0" collapsed="false">
      <c r="A182" s="51" t="str">
        <f aca="false">IF(NOT(ISNUMBER(B182)),"",IF(B182&lt;=0,"",IF(ABS(B182*64-ROUND(B182*64,0))&gt;0.0005,"≈ ","")&amp;IF(INT(ROUND(B182*64,0)/64)&gt;0,INT(ROUND(B182*64,0)/64)&amp;IF(MOD(ROUND(B182*64,0),64)&gt;0," ",""),"")&amp;IF(MOD(ROUND(B182*64,0),64)&gt;0,MOD(ROUND(B182*64,0),64)/GCD(MOD(ROUND(B182*64,0),64),64)&amp;"/"&amp;64/GCD(MOD(ROUND(B182*64,0),64),64),IF(ROUND(B182*64,0)=0,"0",""))&amp;""""))</f>
        <v>2 13/16"</v>
      </c>
      <c r="B182" s="52" t="n">
        <f aca="false">180/64</f>
        <v>2.8125</v>
      </c>
      <c r="C182" s="53" t="n">
        <f aca="false">B182*25.4</f>
        <v>71.4375</v>
      </c>
      <c r="D182" s="54" t="n">
        <f aca="false">B182/2</f>
        <v>1.40625</v>
      </c>
      <c r="E182" s="53" t="n">
        <f aca="false">C182/2</f>
        <v>35.71875</v>
      </c>
    </row>
    <row r="183" customFormat="false" ht="15" hidden="false" customHeight="false" outlineLevel="0" collapsed="false">
      <c r="A183" s="30" t="str">
        <f aca="false">IF(NOT(ISNUMBER(B183)),"",IF(B183&lt;=0,"",IF(ABS(B183*64-ROUND(B183*64,0))&gt;0.0005,"≈ ","")&amp;IF(INT(ROUND(B183*64,0)/64)&gt;0,INT(ROUND(B183*64,0)/64)&amp;IF(MOD(ROUND(B183*64,0),64)&gt;0," ",""),"")&amp;IF(MOD(ROUND(B183*64,0),64)&gt;0,MOD(ROUND(B183*64,0),64)/GCD(MOD(ROUND(B183*64,0),64),64)&amp;"/"&amp;64/GCD(MOD(ROUND(B183*64,0),64),64),IF(ROUND(B183*64,0)=0,"0",""))&amp;""""))</f>
        <v>2 53/64"</v>
      </c>
      <c r="B183" s="48" t="n">
        <f aca="false">181/64</f>
        <v>2.828125</v>
      </c>
      <c r="C183" s="49" t="n">
        <f aca="false">B183*25.4</f>
        <v>71.834375</v>
      </c>
      <c r="D183" s="50" t="n">
        <f aca="false">B183/2</f>
        <v>1.4140625</v>
      </c>
      <c r="E183" s="49" t="n">
        <f aca="false">C183/2</f>
        <v>35.9171875</v>
      </c>
    </row>
    <row r="184" customFormat="false" ht="15" hidden="false" customHeight="false" outlineLevel="0" collapsed="false">
      <c r="A184" s="51" t="str">
        <f aca="false">IF(NOT(ISNUMBER(B184)),"",IF(B184&lt;=0,"",IF(ABS(B184*64-ROUND(B184*64,0))&gt;0.0005,"≈ ","")&amp;IF(INT(ROUND(B184*64,0)/64)&gt;0,INT(ROUND(B184*64,0)/64)&amp;IF(MOD(ROUND(B184*64,0),64)&gt;0," ",""),"")&amp;IF(MOD(ROUND(B184*64,0),64)&gt;0,MOD(ROUND(B184*64,0),64)/GCD(MOD(ROUND(B184*64,0),64),64)&amp;"/"&amp;64/GCD(MOD(ROUND(B184*64,0),64),64),IF(ROUND(B184*64,0)=0,"0",""))&amp;""""))</f>
        <v>2 27/32"</v>
      </c>
      <c r="B184" s="52" t="n">
        <f aca="false">182/64</f>
        <v>2.84375</v>
      </c>
      <c r="C184" s="53" t="n">
        <f aca="false">B184*25.4</f>
        <v>72.23125</v>
      </c>
      <c r="D184" s="54" t="n">
        <f aca="false">B184/2</f>
        <v>1.421875</v>
      </c>
      <c r="E184" s="53" t="n">
        <f aca="false">C184/2</f>
        <v>36.115625</v>
      </c>
    </row>
    <row r="185" customFormat="false" ht="15" hidden="false" customHeight="false" outlineLevel="0" collapsed="false">
      <c r="A185" s="30" t="str">
        <f aca="false">IF(NOT(ISNUMBER(B185)),"",IF(B185&lt;=0,"",IF(ABS(B185*64-ROUND(B185*64,0))&gt;0.0005,"≈ ","")&amp;IF(INT(ROUND(B185*64,0)/64)&gt;0,INT(ROUND(B185*64,0)/64)&amp;IF(MOD(ROUND(B185*64,0),64)&gt;0," ",""),"")&amp;IF(MOD(ROUND(B185*64,0),64)&gt;0,MOD(ROUND(B185*64,0),64)/GCD(MOD(ROUND(B185*64,0),64),64)&amp;"/"&amp;64/GCD(MOD(ROUND(B185*64,0),64),64),IF(ROUND(B185*64,0)=0,"0",""))&amp;""""))</f>
        <v>2 55/64"</v>
      </c>
      <c r="B185" s="48" t="n">
        <f aca="false">183/64</f>
        <v>2.859375</v>
      </c>
      <c r="C185" s="49" t="n">
        <f aca="false">B185*25.4</f>
        <v>72.628125</v>
      </c>
      <c r="D185" s="50" t="n">
        <f aca="false">B185/2</f>
        <v>1.4296875</v>
      </c>
      <c r="E185" s="49" t="n">
        <f aca="false">C185/2</f>
        <v>36.3140625</v>
      </c>
    </row>
    <row r="186" customFormat="false" ht="15" hidden="false" customHeight="false" outlineLevel="0" collapsed="false">
      <c r="A186" s="51" t="str">
        <f aca="false">IF(NOT(ISNUMBER(B186)),"",IF(B186&lt;=0,"",IF(ABS(B186*64-ROUND(B186*64,0))&gt;0.0005,"≈ ","")&amp;IF(INT(ROUND(B186*64,0)/64)&gt;0,INT(ROUND(B186*64,0)/64)&amp;IF(MOD(ROUND(B186*64,0),64)&gt;0," ",""),"")&amp;IF(MOD(ROUND(B186*64,0),64)&gt;0,MOD(ROUND(B186*64,0),64)/GCD(MOD(ROUND(B186*64,0),64),64)&amp;"/"&amp;64/GCD(MOD(ROUND(B186*64,0),64),64),IF(ROUND(B186*64,0)=0,"0",""))&amp;""""))</f>
        <v>2 7/8"</v>
      </c>
      <c r="B186" s="52" t="n">
        <f aca="false">184/64</f>
        <v>2.875</v>
      </c>
      <c r="C186" s="53" t="n">
        <f aca="false">B186*25.4</f>
        <v>73.025</v>
      </c>
      <c r="D186" s="54" t="n">
        <f aca="false">B186/2</f>
        <v>1.4375</v>
      </c>
      <c r="E186" s="53" t="n">
        <f aca="false">C186/2</f>
        <v>36.5125</v>
      </c>
    </row>
    <row r="187" customFormat="false" ht="15" hidden="false" customHeight="false" outlineLevel="0" collapsed="false">
      <c r="A187" s="30" t="str">
        <f aca="false">IF(NOT(ISNUMBER(B187)),"",IF(B187&lt;=0,"",IF(ABS(B187*64-ROUND(B187*64,0))&gt;0.0005,"≈ ","")&amp;IF(INT(ROUND(B187*64,0)/64)&gt;0,INT(ROUND(B187*64,0)/64)&amp;IF(MOD(ROUND(B187*64,0),64)&gt;0," ",""),"")&amp;IF(MOD(ROUND(B187*64,0),64)&gt;0,MOD(ROUND(B187*64,0),64)/GCD(MOD(ROUND(B187*64,0),64),64)&amp;"/"&amp;64/GCD(MOD(ROUND(B187*64,0),64),64),IF(ROUND(B187*64,0)=0,"0",""))&amp;""""))</f>
        <v>2 57/64"</v>
      </c>
      <c r="B187" s="48" t="n">
        <f aca="false">185/64</f>
        <v>2.890625</v>
      </c>
      <c r="C187" s="49" t="n">
        <f aca="false">B187*25.4</f>
        <v>73.421875</v>
      </c>
      <c r="D187" s="50" t="n">
        <f aca="false">B187/2</f>
        <v>1.4453125</v>
      </c>
      <c r="E187" s="49" t="n">
        <f aca="false">C187/2</f>
        <v>36.7109375</v>
      </c>
    </row>
    <row r="188" customFormat="false" ht="15" hidden="false" customHeight="false" outlineLevel="0" collapsed="false">
      <c r="A188" s="51" t="str">
        <f aca="false">IF(NOT(ISNUMBER(B188)),"",IF(B188&lt;=0,"",IF(ABS(B188*64-ROUND(B188*64,0))&gt;0.0005,"≈ ","")&amp;IF(INT(ROUND(B188*64,0)/64)&gt;0,INT(ROUND(B188*64,0)/64)&amp;IF(MOD(ROUND(B188*64,0),64)&gt;0," ",""),"")&amp;IF(MOD(ROUND(B188*64,0),64)&gt;0,MOD(ROUND(B188*64,0),64)/GCD(MOD(ROUND(B188*64,0),64),64)&amp;"/"&amp;64/GCD(MOD(ROUND(B188*64,0),64),64),IF(ROUND(B188*64,0)=0,"0",""))&amp;""""))</f>
        <v>2 29/32"</v>
      </c>
      <c r="B188" s="52" t="n">
        <f aca="false">186/64</f>
        <v>2.90625</v>
      </c>
      <c r="C188" s="53" t="n">
        <f aca="false">B188*25.4</f>
        <v>73.81875</v>
      </c>
      <c r="D188" s="54" t="n">
        <f aca="false">B188/2</f>
        <v>1.453125</v>
      </c>
      <c r="E188" s="53" t="n">
        <f aca="false">C188/2</f>
        <v>36.909375</v>
      </c>
    </row>
    <row r="189" customFormat="false" ht="15" hidden="false" customHeight="false" outlineLevel="0" collapsed="false">
      <c r="A189" s="30" t="str">
        <f aca="false">IF(NOT(ISNUMBER(B189)),"",IF(B189&lt;=0,"",IF(ABS(B189*64-ROUND(B189*64,0))&gt;0.0005,"≈ ","")&amp;IF(INT(ROUND(B189*64,0)/64)&gt;0,INT(ROUND(B189*64,0)/64)&amp;IF(MOD(ROUND(B189*64,0),64)&gt;0," ",""),"")&amp;IF(MOD(ROUND(B189*64,0),64)&gt;0,MOD(ROUND(B189*64,0),64)/GCD(MOD(ROUND(B189*64,0),64),64)&amp;"/"&amp;64/GCD(MOD(ROUND(B189*64,0),64),64),IF(ROUND(B189*64,0)=0,"0",""))&amp;""""))</f>
        <v>2 59/64"</v>
      </c>
      <c r="B189" s="48" t="n">
        <f aca="false">187/64</f>
        <v>2.921875</v>
      </c>
      <c r="C189" s="49" t="n">
        <f aca="false">B189*25.4</f>
        <v>74.215625</v>
      </c>
      <c r="D189" s="50" t="n">
        <f aca="false">B189/2</f>
        <v>1.4609375</v>
      </c>
      <c r="E189" s="49" t="n">
        <f aca="false">C189/2</f>
        <v>37.1078125</v>
      </c>
    </row>
    <row r="190" customFormat="false" ht="15" hidden="false" customHeight="false" outlineLevel="0" collapsed="false">
      <c r="A190" s="51" t="str">
        <f aca="false">IF(NOT(ISNUMBER(B190)),"",IF(B190&lt;=0,"",IF(ABS(B190*64-ROUND(B190*64,0))&gt;0.0005,"≈ ","")&amp;IF(INT(ROUND(B190*64,0)/64)&gt;0,INT(ROUND(B190*64,0)/64)&amp;IF(MOD(ROUND(B190*64,0),64)&gt;0," ",""),"")&amp;IF(MOD(ROUND(B190*64,0),64)&gt;0,MOD(ROUND(B190*64,0),64)/GCD(MOD(ROUND(B190*64,0),64),64)&amp;"/"&amp;64/GCD(MOD(ROUND(B190*64,0),64),64),IF(ROUND(B190*64,0)=0,"0",""))&amp;""""))</f>
        <v>2 15/16"</v>
      </c>
      <c r="B190" s="52" t="n">
        <f aca="false">188/64</f>
        <v>2.9375</v>
      </c>
      <c r="C190" s="53" t="n">
        <f aca="false">B190*25.4</f>
        <v>74.6125</v>
      </c>
      <c r="D190" s="54" t="n">
        <f aca="false">B190/2</f>
        <v>1.46875</v>
      </c>
      <c r="E190" s="53" t="n">
        <f aca="false">C190/2</f>
        <v>37.30625</v>
      </c>
    </row>
    <row r="191" customFormat="false" ht="15" hidden="false" customHeight="false" outlineLevel="0" collapsed="false">
      <c r="A191" s="30" t="str">
        <f aca="false">IF(NOT(ISNUMBER(B191)),"",IF(B191&lt;=0,"",IF(ABS(B191*64-ROUND(B191*64,0))&gt;0.0005,"≈ ","")&amp;IF(INT(ROUND(B191*64,0)/64)&gt;0,INT(ROUND(B191*64,0)/64)&amp;IF(MOD(ROUND(B191*64,0),64)&gt;0," ",""),"")&amp;IF(MOD(ROUND(B191*64,0),64)&gt;0,MOD(ROUND(B191*64,0),64)/GCD(MOD(ROUND(B191*64,0),64),64)&amp;"/"&amp;64/GCD(MOD(ROUND(B191*64,0),64),64),IF(ROUND(B191*64,0)=0,"0",""))&amp;""""))</f>
        <v>2 61/64"</v>
      </c>
      <c r="B191" s="48" t="n">
        <f aca="false">189/64</f>
        <v>2.953125</v>
      </c>
      <c r="C191" s="49" t="n">
        <f aca="false">B191*25.4</f>
        <v>75.009375</v>
      </c>
      <c r="D191" s="50" t="n">
        <f aca="false">B191/2</f>
        <v>1.4765625</v>
      </c>
      <c r="E191" s="49" t="n">
        <f aca="false">C191/2</f>
        <v>37.5046875</v>
      </c>
    </row>
    <row r="192" customFormat="false" ht="15" hidden="false" customHeight="false" outlineLevel="0" collapsed="false">
      <c r="A192" s="51" t="str">
        <f aca="false">IF(NOT(ISNUMBER(B192)),"",IF(B192&lt;=0,"",IF(ABS(B192*64-ROUND(B192*64,0))&gt;0.0005,"≈ ","")&amp;IF(INT(ROUND(B192*64,0)/64)&gt;0,INT(ROUND(B192*64,0)/64)&amp;IF(MOD(ROUND(B192*64,0),64)&gt;0," ",""),"")&amp;IF(MOD(ROUND(B192*64,0),64)&gt;0,MOD(ROUND(B192*64,0),64)/GCD(MOD(ROUND(B192*64,0),64),64)&amp;"/"&amp;64/GCD(MOD(ROUND(B192*64,0),64),64),IF(ROUND(B192*64,0)=0,"0",""))&amp;""""))</f>
        <v>2 31/32"</v>
      </c>
      <c r="B192" s="52" t="n">
        <f aca="false">190/64</f>
        <v>2.96875</v>
      </c>
      <c r="C192" s="53" t="n">
        <f aca="false">B192*25.4</f>
        <v>75.40625</v>
      </c>
      <c r="D192" s="54" t="n">
        <f aca="false">B192/2</f>
        <v>1.484375</v>
      </c>
      <c r="E192" s="53" t="n">
        <f aca="false">C192/2</f>
        <v>37.703125</v>
      </c>
    </row>
    <row r="193" customFormat="false" ht="15" hidden="false" customHeight="false" outlineLevel="0" collapsed="false">
      <c r="A193" s="30" t="str">
        <f aca="false">IF(NOT(ISNUMBER(B193)),"",IF(B193&lt;=0,"",IF(ABS(B193*64-ROUND(B193*64,0))&gt;0.0005,"≈ ","")&amp;IF(INT(ROUND(B193*64,0)/64)&gt;0,INT(ROUND(B193*64,0)/64)&amp;IF(MOD(ROUND(B193*64,0),64)&gt;0," ",""),"")&amp;IF(MOD(ROUND(B193*64,0),64)&gt;0,MOD(ROUND(B193*64,0),64)/GCD(MOD(ROUND(B193*64,0),64),64)&amp;"/"&amp;64/GCD(MOD(ROUND(B193*64,0),64),64),IF(ROUND(B193*64,0)=0,"0",""))&amp;""""))</f>
        <v>2 63/64"</v>
      </c>
      <c r="B193" s="48" t="n">
        <f aca="false">191/64</f>
        <v>2.984375</v>
      </c>
      <c r="C193" s="49" t="n">
        <f aca="false">B193*25.4</f>
        <v>75.803125</v>
      </c>
      <c r="D193" s="50" t="n">
        <f aca="false">B193/2</f>
        <v>1.4921875</v>
      </c>
      <c r="E193" s="49" t="n">
        <f aca="false">C193/2</f>
        <v>37.9015625</v>
      </c>
    </row>
    <row r="194" customFormat="false" ht="15" hidden="false" customHeight="false" outlineLevel="0" collapsed="false">
      <c r="A194" s="51" t="str">
        <f aca="false">IF(NOT(ISNUMBER(B194)),"",IF(B194&lt;=0,"",IF(ABS(B194*64-ROUND(B194*64,0))&gt;0.0005,"≈ ","")&amp;IF(INT(ROUND(B194*64,0)/64)&gt;0,INT(ROUND(B194*64,0)/64)&amp;IF(MOD(ROUND(B194*64,0),64)&gt;0," ",""),"")&amp;IF(MOD(ROUND(B194*64,0),64)&gt;0,MOD(ROUND(B194*64,0),64)/GCD(MOD(ROUND(B194*64,0),64),64)&amp;"/"&amp;64/GCD(MOD(ROUND(B194*64,0),64),64),IF(ROUND(B194*64,0)=0,"0",""))&amp;""""))</f>
        <v>3"</v>
      </c>
      <c r="B194" s="52" t="n">
        <f aca="false">192/64</f>
        <v>3</v>
      </c>
      <c r="C194" s="53" t="n">
        <f aca="false">B194*25.4</f>
        <v>76.2</v>
      </c>
      <c r="D194" s="54" t="n">
        <f aca="false">B194/2</f>
        <v>1.5</v>
      </c>
      <c r="E194" s="53" t="n">
        <f aca="false">C194/2</f>
        <v>38.1</v>
      </c>
    </row>
    <row r="195" customFormat="false" ht="15" hidden="false" customHeight="false" outlineLevel="0" collapsed="false">
      <c r="A195" s="30" t="str">
        <f aca="false">IF(NOT(ISNUMBER(B195)),"",IF(B195&lt;=0,"",IF(ABS(B195*64-ROUND(B195*64,0))&gt;0.0005,"≈ ","")&amp;IF(INT(ROUND(B195*64,0)/64)&gt;0,INT(ROUND(B195*64,0)/64)&amp;IF(MOD(ROUND(B195*64,0),64)&gt;0," ",""),"")&amp;IF(MOD(ROUND(B195*64,0),64)&gt;0,MOD(ROUND(B195*64,0),64)/GCD(MOD(ROUND(B195*64,0),64),64)&amp;"/"&amp;64/GCD(MOD(ROUND(B195*64,0),64),64),IF(ROUND(B195*64,0)=0,"0",""))&amp;""""))</f>
        <v>3 1/64"</v>
      </c>
      <c r="B195" s="48" t="n">
        <f aca="false">193/64</f>
        <v>3.015625</v>
      </c>
      <c r="C195" s="49" t="n">
        <f aca="false">B195*25.4</f>
        <v>76.596875</v>
      </c>
      <c r="D195" s="50" t="n">
        <f aca="false">B195/2</f>
        <v>1.5078125</v>
      </c>
      <c r="E195" s="49" t="n">
        <f aca="false">C195/2</f>
        <v>38.2984375</v>
      </c>
    </row>
    <row r="196" customFormat="false" ht="15" hidden="false" customHeight="false" outlineLevel="0" collapsed="false">
      <c r="A196" s="51" t="str">
        <f aca="false">IF(NOT(ISNUMBER(B196)),"",IF(B196&lt;=0,"",IF(ABS(B196*64-ROUND(B196*64,0))&gt;0.0005,"≈ ","")&amp;IF(INT(ROUND(B196*64,0)/64)&gt;0,INT(ROUND(B196*64,0)/64)&amp;IF(MOD(ROUND(B196*64,0),64)&gt;0," ",""),"")&amp;IF(MOD(ROUND(B196*64,0),64)&gt;0,MOD(ROUND(B196*64,0),64)/GCD(MOD(ROUND(B196*64,0),64),64)&amp;"/"&amp;64/GCD(MOD(ROUND(B196*64,0),64),64),IF(ROUND(B196*64,0)=0,"0",""))&amp;""""))</f>
        <v>3 1/32"</v>
      </c>
      <c r="B196" s="52" t="n">
        <f aca="false">194/64</f>
        <v>3.03125</v>
      </c>
      <c r="C196" s="53" t="n">
        <f aca="false">B196*25.4</f>
        <v>76.99375</v>
      </c>
      <c r="D196" s="54" t="n">
        <f aca="false">B196/2</f>
        <v>1.515625</v>
      </c>
      <c r="E196" s="53" t="n">
        <f aca="false">C196/2</f>
        <v>38.496875</v>
      </c>
    </row>
    <row r="197" customFormat="false" ht="15" hidden="false" customHeight="false" outlineLevel="0" collapsed="false">
      <c r="A197" s="30" t="str">
        <f aca="false">IF(NOT(ISNUMBER(B197)),"",IF(B197&lt;=0,"",IF(ABS(B197*64-ROUND(B197*64,0))&gt;0.0005,"≈ ","")&amp;IF(INT(ROUND(B197*64,0)/64)&gt;0,INT(ROUND(B197*64,0)/64)&amp;IF(MOD(ROUND(B197*64,0),64)&gt;0," ",""),"")&amp;IF(MOD(ROUND(B197*64,0),64)&gt;0,MOD(ROUND(B197*64,0),64)/GCD(MOD(ROUND(B197*64,0),64),64)&amp;"/"&amp;64/GCD(MOD(ROUND(B197*64,0),64),64),IF(ROUND(B197*64,0)=0,"0",""))&amp;""""))</f>
        <v>3 3/64"</v>
      </c>
      <c r="B197" s="48" t="n">
        <f aca="false">195/64</f>
        <v>3.046875</v>
      </c>
      <c r="C197" s="49" t="n">
        <f aca="false">B197*25.4</f>
        <v>77.390625</v>
      </c>
      <c r="D197" s="50" t="n">
        <f aca="false">B197/2</f>
        <v>1.5234375</v>
      </c>
      <c r="E197" s="49" t="n">
        <f aca="false">C197/2</f>
        <v>38.6953125</v>
      </c>
    </row>
    <row r="198" customFormat="false" ht="15" hidden="false" customHeight="false" outlineLevel="0" collapsed="false">
      <c r="A198" s="51" t="str">
        <f aca="false">IF(NOT(ISNUMBER(B198)),"",IF(B198&lt;=0,"",IF(ABS(B198*64-ROUND(B198*64,0))&gt;0.0005,"≈ ","")&amp;IF(INT(ROUND(B198*64,0)/64)&gt;0,INT(ROUND(B198*64,0)/64)&amp;IF(MOD(ROUND(B198*64,0),64)&gt;0," ",""),"")&amp;IF(MOD(ROUND(B198*64,0),64)&gt;0,MOD(ROUND(B198*64,0),64)/GCD(MOD(ROUND(B198*64,0),64),64)&amp;"/"&amp;64/GCD(MOD(ROUND(B198*64,0),64),64),IF(ROUND(B198*64,0)=0,"0",""))&amp;""""))</f>
        <v>3 1/16"</v>
      </c>
      <c r="B198" s="52" t="n">
        <f aca="false">196/64</f>
        <v>3.0625</v>
      </c>
      <c r="C198" s="53" t="n">
        <f aca="false">B198*25.4</f>
        <v>77.7875</v>
      </c>
      <c r="D198" s="54" t="n">
        <f aca="false">B198/2</f>
        <v>1.53125</v>
      </c>
      <c r="E198" s="53" t="n">
        <f aca="false">C198/2</f>
        <v>38.89375</v>
      </c>
    </row>
    <row r="199" customFormat="false" ht="15" hidden="false" customHeight="false" outlineLevel="0" collapsed="false">
      <c r="A199" s="30" t="str">
        <f aca="false">IF(NOT(ISNUMBER(B199)),"",IF(B199&lt;=0,"",IF(ABS(B199*64-ROUND(B199*64,0))&gt;0.0005,"≈ ","")&amp;IF(INT(ROUND(B199*64,0)/64)&gt;0,INT(ROUND(B199*64,0)/64)&amp;IF(MOD(ROUND(B199*64,0),64)&gt;0," ",""),"")&amp;IF(MOD(ROUND(B199*64,0),64)&gt;0,MOD(ROUND(B199*64,0),64)/GCD(MOD(ROUND(B199*64,0),64),64)&amp;"/"&amp;64/GCD(MOD(ROUND(B199*64,0),64),64),IF(ROUND(B199*64,0)=0,"0",""))&amp;""""))</f>
        <v>3 5/64"</v>
      </c>
      <c r="B199" s="48" t="n">
        <f aca="false">197/64</f>
        <v>3.078125</v>
      </c>
      <c r="C199" s="49" t="n">
        <f aca="false">B199*25.4</f>
        <v>78.184375</v>
      </c>
      <c r="D199" s="50" t="n">
        <f aca="false">B199/2</f>
        <v>1.5390625</v>
      </c>
      <c r="E199" s="49" t="n">
        <f aca="false">C199/2</f>
        <v>39.0921875</v>
      </c>
    </row>
    <row r="200" customFormat="false" ht="15" hidden="false" customHeight="false" outlineLevel="0" collapsed="false">
      <c r="A200" s="51" t="str">
        <f aca="false">IF(NOT(ISNUMBER(B200)),"",IF(B200&lt;=0,"",IF(ABS(B200*64-ROUND(B200*64,0))&gt;0.0005,"≈ ","")&amp;IF(INT(ROUND(B200*64,0)/64)&gt;0,INT(ROUND(B200*64,0)/64)&amp;IF(MOD(ROUND(B200*64,0),64)&gt;0," ",""),"")&amp;IF(MOD(ROUND(B200*64,0),64)&gt;0,MOD(ROUND(B200*64,0),64)/GCD(MOD(ROUND(B200*64,0),64),64)&amp;"/"&amp;64/GCD(MOD(ROUND(B200*64,0),64),64),IF(ROUND(B200*64,0)=0,"0",""))&amp;""""))</f>
        <v>3 3/32"</v>
      </c>
      <c r="B200" s="52" t="n">
        <f aca="false">198/64</f>
        <v>3.09375</v>
      </c>
      <c r="C200" s="53" t="n">
        <f aca="false">B200*25.4</f>
        <v>78.58125</v>
      </c>
      <c r="D200" s="54" t="n">
        <f aca="false">B200/2</f>
        <v>1.546875</v>
      </c>
      <c r="E200" s="53" t="n">
        <f aca="false">C200/2</f>
        <v>39.290625</v>
      </c>
    </row>
    <row r="201" customFormat="false" ht="15" hidden="false" customHeight="false" outlineLevel="0" collapsed="false">
      <c r="A201" s="30" t="str">
        <f aca="false">IF(NOT(ISNUMBER(B201)),"",IF(B201&lt;=0,"",IF(ABS(B201*64-ROUND(B201*64,0))&gt;0.0005,"≈ ","")&amp;IF(INT(ROUND(B201*64,0)/64)&gt;0,INT(ROUND(B201*64,0)/64)&amp;IF(MOD(ROUND(B201*64,0),64)&gt;0," ",""),"")&amp;IF(MOD(ROUND(B201*64,0),64)&gt;0,MOD(ROUND(B201*64,0),64)/GCD(MOD(ROUND(B201*64,0),64),64)&amp;"/"&amp;64/GCD(MOD(ROUND(B201*64,0),64),64),IF(ROUND(B201*64,0)=0,"0",""))&amp;""""))</f>
        <v>3 7/64"</v>
      </c>
      <c r="B201" s="48" t="n">
        <f aca="false">199/64</f>
        <v>3.109375</v>
      </c>
      <c r="C201" s="49" t="n">
        <f aca="false">B201*25.4</f>
        <v>78.978125</v>
      </c>
      <c r="D201" s="50" t="n">
        <f aca="false">B201/2</f>
        <v>1.5546875</v>
      </c>
      <c r="E201" s="49" t="n">
        <f aca="false">C201/2</f>
        <v>39.4890625</v>
      </c>
    </row>
    <row r="202" customFormat="false" ht="15" hidden="false" customHeight="false" outlineLevel="0" collapsed="false">
      <c r="A202" s="51" t="str">
        <f aca="false">IF(NOT(ISNUMBER(B202)),"",IF(B202&lt;=0,"",IF(ABS(B202*64-ROUND(B202*64,0))&gt;0.0005,"≈ ","")&amp;IF(INT(ROUND(B202*64,0)/64)&gt;0,INT(ROUND(B202*64,0)/64)&amp;IF(MOD(ROUND(B202*64,0),64)&gt;0," ",""),"")&amp;IF(MOD(ROUND(B202*64,0),64)&gt;0,MOD(ROUND(B202*64,0),64)/GCD(MOD(ROUND(B202*64,0),64),64)&amp;"/"&amp;64/GCD(MOD(ROUND(B202*64,0),64),64),IF(ROUND(B202*64,0)=0,"0",""))&amp;""""))</f>
        <v>3 1/8"</v>
      </c>
      <c r="B202" s="52" t="n">
        <f aca="false">200/64</f>
        <v>3.125</v>
      </c>
      <c r="C202" s="53" t="n">
        <f aca="false">B202*25.4</f>
        <v>79.375</v>
      </c>
      <c r="D202" s="54" t="n">
        <f aca="false">B202/2</f>
        <v>1.5625</v>
      </c>
      <c r="E202" s="53" t="n">
        <f aca="false">C202/2</f>
        <v>39.6875</v>
      </c>
    </row>
    <row r="203" customFormat="false" ht="15" hidden="false" customHeight="false" outlineLevel="0" collapsed="false">
      <c r="A203" s="30" t="str">
        <f aca="false">IF(NOT(ISNUMBER(B203)),"",IF(B203&lt;=0,"",IF(ABS(B203*64-ROUND(B203*64,0))&gt;0.0005,"≈ ","")&amp;IF(INT(ROUND(B203*64,0)/64)&gt;0,INT(ROUND(B203*64,0)/64)&amp;IF(MOD(ROUND(B203*64,0),64)&gt;0," ",""),"")&amp;IF(MOD(ROUND(B203*64,0),64)&gt;0,MOD(ROUND(B203*64,0),64)/GCD(MOD(ROUND(B203*64,0),64),64)&amp;"/"&amp;64/GCD(MOD(ROUND(B203*64,0),64),64),IF(ROUND(B203*64,0)=0,"0",""))&amp;""""))</f>
        <v>3 9/64"</v>
      </c>
      <c r="B203" s="48" t="n">
        <f aca="false">201/64</f>
        <v>3.140625</v>
      </c>
      <c r="C203" s="49" t="n">
        <f aca="false">B203*25.4</f>
        <v>79.771875</v>
      </c>
      <c r="D203" s="50" t="n">
        <f aca="false">B203/2</f>
        <v>1.5703125</v>
      </c>
      <c r="E203" s="49" t="n">
        <f aca="false">C203/2</f>
        <v>39.8859375</v>
      </c>
    </row>
    <row r="204" customFormat="false" ht="15" hidden="false" customHeight="false" outlineLevel="0" collapsed="false">
      <c r="A204" s="51" t="str">
        <f aca="false">IF(NOT(ISNUMBER(B204)),"",IF(B204&lt;=0,"",IF(ABS(B204*64-ROUND(B204*64,0))&gt;0.0005,"≈ ","")&amp;IF(INT(ROUND(B204*64,0)/64)&gt;0,INT(ROUND(B204*64,0)/64)&amp;IF(MOD(ROUND(B204*64,0),64)&gt;0," ",""),"")&amp;IF(MOD(ROUND(B204*64,0),64)&gt;0,MOD(ROUND(B204*64,0),64)/GCD(MOD(ROUND(B204*64,0),64),64)&amp;"/"&amp;64/GCD(MOD(ROUND(B204*64,0),64),64),IF(ROUND(B204*64,0)=0,"0",""))&amp;""""))</f>
        <v>3 5/32"</v>
      </c>
      <c r="B204" s="52" t="n">
        <f aca="false">202/64</f>
        <v>3.15625</v>
      </c>
      <c r="C204" s="53" t="n">
        <f aca="false">B204*25.4</f>
        <v>80.16875</v>
      </c>
      <c r="D204" s="54" t="n">
        <f aca="false">B204/2</f>
        <v>1.578125</v>
      </c>
      <c r="E204" s="53" t="n">
        <f aca="false">C204/2</f>
        <v>40.084375</v>
      </c>
    </row>
    <row r="205" customFormat="false" ht="15" hidden="false" customHeight="false" outlineLevel="0" collapsed="false">
      <c r="A205" s="30" t="str">
        <f aca="false">IF(NOT(ISNUMBER(B205)),"",IF(B205&lt;=0,"",IF(ABS(B205*64-ROUND(B205*64,0))&gt;0.0005,"≈ ","")&amp;IF(INT(ROUND(B205*64,0)/64)&gt;0,INT(ROUND(B205*64,0)/64)&amp;IF(MOD(ROUND(B205*64,0),64)&gt;0," ",""),"")&amp;IF(MOD(ROUND(B205*64,0),64)&gt;0,MOD(ROUND(B205*64,0),64)/GCD(MOD(ROUND(B205*64,0),64),64)&amp;"/"&amp;64/GCD(MOD(ROUND(B205*64,0),64),64),IF(ROUND(B205*64,0)=0,"0",""))&amp;""""))</f>
        <v>3 11/64"</v>
      </c>
      <c r="B205" s="48" t="n">
        <f aca="false">203/64</f>
        <v>3.171875</v>
      </c>
      <c r="C205" s="49" t="n">
        <f aca="false">B205*25.4</f>
        <v>80.565625</v>
      </c>
      <c r="D205" s="50" t="n">
        <f aca="false">B205/2</f>
        <v>1.5859375</v>
      </c>
      <c r="E205" s="49" t="n">
        <f aca="false">C205/2</f>
        <v>40.2828125</v>
      </c>
    </row>
    <row r="206" customFormat="false" ht="15" hidden="false" customHeight="false" outlineLevel="0" collapsed="false">
      <c r="A206" s="51" t="str">
        <f aca="false">IF(NOT(ISNUMBER(B206)),"",IF(B206&lt;=0,"",IF(ABS(B206*64-ROUND(B206*64,0))&gt;0.0005,"≈ ","")&amp;IF(INT(ROUND(B206*64,0)/64)&gt;0,INT(ROUND(B206*64,0)/64)&amp;IF(MOD(ROUND(B206*64,0),64)&gt;0," ",""),"")&amp;IF(MOD(ROUND(B206*64,0),64)&gt;0,MOD(ROUND(B206*64,0),64)/GCD(MOD(ROUND(B206*64,0),64),64)&amp;"/"&amp;64/GCD(MOD(ROUND(B206*64,0),64),64),IF(ROUND(B206*64,0)=0,"0",""))&amp;""""))</f>
        <v>3 3/16"</v>
      </c>
      <c r="B206" s="52" t="n">
        <f aca="false">204/64</f>
        <v>3.1875</v>
      </c>
      <c r="C206" s="53" t="n">
        <f aca="false">B206*25.4</f>
        <v>80.9625</v>
      </c>
      <c r="D206" s="54" t="n">
        <f aca="false">B206/2</f>
        <v>1.59375</v>
      </c>
      <c r="E206" s="53" t="n">
        <f aca="false">C206/2</f>
        <v>40.48125</v>
      </c>
    </row>
    <row r="207" customFormat="false" ht="15" hidden="false" customHeight="false" outlineLevel="0" collapsed="false">
      <c r="A207" s="30" t="str">
        <f aca="false">IF(NOT(ISNUMBER(B207)),"",IF(B207&lt;=0,"",IF(ABS(B207*64-ROUND(B207*64,0))&gt;0.0005,"≈ ","")&amp;IF(INT(ROUND(B207*64,0)/64)&gt;0,INT(ROUND(B207*64,0)/64)&amp;IF(MOD(ROUND(B207*64,0),64)&gt;0," ",""),"")&amp;IF(MOD(ROUND(B207*64,0),64)&gt;0,MOD(ROUND(B207*64,0),64)/GCD(MOD(ROUND(B207*64,0),64),64)&amp;"/"&amp;64/GCD(MOD(ROUND(B207*64,0),64),64),IF(ROUND(B207*64,0)=0,"0",""))&amp;""""))</f>
        <v>3 13/64"</v>
      </c>
      <c r="B207" s="48" t="n">
        <f aca="false">205/64</f>
        <v>3.203125</v>
      </c>
      <c r="C207" s="49" t="n">
        <f aca="false">B207*25.4</f>
        <v>81.359375</v>
      </c>
      <c r="D207" s="50" t="n">
        <f aca="false">B207/2</f>
        <v>1.6015625</v>
      </c>
      <c r="E207" s="49" t="n">
        <f aca="false">C207/2</f>
        <v>40.6796875</v>
      </c>
    </row>
    <row r="208" customFormat="false" ht="15" hidden="false" customHeight="false" outlineLevel="0" collapsed="false">
      <c r="A208" s="51" t="str">
        <f aca="false">IF(NOT(ISNUMBER(B208)),"",IF(B208&lt;=0,"",IF(ABS(B208*64-ROUND(B208*64,0))&gt;0.0005,"≈ ","")&amp;IF(INT(ROUND(B208*64,0)/64)&gt;0,INT(ROUND(B208*64,0)/64)&amp;IF(MOD(ROUND(B208*64,0),64)&gt;0," ",""),"")&amp;IF(MOD(ROUND(B208*64,0),64)&gt;0,MOD(ROUND(B208*64,0),64)/GCD(MOD(ROUND(B208*64,0),64),64)&amp;"/"&amp;64/GCD(MOD(ROUND(B208*64,0),64),64),IF(ROUND(B208*64,0)=0,"0",""))&amp;""""))</f>
        <v>3 7/32"</v>
      </c>
      <c r="B208" s="52" t="n">
        <f aca="false">206/64</f>
        <v>3.21875</v>
      </c>
      <c r="C208" s="53" t="n">
        <f aca="false">B208*25.4</f>
        <v>81.75625</v>
      </c>
      <c r="D208" s="54" t="n">
        <f aca="false">B208/2</f>
        <v>1.609375</v>
      </c>
      <c r="E208" s="53" t="n">
        <f aca="false">C208/2</f>
        <v>40.878125</v>
      </c>
    </row>
    <row r="209" customFormat="false" ht="15" hidden="false" customHeight="false" outlineLevel="0" collapsed="false">
      <c r="A209" s="30" t="str">
        <f aca="false">IF(NOT(ISNUMBER(B209)),"",IF(B209&lt;=0,"",IF(ABS(B209*64-ROUND(B209*64,0))&gt;0.0005,"≈ ","")&amp;IF(INT(ROUND(B209*64,0)/64)&gt;0,INT(ROUND(B209*64,0)/64)&amp;IF(MOD(ROUND(B209*64,0),64)&gt;0," ",""),"")&amp;IF(MOD(ROUND(B209*64,0),64)&gt;0,MOD(ROUND(B209*64,0),64)/GCD(MOD(ROUND(B209*64,0),64),64)&amp;"/"&amp;64/GCD(MOD(ROUND(B209*64,0),64),64),IF(ROUND(B209*64,0)=0,"0",""))&amp;""""))</f>
        <v>3 15/64"</v>
      </c>
      <c r="B209" s="48" t="n">
        <f aca="false">207/64</f>
        <v>3.234375</v>
      </c>
      <c r="C209" s="49" t="n">
        <f aca="false">B209*25.4</f>
        <v>82.153125</v>
      </c>
      <c r="D209" s="50" t="n">
        <f aca="false">B209/2</f>
        <v>1.6171875</v>
      </c>
      <c r="E209" s="49" t="n">
        <f aca="false">C209/2</f>
        <v>41.0765625</v>
      </c>
    </row>
    <row r="210" customFormat="false" ht="15" hidden="false" customHeight="false" outlineLevel="0" collapsed="false">
      <c r="A210" s="51" t="str">
        <f aca="false">IF(NOT(ISNUMBER(B210)),"",IF(B210&lt;=0,"",IF(ABS(B210*64-ROUND(B210*64,0))&gt;0.0005,"≈ ","")&amp;IF(INT(ROUND(B210*64,0)/64)&gt;0,INT(ROUND(B210*64,0)/64)&amp;IF(MOD(ROUND(B210*64,0),64)&gt;0," ",""),"")&amp;IF(MOD(ROUND(B210*64,0),64)&gt;0,MOD(ROUND(B210*64,0),64)/GCD(MOD(ROUND(B210*64,0),64),64)&amp;"/"&amp;64/GCD(MOD(ROUND(B210*64,0),64),64),IF(ROUND(B210*64,0)=0,"0",""))&amp;""""))</f>
        <v>3 1/4"</v>
      </c>
      <c r="B210" s="52" t="n">
        <f aca="false">208/64</f>
        <v>3.25</v>
      </c>
      <c r="C210" s="53" t="n">
        <f aca="false">B210*25.4</f>
        <v>82.55</v>
      </c>
      <c r="D210" s="54" t="n">
        <f aca="false">B210/2</f>
        <v>1.625</v>
      </c>
      <c r="E210" s="53" t="n">
        <f aca="false">C210/2</f>
        <v>41.275</v>
      </c>
    </row>
    <row r="211" customFormat="false" ht="15" hidden="false" customHeight="false" outlineLevel="0" collapsed="false">
      <c r="A211" s="30" t="str">
        <f aca="false">IF(NOT(ISNUMBER(B211)),"",IF(B211&lt;=0,"",IF(ABS(B211*64-ROUND(B211*64,0))&gt;0.0005,"≈ ","")&amp;IF(INT(ROUND(B211*64,0)/64)&gt;0,INT(ROUND(B211*64,0)/64)&amp;IF(MOD(ROUND(B211*64,0),64)&gt;0," ",""),"")&amp;IF(MOD(ROUND(B211*64,0),64)&gt;0,MOD(ROUND(B211*64,0),64)/GCD(MOD(ROUND(B211*64,0),64),64)&amp;"/"&amp;64/GCD(MOD(ROUND(B211*64,0),64),64),IF(ROUND(B211*64,0)=0,"0",""))&amp;""""))</f>
        <v>3 17/64"</v>
      </c>
      <c r="B211" s="48" t="n">
        <f aca="false">209/64</f>
        <v>3.265625</v>
      </c>
      <c r="C211" s="49" t="n">
        <f aca="false">B211*25.4</f>
        <v>82.946875</v>
      </c>
      <c r="D211" s="50" t="n">
        <f aca="false">B211/2</f>
        <v>1.6328125</v>
      </c>
      <c r="E211" s="49" t="n">
        <f aca="false">C211/2</f>
        <v>41.4734375</v>
      </c>
    </row>
    <row r="212" customFormat="false" ht="15" hidden="false" customHeight="false" outlineLevel="0" collapsed="false">
      <c r="A212" s="51" t="str">
        <f aca="false">IF(NOT(ISNUMBER(B212)),"",IF(B212&lt;=0,"",IF(ABS(B212*64-ROUND(B212*64,0))&gt;0.0005,"≈ ","")&amp;IF(INT(ROUND(B212*64,0)/64)&gt;0,INT(ROUND(B212*64,0)/64)&amp;IF(MOD(ROUND(B212*64,0),64)&gt;0," ",""),"")&amp;IF(MOD(ROUND(B212*64,0),64)&gt;0,MOD(ROUND(B212*64,0),64)/GCD(MOD(ROUND(B212*64,0),64),64)&amp;"/"&amp;64/GCD(MOD(ROUND(B212*64,0),64),64),IF(ROUND(B212*64,0)=0,"0",""))&amp;""""))</f>
        <v>3 9/32"</v>
      </c>
      <c r="B212" s="52" t="n">
        <f aca="false">210/64</f>
        <v>3.28125</v>
      </c>
      <c r="C212" s="53" t="n">
        <f aca="false">B212*25.4</f>
        <v>83.34375</v>
      </c>
      <c r="D212" s="54" t="n">
        <f aca="false">B212/2</f>
        <v>1.640625</v>
      </c>
      <c r="E212" s="53" t="n">
        <f aca="false">C212/2</f>
        <v>41.671875</v>
      </c>
    </row>
    <row r="213" customFormat="false" ht="15" hidden="false" customHeight="false" outlineLevel="0" collapsed="false">
      <c r="A213" s="30" t="str">
        <f aca="false">IF(NOT(ISNUMBER(B213)),"",IF(B213&lt;=0,"",IF(ABS(B213*64-ROUND(B213*64,0))&gt;0.0005,"≈ ","")&amp;IF(INT(ROUND(B213*64,0)/64)&gt;0,INT(ROUND(B213*64,0)/64)&amp;IF(MOD(ROUND(B213*64,0),64)&gt;0," ",""),"")&amp;IF(MOD(ROUND(B213*64,0),64)&gt;0,MOD(ROUND(B213*64,0),64)/GCD(MOD(ROUND(B213*64,0),64),64)&amp;"/"&amp;64/GCD(MOD(ROUND(B213*64,0),64),64),IF(ROUND(B213*64,0)=0,"0",""))&amp;""""))</f>
        <v>3 19/64"</v>
      </c>
      <c r="B213" s="48" t="n">
        <f aca="false">211/64</f>
        <v>3.296875</v>
      </c>
      <c r="C213" s="49" t="n">
        <f aca="false">B213*25.4</f>
        <v>83.740625</v>
      </c>
      <c r="D213" s="50" t="n">
        <f aca="false">B213/2</f>
        <v>1.6484375</v>
      </c>
      <c r="E213" s="49" t="n">
        <f aca="false">C213/2</f>
        <v>41.8703125</v>
      </c>
    </row>
    <row r="214" customFormat="false" ht="15" hidden="false" customHeight="false" outlineLevel="0" collapsed="false">
      <c r="A214" s="51" t="str">
        <f aca="false">IF(NOT(ISNUMBER(B214)),"",IF(B214&lt;=0,"",IF(ABS(B214*64-ROUND(B214*64,0))&gt;0.0005,"≈ ","")&amp;IF(INT(ROUND(B214*64,0)/64)&gt;0,INT(ROUND(B214*64,0)/64)&amp;IF(MOD(ROUND(B214*64,0),64)&gt;0," ",""),"")&amp;IF(MOD(ROUND(B214*64,0),64)&gt;0,MOD(ROUND(B214*64,0),64)/GCD(MOD(ROUND(B214*64,0),64),64)&amp;"/"&amp;64/GCD(MOD(ROUND(B214*64,0),64),64),IF(ROUND(B214*64,0)=0,"0",""))&amp;""""))</f>
        <v>3 5/16"</v>
      </c>
      <c r="B214" s="52" t="n">
        <f aca="false">212/64</f>
        <v>3.3125</v>
      </c>
      <c r="C214" s="53" t="n">
        <f aca="false">B214*25.4</f>
        <v>84.1375</v>
      </c>
      <c r="D214" s="54" t="n">
        <f aca="false">B214/2</f>
        <v>1.65625</v>
      </c>
      <c r="E214" s="53" t="n">
        <f aca="false">C214/2</f>
        <v>42.06875</v>
      </c>
    </row>
    <row r="215" customFormat="false" ht="15" hidden="false" customHeight="false" outlineLevel="0" collapsed="false">
      <c r="A215" s="30" t="str">
        <f aca="false">IF(NOT(ISNUMBER(B215)),"",IF(B215&lt;=0,"",IF(ABS(B215*64-ROUND(B215*64,0))&gt;0.0005,"≈ ","")&amp;IF(INT(ROUND(B215*64,0)/64)&gt;0,INT(ROUND(B215*64,0)/64)&amp;IF(MOD(ROUND(B215*64,0),64)&gt;0," ",""),"")&amp;IF(MOD(ROUND(B215*64,0),64)&gt;0,MOD(ROUND(B215*64,0),64)/GCD(MOD(ROUND(B215*64,0),64),64)&amp;"/"&amp;64/GCD(MOD(ROUND(B215*64,0),64),64),IF(ROUND(B215*64,0)=0,"0",""))&amp;""""))</f>
        <v>3 21/64"</v>
      </c>
      <c r="B215" s="48" t="n">
        <f aca="false">213/64</f>
        <v>3.328125</v>
      </c>
      <c r="C215" s="49" t="n">
        <f aca="false">B215*25.4</f>
        <v>84.534375</v>
      </c>
      <c r="D215" s="50" t="n">
        <f aca="false">B215/2</f>
        <v>1.6640625</v>
      </c>
      <c r="E215" s="49" t="n">
        <f aca="false">C215/2</f>
        <v>42.2671875</v>
      </c>
    </row>
    <row r="216" customFormat="false" ht="15" hidden="false" customHeight="false" outlineLevel="0" collapsed="false">
      <c r="A216" s="51" t="str">
        <f aca="false">IF(NOT(ISNUMBER(B216)),"",IF(B216&lt;=0,"",IF(ABS(B216*64-ROUND(B216*64,0))&gt;0.0005,"≈ ","")&amp;IF(INT(ROUND(B216*64,0)/64)&gt;0,INT(ROUND(B216*64,0)/64)&amp;IF(MOD(ROUND(B216*64,0),64)&gt;0," ",""),"")&amp;IF(MOD(ROUND(B216*64,0),64)&gt;0,MOD(ROUND(B216*64,0),64)/GCD(MOD(ROUND(B216*64,0),64),64)&amp;"/"&amp;64/GCD(MOD(ROUND(B216*64,0),64),64),IF(ROUND(B216*64,0)=0,"0",""))&amp;""""))</f>
        <v>3 11/32"</v>
      </c>
      <c r="B216" s="52" t="n">
        <f aca="false">214/64</f>
        <v>3.34375</v>
      </c>
      <c r="C216" s="53" t="n">
        <f aca="false">B216*25.4</f>
        <v>84.93125</v>
      </c>
      <c r="D216" s="54" t="n">
        <f aca="false">B216/2</f>
        <v>1.671875</v>
      </c>
      <c r="E216" s="53" t="n">
        <f aca="false">C216/2</f>
        <v>42.465625</v>
      </c>
    </row>
    <row r="217" customFormat="false" ht="15" hidden="false" customHeight="false" outlineLevel="0" collapsed="false">
      <c r="A217" s="30" t="str">
        <f aca="false">IF(NOT(ISNUMBER(B217)),"",IF(B217&lt;=0,"",IF(ABS(B217*64-ROUND(B217*64,0))&gt;0.0005,"≈ ","")&amp;IF(INT(ROUND(B217*64,0)/64)&gt;0,INT(ROUND(B217*64,0)/64)&amp;IF(MOD(ROUND(B217*64,0),64)&gt;0," ",""),"")&amp;IF(MOD(ROUND(B217*64,0),64)&gt;0,MOD(ROUND(B217*64,0),64)/GCD(MOD(ROUND(B217*64,0),64),64)&amp;"/"&amp;64/GCD(MOD(ROUND(B217*64,0),64),64),IF(ROUND(B217*64,0)=0,"0",""))&amp;""""))</f>
        <v>3 23/64"</v>
      </c>
      <c r="B217" s="48" t="n">
        <f aca="false">215/64</f>
        <v>3.359375</v>
      </c>
      <c r="C217" s="49" t="n">
        <f aca="false">B217*25.4</f>
        <v>85.328125</v>
      </c>
      <c r="D217" s="50" t="n">
        <f aca="false">B217/2</f>
        <v>1.6796875</v>
      </c>
      <c r="E217" s="49" t="n">
        <f aca="false">C217/2</f>
        <v>42.6640625</v>
      </c>
    </row>
    <row r="218" customFormat="false" ht="15" hidden="false" customHeight="false" outlineLevel="0" collapsed="false">
      <c r="A218" s="51" t="str">
        <f aca="false">IF(NOT(ISNUMBER(B218)),"",IF(B218&lt;=0,"",IF(ABS(B218*64-ROUND(B218*64,0))&gt;0.0005,"≈ ","")&amp;IF(INT(ROUND(B218*64,0)/64)&gt;0,INT(ROUND(B218*64,0)/64)&amp;IF(MOD(ROUND(B218*64,0),64)&gt;0," ",""),"")&amp;IF(MOD(ROUND(B218*64,0),64)&gt;0,MOD(ROUND(B218*64,0),64)/GCD(MOD(ROUND(B218*64,0),64),64)&amp;"/"&amp;64/GCD(MOD(ROUND(B218*64,0),64),64),IF(ROUND(B218*64,0)=0,"0",""))&amp;""""))</f>
        <v>3 3/8"</v>
      </c>
      <c r="B218" s="52" t="n">
        <f aca="false">216/64</f>
        <v>3.375</v>
      </c>
      <c r="C218" s="53" t="n">
        <f aca="false">B218*25.4</f>
        <v>85.725</v>
      </c>
      <c r="D218" s="54" t="n">
        <f aca="false">B218/2</f>
        <v>1.6875</v>
      </c>
      <c r="E218" s="53" t="n">
        <f aca="false">C218/2</f>
        <v>42.8625</v>
      </c>
    </row>
    <row r="219" customFormat="false" ht="15" hidden="false" customHeight="false" outlineLevel="0" collapsed="false">
      <c r="A219" s="30" t="str">
        <f aca="false">IF(NOT(ISNUMBER(B219)),"",IF(B219&lt;=0,"",IF(ABS(B219*64-ROUND(B219*64,0))&gt;0.0005,"≈ ","")&amp;IF(INT(ROUND(B219*64,0)/64)&gt;0,INT(ROUND(B219*64,0)/64)&amp;IF(MOD(ROUND(B219*64,0),64)&gt;0," ",""),"")&amp;IF(MOD(ROUND(B219*64,0),64)&gt;0,MOD(ROUND(B219*64,0),64)/GCD(MOD(ROUND(B219*64,0),64),64)&amp;"/"&amp;64/GCD(MOD(ROUND(B219*64,0),64),64),IF(ROUND(B219*64,0)=0,"0",""))&amp;""""))</f>
        <v>3 25/64"</v>
      </c>
      <c r="B219" s="48" t="n">
        <f aca="false">217/64</f>
        <v>3.390625</v>
      </c>
      <c r="C219" s="49" t="n">
        <f aca="false">B219*25.4</f>
        <v>86.121875</v>
      </c>
      <c r="D219" s="50" t="n">
        <f aca="false">B219/2</f>
        <v>1.6953125</v>
      </c>
      <c r="E219" s="49" t="n">
        <f aca="false">C219/2</f>
        <v>43.0609375</v>
      </c>
    </row>
    <row r="220" customFormat="false" ht="15" hidden="false" customHeight="false" outlineLevel="0" collapsed="false">
      <c r="A220" s="51" t="str">
        <f aca="false">IF(NOT(ISNUMBER(B220)),"",IF(B220&lt;=0,"",IF(ABS(B220*64-ROUND(B220*64,0))&gt;0.0005,"≈ ","")&amp;IF(INT(ROUND(B220*64,0)/64)&gt;0,INT(ROUND(B220*64,0)/64)&amp;IF(MOD(ROUND(B220*64,0),64)&gt;0," ",""),"")&amp;IF(MOD(ROUND(B220*64,0),64)&gt;0,MOD(ROUND(B220*64,0),64)/GCD(MOD(ROUND(B220*64,0),64),64)&amp;"/"&amp;64/GCD(MOD(ROUND(B220*64,0),64),64),IF(ROUND(B220*64,0)=0,"0",""))&amp;""""))</f>
        <v>3 13/32"</v>
      </c>
      <c r="B220" s="52" t="n">
        <f aca="false">218/64</f>
        <v>3.40625</v>
      </c>
      <c r="C220" s="53" t="n">
        <f aca="false">B220*25.4</f>
        <v>86.51875</v>
      </c>
      <c r="D220" s="54" t="n">
        <f aca="false">B220/2</f>
        <v>1.703125</v>
      </c>
      <c r="E220" s="53" t="n">
        <f aca="false">C220/2</f>
        <v>43.259375</v>
      </c>
    </row>
    <row r="221" customFormat="false" ht="15" hidden="false" customHeight="false" outlineLevel="0" collapsed="false">
      <c r="A221" s="30" t="str">
        <f aca="false">IF(NOT(ISNUMBER(B221)),"",IF(B221&lt;=0,"",IF(ABS(B221*64-ROUND(B221*64,0))&gt;0.0005,"≈ ","")&amp;IF(INT(ROUND(B221*64,0)/64)&gt;0,INT(ROUND(B221*64,0)/64)&amp;IF(MOD(ROUND(B221*64,0),64)&gt;0," ",""),"")&amp;IF(MOD(ROUND(B221*64,0),64)&gt;0,MOD(ROUND(B221*64,0),64)/GCD(MOD(ROUND(B221*64,0),64),64)&amp;"/"&amp;64/GCD(MOD(ROUND(B221*64,0),64),64),IF(ROUND(B221*64,0)=0,"0",""))&amp;""""))</f>
        <v>3 27/64"</v>
      </c>
      <c r="B221" s="48" t="n">
        <f aca="false">219/64</f>
        <v>3.421875</v>
      </c>
      <c r="C221" s="49" t="n">
        <f aca="false">B221*25.4</f>
        <v>86.915625</v>
      </c>
      <c r="D221" s="50" t="n">
        <f aca="false">B221/2</f>
        <v>1.7109375</v>
      </c>
      <c r="E221" s="49" t="n">
        <f aca="false">C221/2</f>
        <v>43.4578125</v>
      </c>
    </row>
    <row r="222" customFormat="false" ht="15" hidden="false" customHeight="false" outlineLevel="0" collapsed="false">
      <c r="A222" s="51" t="str">
        <f aca="false">IF(NOT(ISNUMBER(B222)),"",IF(B222&lt;=0,"",IF(ABS(B222*64-ROUND(B222*64,0))&gt;0.0005,"≈ ","")&amp;IF(INT(ROUND(B222*64,0)/64)&gt;0,INT(ROUND(B222*64,0)/64)&amp;IF(MOD(ROUND(B222*64,0),64)&gt;0," ",""),"")&amp;IF(MOD(ROUND(B222*64,0),64)&gt;0,MOD(ROUND(B222*64,0),64)/GCD(MOD(ROUND(B222*64,0),64),64)&amp;"/"&amp;64/GCD(MOD(ROUND(B222*64,0),64),64),IF(ROUND(B222*64,0)=0,"0",""))&amp;""""))</f>
        <v>3 7/16"</v>
      </c>
      <c r="B222" s="52" t="n">
        <f aca="false">220/64</f>
        <v>3.4375</v>
      </c>
      <c r="C222" s="53" t="n">
        <f aca="false">B222*25.4</f>
        <v>87.3125</v>
      </c>
      <c r="D222" s="54" t="n">
        <f aca="false">B222/2</f>
        <v>1.71875</v>
      </c>
      <c r="E222" s="53" t="n">
        <f aca="false">C222/2</f>
        <v>43.65625</v>
      </c>
    </row>
    <row r="223" customFormat="false" ht="15" hidden="false" customHeight="false" outlineLevel="0" collapsed="false">
      <c r="A223" s="30" t="str">
        <f aca="false">IF(NOT(ISNUMBER(B223)),"",IF(B223&lt;=0,"",IF(ABS(B223*64-ROUND(B223*64,0))&gt;0.0005,"≈ ","")&amp;IF(INT(ROUND(B223*64,0)/64)&gt;0,INT(ROUND(B223*64,0)/64)&amp;IF(MOD(ROUND(B223*64,0),64)&gt;0," ",""),"")&amp;IF(MOD(ROUND(B223*64,0),64)&gt;0,MOD(ROUND(B223*64,0),64)/GCD(MOD(ROUND(B223*64,0),64),64)&amp;"/"&amp;64/GCD(MOD(ROUND(B223*64,0),64),64),IF(ROUND(B223*64,0)=0,"0",""))&amp;""""))</f>
        <v>3 29/64"</v>
      </c>
      <c r="B223" s="48" t="n">
        <f aca="false">221/64</f>
        <v>3.453125</v>
      </c>
      <c r="C223" s="49" t="n">
        <f aca="false">B223*25.4</f>
        <v>87.709375</v>
      </c>
      <c r="D223" s="50" t="n">
        <f aca="false">B223/2</f>
        <v>1.7265625</v>
      </c>
      <c r="E223" s="49" t="n">
        <f aca="false">C223/2</f>
        <v>43.8546875</v>
      </c>
    </row>
    <row r="224" customFormat="false" ht="15" hidden="false" customHeight="false" outlineLevel="0" collapsed="false">
      <c r="A224" s="51" t="str">
        <f aca="false">IF(NOT(ISNUMBER(B224)),"",IF(B224&lt;=0,"",IF(ABS(B224*64-ROUND(B224*64,0))&gt;0.0005,"≈ ","")&amp;IF(INT(ROUND(B224*64,0)/64)&gt;0,INT(ROUND(B224*64,0)/64)&amp;IF(MOD(ROUND(B224*64,0),64)&gt;0," ",""),"")&amp;IF(MOD(ROUND(B224*64,0),64)&gt;0,MOD(ROUND(B224*64,0),64)/GCD(MOD(ROUND(B224*64,0),64),64)&amp;"/"&amp;64/GCD(MOD(ROUND(B224*64,0),64),64),IF(ROUND(B224*64,0)=0,"0",""))&amp;""""))</f>
        <v>3 15/32"</v>
      </c>
      <c r="B224" s="52" t="n">
        <f aca="false">222/64</f>
        <v>3.46875</v>
      </c>
      <c r="C224" s="53" t="n">
        <f aca="false">B224*25.4</f>
        <v>88.10625</v>
      </c>
      <c r="D224" s="54" t="n">
        <f aca="false">B224/2</f>
        <v>1.734375</v>
      </c>
      <c r="E224" s="53" t="n">
        <f aca="false">C224/2</f>
        <v>44.053125</v>
      </c>
    </row>
    <row r="225" customFormat="false" ht="15" hidden="false" customHeight="false" outlineLevel="0" collapsed="false">
      <c r="A225" s="30" t="str">
        <f aca="false">IF(NOT(ISNUMBER(B225)),"",IF(B225&lt;=0,"",IF(ABS(B225*64-ROUND(B225*64,0))&gt;0.0005,"≈ ","")&amp;IF(INT(ROUND(B225*64,0)/64)&gt;0,INT(ROUND(B225*64,0)/64)&amp;IF(MOD(ROUND(B225*64,0),64)&gt;0," ",""),"")&amp;IF(MOD(ROUND(B225*64,0),64)&gt;0,MOD(ROUND(B225*64,0),64)/GCD(MOD(ROUND(B225*64,0),64),64)&amp;"/"&amp;64/GCD(MOD(ROUND(B225*64,0),64),64),IF(ROUND(B225*64,0)=0,"0",""))&amp;""""))</f>
        <v>3 31/64"</v>
      </c>
      <c r="B225" s="48" t="n">
        <f aca="false">223/64</f>
        <v>3.484375</v>
      </c>
      <c r="C225" s="49" t="n">
        <f aca="false">B225*25.4</f>
        <v>88.503125</v>
      </c>
      <c r="D225" s="50" t="n">
        <f aca="false">B225/2</f>
        <v>1.7421875</v>
      </c>
      <c r="E225" s="49" t="n">
        <f aca="false">C225/2</f>
        <v>44.2515625</v>
      </c>
    </row>
    <row r="226" customFormat="false" ht="15" hidden="false" customHeight="false" outlineLevel="0" collapsed="false">
      <c r="A226" s="51" t="str">
        <f aca="false">IF(NOT(ISNUMBER(B226)),"",IF(B226&lt;=0,"",IF(ABS(B226*64-ROUND(B226*64,0))&gt;0.0005,"≈ ","")&amp;IF(INT(ROUND(B226*64,0)/64)&gt;0,INT(ROUND(B226*64,0)/64)&amp;IF(MOD(ROUND(B226*64,0),64)&gt;0," ",""),"")&amp;IF(MOD(ROUND(B226*64,0),64)&gt;0,MOD(ROUND(B226*64,0),64)/GCD(MOD(ROUND(B226*64,0),64),64)&amp;"/"&amp;64/GCD(MOD(ROUND(B226*64,0),64),64),IF(ROUND(B226*64,0)=0,"0",""))&amp;""""))</f>
        <v>3 1/2"</v>
      </c>
      <c r="B226" s="52" t="n">
        <f aca="false">224/64</f>
        <v>3.5</v>
      </c>
      <c r="C226" s="53" t="n">
        <f aca="false">B226*25.4</f>
        <v>88.9</v>
      </c>
      <c r="D226" s="54" t="n">
        <f aca="false">B226/2</f>
        <v>1.75</v>
      </c>
      <c r="E226" s="53" t="n">
        <f aca="false">C226/2</f>
        <v>44.45</v>
      </c>
    </row>
    <row r="227" customFormat="false" ht="15" hidden="false" customHeight="false" outlineLevel="0" collapsed="false">
      <c r="A227" s="30" t="str">
        <f aca="false">IF(NOT(ISNUMBER(B227)),"",IF(B227&lt;=0,"",IF(ABS(B227*64-ROUND(B227*64,0))&gt;0.0005,"≈ ","")&amp;IF(INT(ROUND(B227*64,0)/64)&gt;0,INT(ROUND(B227*64,0)/64)&amp;IF(MOD(ROUND(B227*64,0),64)&gt;0," ",""),"")&amp;IF(MOD(ROUND(B227*64,0),64)&gt;0,MOD(ROUND(B227*64,0),64)/GCD(MOD(ROUND(B227*64,0),64),64)&amp;"/"&amp;64/GCD(MOD(ROUND(B227*64,0),64),64),IF(ROUND(B227*64,0)=0,"0",""))&amp;""""))</f>
        <v>3 33/64"</v>
      </c>
      <c r="B227" s="48" t="n">
        <f aca="false">225/64</f>
        <v>3.515625</v>
      </c>
      <c r="C227" s="49" t="n">
        <f aca="false">B227*25.4</f>
        <v>89.296875</v>
      </c>
      <c r="D227" s="50" t="n">
        <f aca="false">B227/2</f>
        <v>1.7578125</v>
      </c>
      <c r="E227" s="49" t="n">
        <f aca="false">C227/2</f>
        <v>44.6484375</v>
      </c>
    </row>
    <row r="228" customFormat="false" ht="15" hidden="false" customHeight="false" outlineLevel="0" collapsed="false">
      <c r="A228" s="51" t="str">
        <f aca="false">IF(NOT(ISNUMBER(B228)),"",IF(B228&lt;=0,"",IF(ABS(B228*64-ROUND(B228*64,0))&gt;0.0005,"≈ ","")&amp;IF(INT(ROUND(B228*64,0)/64)&gt;0,INT(ROUND(B228*64,0)/64)&amp;IF(MOD(ROUND(B228*64,0),64)&gt;0," ",""),"")&amp;IF(MOD(ROUND(B228*64,0),64)&gt;0,MOD(ROUND(B228*64,0),64)/GCD(MOD(ROUND(B228*64,0),64),64)&amp;"/"&amp;64/GCD(MOD(ROUND(B228*64,0),64),64),IF(ROUND(B228*64,0)=0,"0",""))&amp;""""))</f>
        <v>3 17/32"</v>
      </c>
      <c r="B228" s="52" t="n">
        <f aca="false">226/64</f>
        <v>3.53125</v>
      </c>
      <c r="C228" s="53" t="n">
        <f aca="false">B228*25.4</f>
        <v>89.69375</v>
      </c>
      <c r="D228" s="54" t="n">
        <f aca="false">B228/2</f>
        <v>1.765625</v>
      </c>
      <c r="E228" s="53" t="n">
        <f aca="false">C228/2</f>
        <v>44.846875</v>
      </c>
    </row>
    <row r="229" customFormat="false" ht="15" hidden="false" customHeight="false" outlineLevel="0" collapsed="false">
      <c r="A229" s="30" t="str">
        <f aca="false">IF(NOT(ISNUMBER(B229)),"",IF(B229&lt;=0,"",IF(ABS(B229*64-ROUND(B229*64,0))&gt;0.0005,"≈ ","")&amp;IF(INT(ROUND(B229*64,0)/64)&gt;0,INT(ROUND(B229*64,0)/64)&amp;IF(MOD(ROUND(B229*64,0),64)&gt;0," ",""),"")&amp;IF(MOD(ROUND(B229*64,0),64)&gt;0,MOD(ROUND(B229*64,0),64)/GCD(MOD(ROUND(B229*64,0),64),64)&amp;"/"&amp;64/GCD(MOD(ROUND(B229*64,0),64),64),IF(ROUND(B229*64,0)=0,"0",""))&amp;""""))</f>
        <v>3 35/64"</v>
      </c>
      <c r="B229" s="48" t="n">
        <f aca="false">227/64</f>
        <v>3.546875</v>
      </c>
      <c r="C229" s="49" t="n">
        <f aca="false">B229*25.4</f>
        <v>90.090625</v>
      </c>
      <c r="D229" s="50" t="n">
        <f aca="false">B229/2</f>
        <v>1.7734375</v>
      </c>
      <c r="E229" s="49" t="n">
        <f aca="false">C229/2</f>
        <v>45.0453125</v>
      </c>
    </row>
    <row r="230" customFormat="false" ht="15" hidden="false" customHeight="false" outlineLevel="0" collapsed="false">
      <c r="A230" s="51" t="str">
        <f aca="false">IF(NOT(ISNUMBER(B230)),"",IF(B230&lt;=0,"",IF(ABS(B230*64-ROUND(B230*64,0))&gt;0.0005,"≈ ","")&amp;IF(INT(ROUND(B230*64,0)/64)&gt;0,INT(ROUND(B230*64,0)/64)&amp;IF(MOD(ROUND(B230*64,0),64)&gt;0," ",""),"")&amp;IF(MOD(ROUND(B230*64,0),64)&gt;0,MOD(ROUND(B230*64,0),64)/GCD(MOD(ROUND(B230*64,0),64),64)&amp;"/"&amp;64/GCD(MOD(ROUND(B230*64,0),64),64),IF(ROUND(B230*64,0)=0,"0",""))&amp;""""))</f>
        <v>3 9/16"</v>
      </c>
      <c r="B230" s="52" t="n">
        <f aca="false">228/64</f>
        <v>3.5625</v>
      </c>
      <c r="C230" s="53" t="n">
        <f aca="false">B230*25.4</f>
        <v>90.4875</v>
      </c>
      <c r="D230" s="54" t="n">
        <f aca="false">B230/2</f>
        <v>1.78125</v>
      </c>
      <c r="E230" s="53" t="n">
        <f aca="false">C230/2</f>
        <v>45.24375</v>
      </c>
    </row>
    <row r="231" customFormat="false" ht="15" hidden="false" customHeight="false" outlineLevel="0" collapsed="false">
      <c r="A231" s="30" t="str">
        <f aca="false">IF(NOT(ISNUMBER(B231)),"",IF(B231&lt;=0,"",IF(ABS(B231*64-ROUND(B231*64,0))&gt;0.0005,"≈ ","")&amp;IF(INT(ROUND(B231*64,0)/64)&gt;0,INT(ROUND(B231*64,0)/64)&amp;IF(MOD(ROUND(B231*64,0),64)&gt;0," ",""),"")&amp;IF(MOD(ROUND(B231*64,0),64)&gt;0,MOD(ROUND(B231*64,0),64)/GCD(MOD(ROUND(B231*64,0),64),64)&amp;"/"&amp;64/GCD(MOD(ROUND(B231*64,0),64),64),IF(ROUND(B231*64,0)=0,"0",""))&amp;""""))</f>
        <v>3 37/64"</v>
      </c>
      <c r="B231" s="48" t="n">
        <f aca="false">229/64</f>
        <v>3.578125</v>
      </c>
      <c r="C231" s="49" t="n">
        <f aca="false">B231*25.4</f>
        <v>90.884375</v>
      </c>
      <c r="D231" s="50" t="n">
        <f aca="false">B231/2</f>
        <v>1.7890625</v>
      </c>
      <c r="E231" s="49" t="n">
        <f aca="false">C231/2</f>
        <v>45.4421875</v>
      </c>
    </row>
    <row r="232" customFormat="false" ht="15" hidden="false" customHeight="false" outlineLevel="0" collapsed="false">
      <c r="A232" s="51" t="str">
        <f aca="false">IF(NOT(ISNUMBER(B232)),"",IF(B232&lt;=0,"",IF(ABS(B232*64-ROUND(B232*64,0))&gt;0.0005,"≈ ","")&amp;IF(INT(ROUND(B232*64,0)/64)&gt;0,INT(ROUND(B232*64,0)/64)&amp;IF(MOD(ROUND(B232*64,0),64)&gt;0," ",""),"")&amp;IF(MOD(ROUND(B232*64,0),64)&gt;0,MOD(ROUND(B232*64,0),64)/GCD(MOD(ROUND(B232*64,0),64),64)&amp;"/"&amp;64/GCD(MOD(ROUND(B232*64,0),64),64),IF(ROUND(B232*64,0)=0,"0",""))&amp;""""))</f>
        <v>3 19/32"</v>
      </c>
      <c r="B232" s="52" t="n">
        <f aca="false">230/64</f>
        <v>3.59375</v>
      </c>
      <c r="C232" s="53" t="n">
        <f aca="false">B232*25.4</f>
        <v>91.28125</v>
      </c>
      <c r="D232" s="54" t="n">
        <f aca="false">B232/2</f>
        <v>1.796875</v>
      </c>
      <c r="E232" s="53" t="n">
        <f aca="false">C232/2</f>
        <v>45.640625</v>
      </c>
    </row>
    <row r="233" customFormat="false" ht="15" hidden="false" customHeight="false" outlineLevel="0" collapsed="false">
      <c r="A233" s="30" t="str">
        <f aca="false">IF(NOT(ISNUMBER(B233)),"",IF(B233&lt;=0,"",IF(ABS(B233*64-ROUND(B233*64,0))&gt;0.0005,"≈ ","")&amp;IF(INT(ROUND(B233*64,0)/64)&gt;0,INT(ROUND(B233*64,0)/64)&amp;IF(MOD(ROUND(B233*64,0),64)&gt;0," ",""),"")&amp;IF(MOD(ROUND(B233*64,0),64)&gt;0,MOD(ROUND(B233*64,0),64)/GCD(MOD(ROUND(B233*64,0),64),64)&amp;"/"&amp;64/GCD(MOD(ROUND(B233*64,0),64),64),IF(ROUND(B233*64,0)=0,"0",""))&amp;""""))</f>
        <v>3 39/64"</v>
      </c>
      <c r="B233" s="48" t="n">
        <f aca="false">231/64</f>
        <v>3.609375</v>
      </c>
      <c r="C233" s="49" t="n">
        <f aca="false">B233*25.4</f>
        <v>91.678125</v>
      </c>
      <c r="D233" s="50" t="n">
        <f aca="false">B233/2</f>
        <v>1.8046875</v>
      </c>
      <c r="E233" s="49" t="n">
        <f aca="false">C233/2</f>
        <v>45.8390625</v>
      </c>
    </row>
    <row r="234" customFormat="false" ht="15" hidden="false" customHeight="false" outlineLevel="0" collapsed="false">
      <c r="A234" s="51" t="str">
        <f aca="false">IF(NOT(ISNUMBER(B234)),"",IF(B234&lt;=0,"",IF(ABS(B234*64-ROUND(B234*64,0))&gt;0.0005,"≈ ","")&amp;IF(INT(ROUND(B234*64,0)/64)&gt;0,INT(ROUND(B234*64,0)/64)&amp;IF(MOD(ROUND(B234*64,0),64)&gt;0," ",""),"")&amp;IF(MOD(ROUND(B234*64,0),64)&gt;0,MOD(ROUND(B234*64,0),64)/GCD(MOD(ROUND(B234*64,0),64),64)&amp;"/"&amp;64/GCD(MOD(ROUND(B234*64,0),64),64),IF(ROUND(B234*64,0)=0,"0",""))&amp;""""))</f>
        <v>3 5/8"</v>
      </c>
      <c r="B234" s="52" t="n">
        <f aca="false">232/64</f>
        <v>3.625</v>
      </c>
      <c r="C234" s="53" t="n">
        <f aca="false">B234*25.4</f>
        <v>92.075</v>
      </c>
      <c r="D234" s="54" t="n">
        <f aca="false">B234/2</f>
        <v>1.8125</v>
      </c>
      <c r="E234" s="53" t="n">
        <f aca="false">C234/2</f>
        <v>46.0375</v>
      </c>
    </row>
    <row r="235" customFormat="false" ht="15" hidden="false" customHeight="false" outlineLevel="0" collapsed="false">
      <c r="A235" s="30" t="str">
        <f aca="false">IF(NOT(ISNUMBER(B235)),"",IF(B235&lt;=0,"",IF(ABS(B235*64-ROUND(B235*64,0))&gt;0.0005,"≈ ","")&amp;IF(INT(ROUND(B235*64,0)/64)&gt;0,INT(ROUND(B235*64,0)/64)&amp;IF(MOD(ROUND(B235*64,0),64)&gt;0," ",""),"")&amp;IF(MOD(ROUND(B235*64,0),64)&gt;0,MOD(ROUND(B235*64,0),64)/GCD(MOD(ROUND(B235*64,0),64),64)&amp;"/"&amp;64/GCD(MOD(ROUND(B235*64,0),64),64),IF(ROUND(B235*64,0)=0,"0",""))&amp;""""))</f>
        <v>3 41/64"</v>
      </c>
      <c r="B235" s="48" t="n">
        <f aca="false">233/64</f>
        <v>3.640625</v>
      </c>
      <c r="C235" s="49" t="n">
        <f aca="false">B235*25.4</f>
        <v>92.471875</v>
      </c>
      <c r="D235" s="50" t="n">
        <f aca="false">B235/2</f>
        <v>1.8203125</v>
      </c>
      <c r="E235" s="49" t="n">
        <f aca="false">C235/2</f>
        <v>46.2359375</v>
      </c>
    </row>
    <row r="236" customFormat="false" ht="15" hidden="false" customHeight="false" outlineLevel="0" collapsed="false">
      <c r="A236" s="51" t="str">
        <f aca="false">IF(NOT(ISNUMBER(B236)),"",IF(B236&lt;=0,"",IF(ABS(B236*64-ROUND(B236*64,0))&gt;0.0005,"≈ ","")&amp;IF(INT(ROUND(B236*64,0)/64)&gt;0,INT(ROUND(B236*64,0)/64)&amp;IF(MOD(ROUND(B236*64,0),64)&gt;0," ",""),"")&amp;IF(MOD(ROUND(B236*64,0),64)&gt;0,MOD(ROUND(B236*64,0),64)/GCD(MOD(ROUND(B236*64,0),64),64)&amp;"/"&amp;64/GCD(MOD(ROUND(B236*64,0),64),64),IF(ROUND(B236*64,0)=0,"0",""))&amp;""""))</f>
        <v>3 21/32"</v>
      </c>
      <c r="B236" s="52" t="n">
        <f aca="false">234/64</f>
        <v>3.65625</v>
      </c>
      <c r="C236" s="53" t="n">
        <f aca="false">B236*25.4</f>
        <v>92.86875</v>
      </c>
      <c r="D236" s="54" t="n">
        <f aca="false">B236/2</f>
        <v>1.828125</v>
      </c>
      <c r="E236" s="53" t="n">
        <f aca="false">C236/2</f>
        <v>46.434375</v>
      </c>
    </row>
    <row r="237" customFormat="false" ht="15" hidden="false" customHeight="false" outlineLevel="0" collapsed="false">
      <c r="A237" s="30" t="str">
        <f aca="false">IF(NOT(ISNUMBER(B237)),"",IF(B237&lt;=0,"",IF(ABS(B237*64-ROUND(B237*64,0))&gt;0.0005,"≈ ","")&amp;IF(INT(ROUND(B237*64,0)/64)&gt;0,INT(ROUND(B237*64,0)/64)&amp;IF(MOD(ROUND(B237*64,0),64)&gt;0," ",""),"")&amp;IF(MOD(ROUND(B237*64,0),64)&gt;0,MOD(ROUND(B237*64,0),64)/GCD(MOD(ROUND(B237*64,0),64),64)&amp;"/"&amp;64/GCD(MOD(ROUND(B237*64,0),64),64),IF(ROUND(B237*64,0)=0,"0",""))&amp;""""))</f>
        <v>3 43/64"</v>
      </c>
      <c r="B237" s="48" t="n">
        <f aca="false">235/64</f>
        <v>3.671875</v>
      </c>
      <c r="C237" s="49" t="n">
        <f aca="false">B237*25.4</f>
        <v>93.265625</v>
      </c>
      <c r="D237" s="50" t="n">
        <f aca="false">B237/2</f>
        <v>1.8359375</v>
      </c>
      <c r="E237" s="49" t="n">
        <f aca="false">C237/2</f>
        <v>46.6328125</v>
      </c>
    </row>
    <row r="238" customFormat="false" ht="15" hidden="false" customHeight="false" outlineLevel="0" collapsed="false">
      <c r="A238" s="51" t="str">
        <f aca="false">IF(NOT(ISNUMBER(B238)),"",IF(B238&lt;=0,"",IF(ABS(B238*64-ROUND(B238*64,0))&gt;0.0005,"≈ ","")&amp;IF(INT(ROUND(B238*64,0)/64)&gt;0,INT(ROUND(B238*64,0)/64)&amp;IF(MOD(ROUND(B238*64,0),64)&gt;0," ",""),"")&amp;IF(MOD(ROUND(B238*64,0),64)&gt;0,MOD(ROUND(B238*64,0),64)/GCD(MOD(ROUND(B238*64,0),64),64)&amp;"/"&amp;64/GCD(MOD(ROUND(B238*64,0),64),64),IF(ROUND(B238*64,0)=0,"0",""))&amp;""""))</f>
        <v>3 11/16"</v>
      </c>
      <c r="B238" s="52" t="n">
        <f aca="false">236/64</f>
        <v>3.6875</v>
      </c>
      <c r="C238" s="53" t="n">
        <f aca="false">B238*25.4</f>
        <v>93.6625</v>
      </c>
      <c r="D238" s="54" t="n">
        <f aca="false">B238/2</f>
        <v>1.84375</v>
      </c>
      <c r="E238" s="53" t="n">
        <f aca="false">C238/2</f>
        <v>46.83125</v>
      </c>
    </row>
    <row r="239" customFormat="false" ht="15" hidden="false" customHeight="false" outlineLevel="0" collapsed="false">
      <c r="A239" s="30" t="str">
        <f aca="false">IF(NOT(ISNUMBER(B239)),"",IF(B239&lt;=0,"",IF(ABS(B239*64-ROUND(B239*64,0))&gt;0.0005,"≈ ","")&amp;IF(INT(ROUND(B239*64,0)/64)&gt;0,INT(ROUND(B239*64,0)/64)&amp;IF(MOD(ROUND(B239*64,0),64)&gt;0," ",""),"")&amp;IF(MOD(ROUND(B239*64,0),64)&gt;0,MOD(ROUND(B239*64,0),64)/GCD(MOD(ROUND(B239*64,0),64),64)&amp;"/"&amp;64/GCD(MOD(ROUND(B239*64,0),64),64),IF(ROUND(B239*64,0)=0,"0",""))&amp;""""))</f>
        <v>3 45/64"</v>
      </c>
      <c r="B239" s="48" t="n">
        <f aca="false">237/64</f>
        <v>3.703125</v>
      </c>
      <c r="C239" s="49" t="n">
        <f aca="false">B239*25.4</f>
        <v>94.059375</v>
      </c>
      <c r="D239" s="50" t="n">
        <f aca="false">B239/2</f>
        <v>1.8515625</v>
      </c>
      <c r="E239" s="49" t="n">
        <f aca="false">C239/2</f>
        <v>47.0296875</v>
      </c>
    </row>
    <row r="240" customFormat="false" ht="15" hidden="false" customHeight="false" outlineLevel="0" collapsed="false">
      <c r="A240" s="51" t="str">
        <f aca="false">IF(NOT(ISNUMBER(B240)),"",IF(B240&lt;=0,"",IF(ABS(B240*64-ROUND(B240*64,0))&gt;0.0005,"≈ ","")&amp;IF(INT(ROUND(B240*64,0)/64)&gt;0,INT(ROUND(B240*64,0)/64)&amp;IF(MOD(ROUND(B240*64,0),64)&gt;0," ",""),"")&amp;IF(MOD(ROUND(B240*64,0),64)&gt;0,MOD(ROUND(B240*64,0),64)/GCD(MOD(ROUND(B240*64,0),64),64)&amp;"/"&amp;64/GCD(MOD(ROUND(B240*64,0),64),64),IF(ROUND(B240*64,0)=0,"0",""))&amp;""""))</f>
        <v>3 23/32"</v>
      </c>
      <c r="B240" s="52" t="n">
        <f aca="false">238/64</f>
        <v>3.71875</v>
      </c>
      <c r="C240" s="53" t="n">
        <f aca="false">B240*25.4</f>
        <v>94.45625</v>
      </c>
      <c r="D240" s="54" t="n">
        <f aca="false">B240/2</f>
        <v>1.859375</v>
      </c>
      <c r="E240" s="53" t="n">
        <f aca="false">C240/2</f>
        <v>47.228125</v>
      </c>
    </row>
    <row r="241" customFormat="false" ht="15" hidden="false" customHeight="false" outlineLevel="0" collapsed="false">
      <c r="A241" s="30" t="str">
        <f aca="false">IF(NOT(ISNUMBER(B241)),"",IF(B241&lt;=0,"",IF(ABS(B241*64-ROUND(B241*64,0))&gt;0.0005,"≈ ","")&amp;IF(INT(ROUND(B241*64,0)/64)&gt;0,INT(ROUND(B241*64,0)/64)&amp;IF(MOD(ROUND(B241*64,0),64)&gt;0," ",""),"")&amp;IF(MOD(ROUND(B241*64,0),64)&gt;0,MOD(ROUND(B241*64,0),64)/GCD(MOD(ROUND(B241*64,0),64),64)&amp;"/"&amp;64/GCD(MOD(ROUND(B241*64,0),64),64),IF(ROUND(B241*64,0)=0,"0",""))&amp;""""))</f>
        <v>3 47/64"</v>
      </c>
      <c r="B241" s="48" t="n">
        <f aca="false">239/64</f>
        <v>3.734375</v>
      </c>
      <c r="C241" s="49" t="n">
        <f aca="false">B241*25.4</f>
        <v>94.853125</v>
      </c>
      <c r="D241" s="50" t="n">
        <f aca="false">B241/2</f>
        <v>1.8671875</v>
      </c>
      <c r="E241" s="49" t="n">
        <f aca="false">C241/2</f>
        <v>47.4265625</v>
      </c>
    </row>
    <row r="242" customFormat="false" ht="15" hidden="false" customHeight="false" outlineLevel="0" collapsed="false">
      <c r="A242" s="51" t="str">
        <f aca="false">IF(NOT(ISNUMBER(B242)),"",IF(B242&lt;=0,"",IF(ABS(B242*64-ROUND(B242*64,0))&gt;0.0005,"≈ ","")&amp;IF(INT(ROUND(B242*64,0)/64)&gt;0,INT(ROUND(B242*64,0)/64)&amp;IF(MOD(ROUND(B242*64,0),64)&gt;0," ",""),"")&amp;IF(MOD(ROUND(B242*64,0),64)&gt;0,MOD(ROUND(B242*64,0),64)/GCD(MOD(ROUND(B242*64,0),64),64)&amp;"/"&amp;64/GCD(MOD(ROUND(B242*64,0),64),64),IF(ROUND(B242*64,0)=0,"0",""))&amp;""""))</f>
        <v>3 3/4"</v>
      </c>
      <c r="B242" s="52" t="n">
        <f aca="false">240/64</f>
        <v>3.75</v>
      </c>
      <c r="C242" s="53" t="n">
        <f aca="false">B242*25.4</f>
        <v>95.25</v>
      </c>
      <c r="D242" s="54" t="n">
        <f aca="false">B242/2</f>
        <v>1.875</v>
      </c>
      <c r="E242" s="53" t="n">
        <f aca="false">C242/2</f>
        <v>47.625</v>
      </c>
    </row>
    <row r="243" customFormat="false" ht="15" hidden="false" customHeight="false" outlineLevel="0" collapsed="false">
      <c r="A243" s="30" t="str">
        <f aca="false">IF(NOT(ISNUMBER(B243)),"",IF(B243&lt;=0,"",IF(ABS(B243*64-ROUND(B243*64,0))&gt;0.0005,"≈ ","")&amp;IF(INT(ROUND(B243*64,0)/64)&gt;0,INT(ROUND(B243*64,0)/64)&amp;IF(MOD(ROUND(B243*64,0),64)&gt;0," ",""),"")&amp;IF(MOD(ROUND(B243*64,0),64)&gt;0,MOD(ROUND(B243*64,0),64)/GCD(MOD(ROUND(B243*64,0),64),64)&amp;"/"&amp;64/GCD(MOD(ROUND(B243*64,0),64),64),IF(ROUND(B243*64,0)=0,"0",""))&amp;""""))</f>
        <v>3 49/64"</v>
      </c>
      <c r="B243" s="48" t="n">
        <f aca="false">241/64</f>
        <v>3.765625</v>
      </c>
      <c r="C243" s="49" t="n">
        <f aca="false">B243*25.4</f>
        <v>95.646875</v>
      </c>
      <c r="D243" s="50" t="n">
        <f aca="false">B243/2</f>
        <v>1.8828125</v>
      </c>
      <c r="E243" s="49" t="n">
        <f aca="false">C243/2</f>
        <v>47.8234375</v>
      </c>
    </row>
    <row r="244" customFormat="false" ht="15" hidden="false" customHeight="false" outlineLevel="0" collapsed="false">
      <c r="A244" s="51" t="str">
        <f aca="false">IF(NOT(ISNUMBER(B244)),"",IF(B244&lt;=0,"",IF(ABS(B244*64-ROUND(B244*64,0))&gt;0.0005,"≈ ","")&amp;IF(INT(ROUND(B244*64,0)/64)&gt;0,INT(ROUND(B244*64,0)/64)&amp;IF(MOD(ROUND(B244*64,0),64)&gt;0," ",""),"")&amp;IF(MOD(ROUND(B244*64,0),64)&gt;0,MOD(ROUND(B244*64,0),64)/GCD(MOD(ROUND(B244*64,0),64),64)&amp;"/"&amp;64/GCD(MOD(ROUND(B244*64,0),64),64),IF(ROUND(B244*64,0)=0,"0",""))&amp;""""))</f>
        <v>3 25/32"</v>
      </c>
      <c r="B244" s="52" t="n">
        <f aca="false">242/64</f>
        <v>3.78125</v>
      </c>
      <c r="C244" s="53" t="n">
        <f aca="false">B244*25.4</f>
        <v>96.04375</v>
      </c>
      <c r="D244" s="54" t="n">
        <f aca="false">B244/2</f>
        <v>1.890625</v>
      </c>
      <c r="E244" s="53" t="n">
        <f aca="false">C244/2</f>
        <v>48.021875</v>
      </c>
    </row>
    <row r="245" customFormat="false" ht="15" hidden="false" customHeight="false" outlineLevel="0" collapsed="false">
      <c r="A245" s="30" t="str">
        <f aca="false">IF(NOT(ISNUMBER(B245)),"",IF(B245&lt;=0,"",IF(ABS(B245*64-ROUND(B245*64,0))&gt;0.0005,"≈ ","")&amp;IF(INT(ROUND(B245*64,0)/64)&gt;0,INT(ROUND(B245*64,0)/64)&amp;IF(MOD(ROUND(B245*64,0),64)&gt;0," ",""),"")&amp;IF(MOD(ROUND(B245*64,0),64)&gt;0,MOD(ROUND(B245*64,0),64)/GCD(MOD(ROUND(B245*64,0),64),64)&amp;"/"&amp;64/GCD(MOD(ROUND(B245*64,0),64),64),IF(ROUND(B245*64,0)=0,"0",""))&amp;""""))</f>
        <v>3 51/64"</v>
      </c>
      <c r="B245" s="48" t="n">
        <f aca="false">243/64</f>
        <v>3.796875</v>
      </c>
      <c r="C245" s="49" t="n">
        <f aca="false">B245*25.4</f>
        <v>96.440625</v>
      </c>
      <c r="D245" s="50" t="n">
        <f aca="false">B245/2</f>
        <v>1.8984375</v>
      </c>
      <c r="E245" s="49" t="n">
        <f aca="false">C245/2</f>
        <v>48.2203125</v>
      </c>
    </row>
    <row r="246" customFormat="false" ht="15" hidden="false" customHeight="false" outlineLevel="0" collapsed="false">
      <c r="A246" s="51" t="str">
        <f aca="false">IF(NOT(ISNUMBER(B246)),"",IF(B246&lt;=0,"",IF(ABS(B246*64-ROUND(B246*64,0))&gt;0.0005,"≈ ","")&amp;IF(INT(ROUND(B246*64,0)/64)&gt;0,INT(ROUND(B246*64,0)/64)&amp;IF(MOD(ROUND(B246*64,0),64)&gt;0," ",""),"")&amp;IF(MOD(ROUND(B246*64,0),64)&gt;0,MOD(ROUND(B246*64,0),64)/GCD(MOD(ROUND(B246*64,0),64),64)&amp;"/"&amp;64/GCD(MOD(ROUND(B246*64,0),64),64),IF(ROUND(B246*64,0)=0,"0",""))&amp;""""))</f>
        <v>3 13/16"</v>
      </c>
      <c r="B246" s="52" t="n">
        <f aca="false">244/64</f>
        <v>3.8125</v>
      </c>
      <c r="C246" s="53" t="n">
        <f aca="false">B246*25.4</f>
        <v>96.8375</v>
      </c>
      <c r="D246" s="54" t="n">
        <f aca="false">B246/2</f>
        <v>1.90625</v>
      </c>
      <c r="E246" s="53" t="n">
        <f aca="false">C246/2</f>
        <v>48.41875</v>
      </c>
    </row>
    <row r="247" customFormat="false" ht="15" hidden="false" customHeight="false" outlineLevel="0" collapsed="false">
      <c r="A247" s="30" t="str">
        <f aca="false">IF(NOT(ISNUMBER(B247)),"",IF(B247&lt;=0,"",IF(ABS(B247*64-ROUND(B247*64,0))&gt;0.0005,"≈ ","")&amp;IF(INT(ROUND(B247*64,0)/64)&gt;0,INT(ROUND(B247*64,0)/64)&amp;IF(MOD(ROUND(B247*64,0),64)&gt;0," ",""),"")&amp;IF(MOD(ROUND(B247*64,0),64)&gt;0,MOD(ROUND(B247*64,0),64)/GCD(MOD(ROUND(B247*64,0),64),64)&amp;"/"&amp;64/GCD(MOD(ROUND(B247*64,0),64),64),IF(ROUND(B247*64,0)=0,"0",""))&amp;""""))</f>
        <v>3 53/64"</v>
      </c>
      <c r="B247" s="48" t="n">
        <f aca="false">245/64</f>
        <v>3.828125</v>
      </c>
      <c r="C247" s="49" t="n">
        <f aca="false">B247*25.4</f>
        <v>97.234375</v>
      </c>
      <c r="D247" s="50" t="n">
        <f aca="false">B247/2</f>
        <v>1.9140625</v>
      </c>
      <c r="E247" s="49" t="n">
        <f aca="false">C247/2</f>
        <v>48.6171875</v>
      </c>
    </row>
    <row r="248" customFormat="false" ht="15" hidden="false" customHeight="false" outlineLevel="0" collapsed="false">
      <c r="A248" s="51" t="str">
        <f aca="false">IF(NOT(ISNUMBER(B248)),"",IF(B248&lt;=0,"",IF(ABS(B248*64-ROUND(B248*64,0))&gt;0.0005,"≈ ","")&amp;IF(INT(ROUND(B248*64,0)/64)&gt;0,INT(ROUND(B248*64,0)/64)&amp;IF(MOD(ROUND(B248*64,0),64)&gt;0," ",""),"")&amp;IF(MOD(ROUND(B248*64,0),64)&gt;0,MOD(ROUND(B248*64,0),64)/GCD(MOD(ROUND(B248*64,0),64),64)&amp;"/"&amp;64/GCD(MOD(ROUND(B248*64,0),64),64),IF(ROUND(B248*64,0)=0,"0",""))&amp;""""))</f>
        <v>3 27/32"</v>
      </c>
      <c r="B248" s="52" t="n">
        <f aca="false">246/64</f>
        <v>3.84375</v>
      </c>
      <c r="C248" s="53" t="n">
        <f aca="false">B248*25.4</f>
        <v>97.63125</v>
      </c>
      <c r="D248" s="54" t="n">
        <f aca="false">B248/2</f>
        <v>1.921875</v>
      </c>
      <c r="E248" s="53" t="n">
        <f aca="false">C248/2</f>
        <v>48.815625</v>
      </c>
    </row>
    <row r="249" customFormat="false" ht="15" hidden="false" customHeight="false" outlineLevel="0" collapsed="false">
      <c r="A249" s="30" t="str">
        <f aca="false">IF(NOT(ISNUMBER(B249)),"",IF(B249&lt;=0,"",IF(ABS(B249*64-ROUND(B249*64,0))&gt;0.0005,"≈ ","")&amp;IF(INT(ROUND(B249*64,0)/64)&gt;0,INT(ROUND(B249*64,0)/64)&amp;IF(MOD(ROUND(B249*64,0),64)&gt;0," ",""),"")&amp;IF(MOD(ROUND(B249*64,0),64)&gt;0,MOD(ROUND(B249*64,0),64)/GCD(MOD(ROUND(B249*64,0),64),64)&amp;"/"&amp;64/GCD(MOD(ROUND(B249*64,0),64),64),IF(ROUND(B249*64,0)=0,"0",""))&amp;""""))</f>
        <v>3 55/64"</v>
      </c>
      <c r="B249" s="48" t="n">
        <f aca="false">247/64</f>
        <v>3.859375</v>
      </c>
      <c r="C249" s="49" t="n">
        <f aca="false">B249*25.4</f>
        <v>98.028125</v>
      </c>
      <c r="D249" s="50" t="n">
        <f aca="false">B249/2</f>
        <v>1.9296875</v>
      </c>
      <c r="E249" s="49" t="n">
        <f aca="false">C249/2</f>
        <v>49.0140625</v>
      </c>
    </row>
    <row r="250" customFormat="false" ht="15" hidden="false" customHeight="false" outlineLevel="0" collapsed="false">
      <c r="A250" s="51" t="str">
        <f aca="false">IF(NOT(ISNUMBER(B250)),"",IF(B250&lt;=0,"",IF(ABS(B250*64-ROUND(B250*64,0))&gt;0.0005,"≈ ","")&amp;IF(INT(ROUND(B250*64,0)/64)&gt;0,INT(ROUND(B250*64,0)/64)&amp;IF(MOD(ROUND(B250*64,0),64)&gt;0," ",""),"")&amp;IF(MOD(ROUND(B250*64,0),64)&gt;0,MOD(ROUND(B250*64,0),64)/GCD(MOD(ROUND(B250*64,0),64),64)&amp;"/"&amp;64/GCD(MOD(ROUND(B250*64,0),64),64),IF(ROUND(B250*64,0)=0,"0",""))&amp;""""))</f>
        <v>3 7/8"</v>
      </c>
      <c r="B250" s="52" t="n">
        <f aca="false">248/64</f>
        <v>3.875</v>
      </c>
      <c r="C250" s="53" t="n">
        <f aca="false">B250*25.4</f>
        <v>98.425</v>
      </c>
      <c r="D250" s="54" t="n">
        <f aca="false">B250/2</f>
        <v>1.9375</v>
      </c>
      <c r="E250" s="53" t="n">
        <f aca="false">C250/2</f>
        <v>49.2125</v>
      </c>
    </row>
    <row r="251" customFormat="false" ht="15" hidden="false" customHeight="false" outlineLevel="0" collapsed="false">
      <c r="A251" s="30" t="str">
        <f aca="false">IF(NOT(ISNUMBER(B251)),"",IF(B251&lt;=0,"",IF(ABS(B251*64-ROUND(B251*64,0))&gt;0.0005,"≈ ","")&amp;IF(INT(ROUND(B251*64,0)/64)&gt;0,INT(ROUND(B251*64,0)/64)&amp;IF(MOD(ROUND(B251*64,0),64)&gt;0," ",""),"")&amp;IF(MOD(ROUND(B251*64,0),64)&gt;0,MOD(ROUND(B251*64,0),64)/GCD(MOD(ROUND(B251*64,0),64),64)&amp;"/"&amp;64/GCD(MOD(ROUND(B251*64,0),64),64),IF(ROUND(B251*64,0)=0,"0",""))&amp;""""))</f>
        <v>3 57/64"</v>
      </c>
      <c r="B251" s="48" t="n">
        <f aca="false">249/64</f>
        <v>3.890625</v>
      </c>
      <c r="C251" s="49" t="n">
        <f aca="false">B251*25.4</f>
        <v>98.821875</v>
      </c>
      <c r="D251" s="50" t="n">
        <f aca="false">B251/2</f>
        <v>1.9453125</v>
      </c>
      <c r="E251" s="49" t="n">
        <f aca="false">C251/2</f>
        <v>49.4109375</v>
      </c>
    </row>
    <row r="252" customFormat="false" ht="15" hidden="false" customHeight="false" outlineLevel="0" collapsed="false">
      <c r="A252" s="51" t="str">
        <f aca="false">IF(NOT(ISNUMBER(B252)),"",IF(B252&lt;=0,"",IF(ABS(B252*64-ROUND(B252*64,0))&gt;0.0005,"≈ ","")&amp;IF(INT(ROUND(B252*64,0)/64)&gt;0,INT(ROUND(B252*64,0)/64)&amp;IF(MOD(ROUND(B252*64,0),64)&gt;0," ",""),"")&amp;IF(MOD(ROUND(B252*64,0),64)&gt;0,MOD(ROUND(B252*64,0),64)/GCD(MOD(ROUND(B252*64,0),64),64)&amp;"/"&amp;64/GCD(MOD(ROUND(B252*64,0),64),64),IF(ROUND(B252*64,0)=0,"0",""))&amp;""""))</f>
        <v>3 29/32"</v>
      </c>
      <c r="B252" s="52" t="n">
        <f aca="false">250/64</f>
        <v>3.90625</v>
      </c>
      <c r="C252" s="53" t="n">
        <f aca="false">B252*25.4</f>
        <v>99.21875</v>
      </c>
      <c r="D252" s="54" t="n">
        <f aca="false">B252/2</f>
        <v>1.953125</v>
      </c>
      <c r="E252" s="53" t="n">
        <f aca="false">C252/2</f>
        <v>49.609375</v>
      </c>
    </row>
    <row r="253" customFormat="false" ht="15" hidden="false" customHeight="false" outlineLevel="0" collapsed="false">
      <c r="A253" s="30" t="str">
        <f aca="false">IF(NOT(ISNUMBER(B253)),"",IF(B253&lt;=0,"",IF(ABS(B253*64-ROUND(B253*64,0))&gt;0.0005,"≈ ","")&amp;IF(INT(ROUND(B253*64,0)/64)&gt;0,INT(ROUND(B253*64,0)/64)&amp;IF(MOD(ROUND(B253*64,0),64)&gt;0," ",""),"")&amp;IF(MOD(ROUND(B253*64,0),64)&gt;0,MOD(ROUND(B253*64,0),64)/GCD(MOD(ROUND(B253*64,0),64),64)&amp;"/"&amp;64/GCD(MOD(ROUND(B253*64,0),64),64),IF(ROUND(B253*64,0)=0,"0",""))&amp;""""))</f>
        <v>3 59/64"</v>
      </c>
      <c r="B253" s="48" t="n">
        <f aca="false">251/64</f>
        <v>3.921875</v>
      </c>
      <c r="C253" s="49" t="n">
        <f aca="false">B253*25.4</f>
        <v>99.615625</v>
      </c>
      <c r="D253" s="50" t="n">
        <f aca="false">B253/2</f>
        <v>1.9609375</v>
      </c>
      <c r="E253" s="49" t="n">
        <f aca="false">C253/2</f>
        <v>49.8078125</v>
      </c>
    </row>
    <row r="254" customFormat="false" ht="15" hidden="false" customHeight="false" outlineLevel="0" collapsed="false">
      <c r="A254" s="51" t="str">
        <f aca="false">IF(NOT(ISNUMBER(B254)),"",IF(B254&lt;=0,"",IF(ABS(B254*64-ROUND(B254*64,0))&gt;0.0005,"≈ ","")&amp;IF(INT(ROUND(B254*64,0)/64)&gt;0,INT(ROUND(B254*64,0)/64)&amp;IF(MOD(ROUND(B254*64,0),64)&gt;0," ",""),"")&amp;IF(MOD(ROUND(B254*64,0),64)&gt;0,MOD(ROUND(B254*64,0),64)/GCD(MOD(ROUND(B254*64,0),64),64)&amp;"/"&amp;64/GCD(MOD(ROUND(B254*64,0),64),64),IF(ROUND(B254*64,0)=0,"0",""))&amp;""""))</f>
        <v>3 15/16"</v>
      </c>
      <c r="B254" s="52" t="n">
        <f aca="false">252/64</f>
        <v>3.9375</v>
      </c>
      <c r="C254" s="53" t="n">
        <f aca="false">B254*25.4</f>
        <v>100.0125</v>
      </c>
      <c r="D254" s="54" t="n">
        <f aca="false">B254/2</f>
        <v>1.96875</v>
      </c>
      <c r="E254" s="53" t="n">
        <f aca="false">C254/2</f>
        <v>50.00625</v>
      </c>
    </row>
    <row r="255" customFormat="false" ht="15" hidden="false" customHeight="false" outlineLevel="0" collapsed="false">
      <c r="A255" s="30" t="str">
        <f aca="false">IF(NOT(ISNUMBER(B255)),"",IF(B255&lt;=0,"",IF(ABS(B255*64-ROUND(B255*64,0))&gt;0.0005,"≈ ","")&amp;IF(INT(ROUND(B255*64,0)/64)&gt;0,INT(ROUND(B255*64,0)/64)&amp;IF(MOD(ROUND(B255*64,0),64)&gt;0," ",""),"")&amp;IF(MOD(ROUND(B255*64,0),64)&gt;0,MOD(ROUND(B255*64,0),64)/GCD(MOD(ROUND(B255*64,0),64),64)&amp;"/"&amp;64/GCD(MOD(ROUND(B255*64,0),64),64),IF(ROUND(B255*64,0)=0,"0",""))&amp;""""))</f>
        <v>3 61/64"</v>
      </c>
      <c r="B255" s="48" t="n">
        <f aca="false">253/64</f>
        <v>3.953125</v>
      </c>
      <c r="C255" s="49" t="n">
        <f aca="false">B255*25.4</f>
        <v>100.409375</v>
      </c>
      <c r="D255" s="50" t="n">
        <f aca="false">B255/2</f>
        <v>1.9765625</v>
      </c>
      <c r="E255" s="49" t="n">
        <f aca="false">C255/2</f>
        <v>50.2046875</v>
      </c>
    </row>
    <row r="256" customFormat="false" ht="15" hidden="false" customHeight="false" outlineLevel="0" collapsed="false">
      <c r="A256" s="51" t="str">
        <f aca="false">IF(NOT(ISNUMBER(B256)),"",IF(B256&lt;=0,"",IF(ABS(B256*64-ROUND(B256*64,0))&gt;0.0005,"≈ ","")&amp;IF(INT(ROUND(B256*64,0)/64)&gt;0,INT(ROUND(B256*64,0)/64)&amp;IF(MOD(ROUND(B256*64,0),64)&gt;0," ",""),"")&amp;IF(MOD(ROUND(B256*64,0),64)&gt;0,MOD(ROUND(B256*64,0),64)/GCD(MOD(ROUND(B256*64,0),64),64)&amp;"/"&amp;64/GCD(MOD(ROUND(B256*64,0),64),64),IF(ROUND(B256*64,0)=0,"0",""))&amp;""""))</f>
        <v>3 31/32"</v>
      </c>
      <c r="B256" s="52" t="n">
        <f aca="false">254/64</f>
        <v>3.96875</v>
      </c>
      <c r="C256" s="53" t="n">
        <f aca="false">B256*25.4</f>
        <v>100.80625</v>
      </c>
      <c r="D256" s="54" t="n">
        <f aca="false">B256/2</f>
        <v>1.984375</v>
      </c>
      <c r="E256" s="53" t="n">
        <f aca="false">C256/2</f>
        <v>50.403125</v>
      </c>
    </row>
    <row r="257" customFormat="false" ht="15" hidden="false" customHeight="false" outlineLevel="0" collapsed="false">
      <c r="A257" s="30" t="str">
        <f aca="false">IF(NOT(ISNUMBER(B257)),"",IF(B257&lt;=0,"",IF(ABS(B257*64-ROUND(B257*64,0))&gt;0.0005,"≈ ","")&amp;IF(INT(ROUND(B257*64,0)/64)&gt;0,INT(ROUND(B257*64,0)/64)&amp;IF(MOD(ROUND(B257*64,0),64)&gt;0," ",""),"")&amp;IF(MOD(ROUND(B257*64,0),64)&gt;0,MOD(ROUND(B257*64,0),64)/GCD(MOD(ROUND(B257*64,0),64),64)&amp;"/"&amp;64/GCD(MOD(ROUND(B257*64,0),64),64),IF(ROUND(B257*64,0)=0,"0",""))&amp;""""))</f>
        <v>3 63/64"</v>
      </c>
      <c r="B257" s="48" t="n">
        <f aca="false">255/64</f>
        <v>3.984375</v>
      </c>
      <c r="C257" s="49" t="n">
        <f aca="false">B257*25.4</f>
        <v>101.203125</v>
      </c>
      <c r="D257" s="50" t="n">
        <f aca="false">B257/2</f>
        <v>1.9921875</v>
      </c>
      <c r="E257" s="49" t="n">
        <f aca="false">C257/2</f>
        <v>50.6015625</v>
      </c>
    </row>
    <row r="258" customFormat="false" ht="15" hidden="false" customHeight="false" outlineLevel="0" collapsed="false">
      <c r="A258" s="51" t="str">
        <f aca="false">IF(NOT(ISNUMBER(B258)),"",IF(B258&lt;=0,"",IF(ABS(B258*64-ROUND(B258*64,0))&gt;0.0005,"≈ ","")&amp;IF(INT(ROUND(B258*64,0)/64)&gt;0,INT(ROUND(B258*64,0)/64)&amp;IF(MOD(ROUND(B258*64,0),64)&gt;0," ",""),"")&amp;IF(MOD(ROUND(B258*64,0),64)&gt;0,MOD(ROUND(B258*64,0),64)/GCD(MOD(ROUND(B258*64,0),64),64)&amp;"/"&amp;64/GCD(MOD(ROUND(B258*64,0),64),64),IF(ROUND(B258*64,0)=0,"0",""))&amp;""""))</f>
        <v>4"</v>
      </c>
      <c r="B258" s="52" t="n">
        <f aca="false">256/64</f>
        <v>4</v>
      </c>
      <c r="C258" s="53" t="n">
        <f aca="false">B258*25.4</f>
        <v>101.6</v>
      </c>
      <c r="D258" s="54" t="n">
        <f aca="false">B258/2</f>
        <v>2</v>
      </c>
      <c r="E258" s="53" t="n">
        <f aca="false">C258/2</f>
        <v>50.8</v>
      </c>
    </row>
  </sheetData>
  <conditionalFormatting sqref="A3:E258">
    <cfRule type="expression" priority="2" aboveAverage="0" equalAverage="0" bottom="0" percent="0" rank="0" text="" dxfId="7">
      <formula>AND(Calcul!$C$13=64,ABS($B3-Convertisseur!$C$14)&lt;0.000001)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BY1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55" t="s">
        <v>645</v>
      </c>
    </row>
    <row r="3" customFormat="false" ht="15" hidden="false" customHeight="false" outlineLevel="0" collapsed="false">
      <c r="B3" s="56" t="s">
        <v>646</v>
      </c>
      <c r="E3" s="56" t="s">
        <v>647</v>
      </c>
      <c r="H3" s="56" t="s">
        <v>648</v>
      </c>
      <c r="K3" s="56" t="s">
        <v>649</v>
      </c>
      <c r="N3" s="56" t="s">
        <v>650</v>
      </c>
    </row>
    <row r="4" customFormat="false" ht="15" hidden="false" customHeight="false" outlineLevel="0" collapsed="false">
      <c r="B4" s="57" t="s">
        <v>651</v>
      </c>
      <c r="C4" s="57" t="str">
        <f aca="false">TRIM(SUBSTITUTE(Convertisseur!$B$4&amp;"",",","."))</f>
        <v>5/16</v>
      </c>
      <c r="E4" s="57" t="s">
        <v>651</v>
      </c>
      <c r="F4" s="57" t="str">
        <f aca="false">TRIM(SUBSTITUTE(Avances!$B$7&amp;"",",","."))</f>
        <v>1/2</v>
      </c>
      <c r="H4" s="57" t="s">
        <v>652</v>
      </c>
      <c r="I4" s="57" t="n">
        <f aca="false">MATCH(Avances!$B$4,{"Polycarbonate","Acrylique","HDPE","UHMW","Autre plastique dur","Autre plastique mou"},0)</f>
        <v>1</v>
      </c>
      <c r="K4" s="57" t="s">
        <v>651</v>
      </c>
      <c r="L4" s="57" t="str">
        <f aca="false">TRIM(SUBSTITUTE('Recherche outils'!$B$6&amp;"",",","."))</f>
        <v/>
      </c>
      <c r="N4" s="57" t="s">
        <v>651</v>
      </c>
      <c r="O4" s="57" t="str">
        <f aca="false">TRIM(SUBSTITUTE('Recherche outils'!$B$8&amp;"",",","."))</f>
        <v/>
      </c>
    </row>
    <row r="5" customFormat="false" ht="15" hidden="false" customHeight="false" outlineLevel="0" collapsed="false">
      <c r="B5" s="57" t="s">
        <v>653</v>
      </c>
      <c r="C5" s="57" t="n">
        <f aca="false">IFERROR(FIND(" ",C4),0)</f>
        <v>0</v>
      </c>
      <c r="E5" s="57" t="s">
        <v>653</v>
      </c>
      <c r="F5" s="57" t="n">
        <f aca="false">IFERROR(FIND(" ",F4),0)</f>
        <v>0</v>
      </c>
      <c r="H5" s="57" t="s">
        <v>654</v>
      </c>
      <c r="I5" s="57" t="n">
        <f aca="false">CHOOSE(I4,1,1,1,2,1,2)</f>
        <v>1</v>
      </c>
      <c r="K5" s="57" t="s">
        <v>653</v>
      </c>
      <c r="L5" s="57" t="n">
        <f aca="false">IFERROR(FIND(" ",L4),0)</f>
        <v>0</v>
      </c>
      <c r="N5" s="57" t="s">
        <v>653</v>
      </c>
      <c r="O5" s="57" t="n">
        <f aca="false">IFERROR(FIND(" ",O4),0)</f>
        <v>0</v>
      </c>
    </row>
    <row r="6" customFormat="false" ht="15" hidden="false" customHeight="false" outlineLevel="0" collapsed="false">
      <c r="B6" s="57" t="s">
        <v>655</v>
      </c>
      <c r="C6" s="57" t="n">
        <f aca="false">IF(C5&gt;0,VALUE(LEFT(C4,C5-1)),0)</f>
        <v>0</v>
      </c>
      <c r="E6" s="57" t="s">
        <v>655</v>
      </c>
      <c r="F6" s="57" t="n">
        <f aca="false">IF(F5&gt;0,VALUE(LEFT(F4,F5-1)),0)</f>
        <v>0</v>
      </c>
      <c r="H6" s="57" t="s">
        <v>656</v>
      </c>
      <c r="I6" s="57" t="n">
        <f aca="false">IF(OR(I4=1,I4=3,I4=4),1,0)</f>
        <v>1</v>
      </c>
      <c r="K6" s="57" t="s">
        <v>655</v>
      </c>
      <c r="L6" s="57" t="n">
        <f aca="false">IF(L5&gt;0,VALUE(LEFT(L4,L5-1)),0)</f>
        <v>0</v>
      </c>
      <c r="N6" s="57" t="s">
        <v>655</v>
      </c>
      <c r="O6" s="57" t="n">
        <f aca="false">IF(O5&gt;0,VALUE(LEFT(O4,O5-1)),0)</f>
        <v>0</v>
      </c>
    </row>
    <row r="7" customFormat="false" ht="15" hidden="false" customHeight="false" outlineLevel="0" collapsed="false">
      <c r="B7" s="57" t="s">
        <v>657</v>
      </c>
      <c r="C7" s="57" t="str">
        <f aca="false">IF(C5&gt;0,TRIM(MID(C4,C5+1,99)),C4)</f>
        <v>5/16</v>
      </c>
      <c r="E7" s="57" t="s">
        <v>657</v>
      </c>
      <c r="F7" s="57" t="str">
        <f aca="false">IF(F5&gt;0,TRIM(MID(F4,F5+1,99)),F4)</f>
        <v>1/2</v>
      </c>
      <c r="H7" s="57" t="s">
        <v>658</v>
      </c>
      <c r="I7" s="57" t="n">
        <f aca="false">MATCH(Avances!$B$5,{"Détourage / profil","Trous / poches","Chanfrein / V / gravure","3D / bout rond"},0)</f>
        <v>1</v>
      </c>
      <c r="K7" s="57" t="s">
        <v>657</v>
      </c>
      <c r="L7" s="57" t="str">
        <f aca="false">IF(L5&gt;0,TRIM(MID(L4,L5+1,99)),L4)</f>
        <v/>
      </c>
      <c r="N7" s="57" t="s">
        <v>657</v>
      </c>
      <c r="O7" s="57" t="str">
        <f aca="false">IF(O5&gt;0,TRIM(MID(O4,O5+1,99)),O4)</f>
        <v/>
      </c>
    </row>
    <row r="8" customFormat="false" ht="15" hidden="false" customHeight="false" outlineLevel="0" collapsed="false">
      <c r="B8" s="57" t="s">
        <v>659</v>
      </c>
      <c r="C8" s="57" t="n">
        <f aca="false">IFERROR(FIND("/",C7),0)</f>
        <v>2</v>
      </c>
      <c r="E8" s="57" t="s">
        <v>659</v>
      </c>
      <c r="F8" s="57" t="n">
        <f aca="false">IFERROR(FIND("/",F7),0)</f>
        <v>2</v>
      </c>
      <c r="H8" s="57" t="s">
        <v>660</v>
      </c>
      <c r="I8" s="57" t="str">
        <f aca="false">CHOOSE(I7,"straight","straight","chamfer","ball")</f>
        <v>straight</v>
      </c>
      <c r="K8" s="57" t="s">
        <v>659</v>
      </c>
      <c r="L8" s="57" t="n">
        <f aca="false">IFERROR(FIND("/",L7),0)</f>
        <v>0</v>
      </c>
      <c r="N8" s="57" t="s">
        <v>659</v>
      </c>
      <c r="O8" s="57" t="n">
        <f aca="false">IFERROR(FIND("/",O7),0)</f>
        <v>0</v>
      </c>
    </row>
    <row r="9" customFormat="false" ht="15" hidden="false" customHeight="false" outlineLevel="0" collapsed="false">
      <c r="B9" s="57" t="s">
        <v>661</v>
      </c>
      <c r="C9" s="57" t="n">
        <f aca="false">IFERROR(FIND(".",C4),0)</f>
        <v>0</v>
      </c>
      <c r="E9" s="57" t="s">
        <v>661</v>
      </c>
      <c r="F9" s="57" t="n">
        <f aca="false">IFERROR(FIND(".",F4),0)</f>
        <v>0</v>
      </c>
      <c r="H9" s="57" t="s">
        <v>28</v>
      </c>
      <c r="I9" s="57" t="str">
        <f aca="false">LOWER(Avances!$B$6)</f>
        <v>upcut</v>
      </c>
      <c r="K9" s="57" t="s">
        <v>661</v>
      </c>
      <c r="L9" s="57" t="n">
        <f aca="false">IFERROR(FIND(".",L4),0)</f>
        <v>0</v>
      </c>
      <c r="N9" s="57" t="s">
        <v>661</v>
      </c>
      <c r="O9" s="57" t="n">
        <f aca="false">IFERROR(FIND(".",O4),0)</f>
        <v>0</v>
      </c>
    </row>
    <row r="10" customFormat="false" ht="15" hidden="false" customHeight="false" outlineLevel="0" collapsed="false">
      <c r="B10" s="57" t="s">
        <v>662</v>
      </c>
      <c r="C10" s="57" t="n">
        <f aca="false">IFERROR(IF(C4="","",IF(C8&gt;0,C6+VALUE(LEFT(C7,C8-1))/VALUE(MID(C7,C8+1,99)),IF(C9&gt;0,IF(C9=1,0,VALUE(LEFT(C4,C9-1)))+IF(LEN(C4)&gt;C9,VALUE(MID(C4,C9+1,20))/10^(LEN(C4)-C9),0),VALUE(C4)))),"Erreur")</f>
        <v>0.3125</v>
      </c>
      <c r="E10" s="57" t="s">
        <v>662</v>
      </c>
      <c r="F10" s="57" t="n">
        <f aca="false">IFERROR(IF(F4="","",IF(F8&gt;0,F6+VALUE(LEFT(F7,F8-1))/VALUE(MID(F7,F8+1,99)),IF(F9&gt;0,IF(F9=1,0,VALUE(LEFT(F4,F9-1)))+IF(LEN(F4)&gt;F9,VALUE(MID(F4,F9+1,20))/10^(LEN(F4)-F9),0),VALUE(F4)))),"Erreur")</f>
        <v>0.5</v>
      </c>
      <c r="H10" s="57" t="s">
        <v>663</v>
      </c>
      <c r="I10" s="57" t="n">
        <f aca="false">IF(ISNUMBER(Calcul!$F$11),Calcul!$F$11,0)</f>
        <v>0.5</v>
      </c>
      <c r="K10" s="57" t="s">
        <v>662</v>
      </c>
      <c r="L10" s="57" t="str">
        <f aca="false">IFERROR(IF(L4="","",IF(L8&gt;0,L6+VALUE(LEFT(L7,L8-1))/VALUE(MID(L7,L8+1,99)),IF(L9&gt;0,IF(L9=1,0,VALUE(LEFT(L4,L9-1)))+IF(LEN(L4)&gt;L9,VALUE(MID(L4,L9+1,20))/10^(LEN(L4)-L9),0),VALUE(L4)))),"Erreur")</f>
        <v/>
      </c>
      <c r="N10" s="57" t="s">
        <v>662</v>
      </c>
      <c r="O10" s="57" t="str">
        <f aca="false">IFERROR(IF(O4="","",IF(O8&gt;0,O6+VALUE(LEFT(O7,O8-1))/VALUE(MID(O7,O8+1,99)),IF(O9&gt;0,IF(O9=1,0,VALUE(LEFT(O4,O9-1)))+IF(LEN(O4)&gt;O9,VALUE(MID(O4,O9+1,20))/10^(LEN(O4)-O9),0),VALUE(O4)))),"Erreur")</f>
        <v/>
      </c>
    </row>
    <row r="11" customFormat="false" ht="15" hidden="false" customHeight="false" outlineLevel="0" collapsed="false">
      <c r="B11" s="57" t="s">
        <v>664</v>
      </c>
      <c r="C11" s="57" t="n">
        <f aca="false">IF(ISNUMBER(C10),IF(Convertisseur!$B$5="mm",C10/25.4,C10),"")</f>
        <v>0.3125</v>
      </c>
      <c r="E11" s="57" t="s">
        <v>664</v>
      </c>
      <c r="F11" s="57" t="n">
        <f aca="false">IF(ISNUMBER(F10),IF(Avances!$B$8="mm",F10/25.4,F10),"")</f>
        <v>0.5</v>
      </c>
      <c r="H11" s="57" t="s">
        <v>64</v>
      </c>
      <c r="I11" s="57" t="str">
        <f aca="false">CHOOSE(I4,"160–180 po/min","—","250 po/min","250 po/min","—","—")</f>
        <v>160–180 po/min</v>
      </c>
      <c r="K11" s="57" t="s">
        <v>664</v>
      </c>
      <c r="L11" s="57" t="str">
        <f aca="false">IF(ISNUMBER(L10),IF('Recherche outils'!$B$7="mm",L10/25.4,L10),"")</f>
        <v/>
      </c>
      <c r="N11" s="57" t="s">
        <v>664</v>
      </c>
      <c r="O11" s="57" t="str">
        <f aca="false">IF(ISNUMBER(O10),IF('Recherche outils'!$B$9="mm",O10/25.4,O10),"")</f>
        <v/>
      </c>
    </row>
    <row r="13" customFormat="false" ht="15" hidden="false" customHeight="false" outlineLevel="0" collapsed="false">
      <c r="B13" s="57" t="s">
        <v>665</v>
      </c>
      <c r="C13" s="57" t="n">
        <f aca="false">VALUE(MID(Convertisseur!$B$6,3,2))</f>
        <v>16</v>
      </c>
    </row>
    <row r="14" customFormat="false" ht="15" hidden="false" customHeight="false" outlineLevel="0" collapsed="false">
      <c r="B14" s="57" t="s">
        <v>666</v>
      </c>
      <c r="C14" s="57" t="n">
        <f aca="false">IF(ISNUMBER(Calcul!$C$11),FLOOR(ROUND(Calcul!$C$11*C13,4),1),0)</f>
        <v>5</v>
      </c>
    </row>
    <row r="58" customFormat="false" ht="15" hidden="false" customHeight="false" outlineLevel="0" collapsed="false">
      <c r="L58" s="56" t="s">
        <v>667</v>
      </c>
      <c r="Q58" s="56" t="s">
        <v>668</v>
      </c>
      <c r="R58" s="56" t="s">
        <v>669</v>
      </c>
    </row>
    <row r="59" customFormat="false" ht="15" hidden="false" customHeight="false" outlineLevel="0" collapsed="false">
      <c r="M59" s="0" t="s">
        <v>670</v>
      </c>
      <c r="N59" s="0" t="s">
        <v>671</v>
      </c>
      <c r="O59" s="0" t="s">
        <v>672</v>
      </c>
      <c r="R59" s="56" t="s">
        <v>673</v>
      </c>
      <c r="S59" s="56" t="s">
        <v>674</v>
      </c>
      <c r="T59" s="56" t="s">
        <v>675</v>
      </c>
      <c r="U59" s="56" t="s">
        <v>676</v>
      </c>
      <c r="V59" s="56" t="s">
        <v>677</v>
      </c>
      <c r="W59" s="56" t="s">
        <v>678</v>
      </c>
      <c r="X59" s="56" t="s">
        <v>679</v>
      </c>
      <c r="Y59" s="56" t="s">
        <v>680</v>
      </c>
      <c r="Z59" s="56" t="s">
        <v>681</v>
      </c>
      <c r="AA59" s="56" t="s">
        <v>682</v>
      </c>
      <c r="AB59" s="56" t="s">
        <v>683</v>
      </c>
      <c r="AC59" s="56" t="s">
        <v>684</v>
      </c>
      <c r="AD59" s="56" t="s">
        <v>685</v>
      </c>
      <c r="AE59" s="56" t="s">
        <v>686</v>
      </c>
      <c r="AF59" s="56" t="s">
        <v>687</v>
      </c>
      <c r="AG59" s="56" t="s">
        <v>688</v>
      </c>
      <c r="AH59" s="56" t="s">
        <v>689</v>
      </c>
      <c r="AI59" s="56" t="s">
        <v>690</v>
      </c>
      <c r="AJ59" s="56" t="s">
        <v>691</v>
      </c>
      <c r="AK59" s="56" t="s">
        <v>692</v>
      </c>
      <c r="AL59" s="56" t="s">
        <v>693</v>
      </c>
      <c r="AM59" s="56" t="s">
        <v>694</v>
      </c>
      <c r="AN59" s="56" t="s">
        <v>695</v>
      </c>
      <c r="AO59" s="56" t="s">
        <v>696</v>
      </c>
      <c r="AP59" s="56" t="s">
        <v>697</v>
      </c>
      <c r="AQ59" s="56" t="s">
        <v>698</v>
      </c>
      <c r="AR59" s="56" t="s">
        <v>699</v>
      </c>
      <c r="AS59" s="56" t="s">
        <v>700</v>
      </c>
      <c r="AT59" s="56" t="s">
        <v>701</v>
      </c>
      <c r="AU59" s="56" t="s">
        <v>702</v>
      </c>
      <c r="AV59" s="56" t="s">
        <v>703</v>
      </c>
      <c r="AW59" s="56" t="s">
        <v>704</v>
      </c>
      <c r="AX59" s="56" t="s">
        <v>705</v>
      </c>
      <c r="AY59" s="56" t="s">
        <v>706</v>
      </c>
      <c r="AZ59" s="56" t="s">
        <v>707</v>
      </c>
      <c r="BA59" s="56" t="s">
        <v>708</v>
      </c>
      <c r="BB59" s="56" t="s">
        <v>709</v>
      </c>
      <c r="BC59" s="56" t="s">
        <v>710</v>
      </c>
      <c r="BD59" s="56" t="s">
        <v>711</v>
      </c>
      <c r="BE59" s="56" t="s">
        <v>712</v>
      </c>
      <c r="BF59" s="56" t="s">
        <v>713</v>
      </c>
      <c r="BG59" s="56" t="s">
        <v>714</v>
      </c>
      <c r="BH59" s="56" t="s">
        <v>715</v>
      </c>
      <c r="BI59" s="56" t="s">
        <v>716</v>
      </c>
      <c r="BJ59" s="56" t="s">
        <v>717</v>
      </c>
      <c r="BK59" s="56" t="s">
        <v>718</v>
      </c>
      <c r="BL59" s="56" t="s">
        <v>719</v>
      </c>
      <c r="BM59" s="56" t="s">
        <v>720</v>
      </c>
      <c r="BN59" s="56" t="s">
        <v>721</v>
      </c>
    </row>
    <row r="60" customFormat="false" ht="15" hidden="false" customHeight="false" outlineLevel="0" collapsed="false">
      <c r="M60" s="0" t="str">
        <f aca="false">IF(AND(ISNUMBER('Liste outils'!$E$6),Convertisseur!$C$14&gt;0),IF(ABS('Liste outils'!$E$6-Convertisseur!$C$14)&lt;0.0005,COUNTIFS('Liste outils'!$E$6:$E6,"&gt;"&amp;(Convertisseur!$C$14-0.0005),'Liste outils'!$E$6:$E6,"&lt;"&amp;(Convertisseur!$C$14+0.0005)),""),"")</f>
        <v/>
      </c>
      <c r="N60" s="0" t="str">
        <f aca="false">IF(AND(ISNUMBER('Liste outils'!$E$6),Convertisseur!$C$15&gt;0),IF(ABS('Liste outils'!$E$6-Convertisseur!$C$15)&lt;0.0005,COUNTIFS('Liste outils'!$E$6:$E6,"&gt;"&amp;(Convertisseur!$C$15-0.0005),'Liste outils'!$E$6:$E6,"&lt;"&amp;(Convertisseur!$C$15+0.0005)),""),"")</f>
        <v/>
      </c>
      <c r="O60" s="0" t="str">
        <f aca="false">IF(AND(ISNUMBER('Liste outils'!$E$6),Convertisseur!$C$16&gt;0),IF(ABS('Liste outils'!$E$6-Convertisseur!$C$16)&lt;0.0005,COUNTIFS('Liste outils'!$E$6:$E6,"&gt;"&amp;(Convertisseur!$C$16-0.0005),'Liste outils'!$E$6:$E6,"&lt;"&amp;(Convertisseur!$C$16+0.0005)),""),"")</f>
        <v/>
      </c>
      <c r="P60" s="58" t="n">
        <f aca="false">IF(AND(OR('Recherche outils'!$B$5="Tous",'Recherche outils'!$B$5='Liste outils'!$C$6),OR(TRIM('Recherche outils'!$B$4&amp;"")="",ISNUMBER(SEARCH(TRIM('Recherche outils'!$B$4&amp;""),'Liste outils'!$B$6&amp;" "&amp;'Liste outils'!$C$6&amp;" "&amp;'Liste outils'!$J$6&amp;" "&amp;'Liste outils'!$O$6&amp;" "&amp;'Liste outils'!$P$6&amp;" "&amp;'Liste outils'!$Q$6&amp;" "&amp;'Liste outils'!$AA$6&amp;" "&amp;'Liste outils'!$AB$6&amp;" "&amp;'Liste outils'!$AC$6&amp;" "&amp;'Liste outils'!$T$6))),OR(NOT(ISNUMBER(Calcul!$L$11)),AND(ISNUMBER('Liste outils'!$E$6),ABS('Liste outils'!$E$6-IF(ISNUMBER(Calcul!$L$11),Calcul!$L$11,0))&lt;0.002)),OR(NOT(ISNUMBER(Calcul!$O$11)),AND(ISNUMBER('Liste outils'!$H$6),'Liste outils'!$H$6+0.000001&gt;=IF(ISNUMBER(Calcul!$O$11),Calcul!$O$11,0)))),IF(ISNUMBER('Liste outils'!$E$6),'Liste outils'!$E$6,99)*100000+IF(ISNUMBER('Liste outils'!$H$6),'Liste outils'!$H$6,99)*100+1/1000,"")</f>
        <v>9900087.501</v>
      </c>
      <c r="R60" s="58" t="s">
        <v>284</v>
      </c>
      <c r="S60" s="58" t="n">
        <v>0.25</v>
      </c>
      <c r="T60" s="58" t="n">
        <v>0.375</v>
      </c>
      <c r="U60" s="58" t="n">
        <v>2</v>
      </c>
      <c r="V60" s="58" t="s">
        <v>722</v>
      </c>
      <c r="W60" s="58"/>
      <c r="X60" s="58" t="s">
        <v>286</v>
      </c>
      <c r="Y60" s="58" t="s">
        <v>290</v>
      </c>
      <c r="Z60" s="58" t="s">
        <v>291</v>
      </c>
      <c r="AA60" s="58" t="s">
        <v>285</v>
      </c>
      <c r="AB60" s="58"/>
      <c r="AC60" s="58" t="n">
        <v>0.004</v>
      </c>
      <c r="AD60" s="58" t="n">
        <v>0.006</v>
      </c>
      <c r="AE60" s="58" t="n">
        <v>0</v>
      </c>
      <c r="AF60" s="58" t="n">
        <v>0</v>
      </c>
      <c r="AG60" s="58" t="n">
        <v>1</v>
      </c>
      <c r="AH60" s="58" t="n">
        <v>0</v>
      </c>
      <c r="AI60" s="58"/>
      <c r="AJ60" s="58" t="n">
        <v>0.0048</v>
      </c>
      <c r="AK60" s="58" t="n">
        <v>0.0072</v>
      </c>
      <c r="AL60" s="58" t="n">
        <v>0</v>
      </c>
      <c r="AM60" s="58" t="n">
        <v>0</v>
      </c>
      <c r="AN60" s="58" t="n">
        <v>1</v>
      </c>
      <c r="AO60" s="58" t="n">
        <v>0</v>
      </c>
      <c r="AP60" s="58" t="n">
        <f aca="false">IF(Calcul!$I$5=1,AB60,AI60)</f>
        <v>0</v>
      </c>
      <c r="AQ60" s="58" t="n">
        <f aca="false">IF(Calcul!$I$5=1,AC60,AJ60)</f>
        <v>0.004</v>
      </c>
      <c r="AR60" s="58" t="n">
        <f aca="false">IF(Calcul!$I$5=1,AD60,AK60)</f>
        <v>0.006</v>
      </c>
      <c r="AS60" s="58" t="n">
        <f aca="false">IF(Calcul!$I$5=1,AE60,AL60)</f>
        <v>0</v>
      </c>
      <c r="AT60" s="58" t="n">
        <f aca="false">IF(Calcul!$I$5=1,AF60,AM60)</f>
        <v>0</v>
      </c>
      <c r="AU60" s="58" t="n">
        <f aca="false">IF(Calcul!$I$5=1,AG60,AN60)</f>
        <v>1</v>
      </c>
      <c r="AV60" s="58" t="n">
        <f aca="false">IF(Calcul!$I$5=1,AH60,AO60)</f>
        <v>0</v>
      </c>
      <c r="AW60" s="58" t="n">
        <f aca="false">IF(Calcul!$I$10&gt;0,MAX(1,ROUNDUP(Calcul!$I$10/S60-0.000001,0)),1)</f>
        <v>2</v>
      </c>
      <c r="AX60" s="58" t="n">
        <f aca="false">IF(Calcul!$I$10&gt;0,Calcul!$I$10/AW60,0)</f>
        <v>0.25</v>
      </c>
      <c r="AY60" s="58" t="n">
        <f aca="false">IF(Calcul!$I$10&gt;0,AX60/S60,1)</f>
        <v>1</v>
      </c>
      <c r="AZ60" s="58" t="n">
        <f aca="false">IF(AY60&lt;=1.0001,1,IF(AY60&lt;=2.0001,0.75,0.5))</f>
        <v>1</v>
      </c>
      <c r="BA60" s="58" t="n">
        <f aca="false">(AQ60+AR60)/2*AZ60</f>
        <v>0.005</v>
      </c>
      <c r="BB60" s="58" t="n">
        <f aca="false">IF(Calcul!$I$10&gt;0,IF(ISNUMBER(T60),IF(T60+0.000001&gt;=Calcul!$I$10,1,0),2),2)</f>
        <v>0</v>
      </c>
      <c r="BC60" s="58" t="n">
        <f aca="false">IF(AND(V60=Calcul!$I$8,ISNUMBER(U60),OR(AP60&lt;&gt;"",AT60=1),IF(Calcul!$I$8="straight",IF(Calcul!$I$10&gt;0,BB60=1,TRUE()),BB60&lt;&gt;0)),1,0)</f>
        <v>0</v>
      </c>
      <c r="BD60" s="58" t="n">
        <f aca="false">IF(AND(Calcul!$I$8="straight",ISNUMBER(SEARCH(Calcul!$I$9,W60))),1,0)</f>
        <v>0</v>
      </c>
      <c r="BE60" s="58" t="n">
        <f aca="false">IF(ABS(S60-0.5)&lt;0.0005,IF(Calcul!$I$7=2,18000,20000),IF(AND(Calcul!$I$6=1,Calcul!$I$7=2),17000,23000))</f>
        <v>23000</v>
      </c>
      <c r="BF60" s="58" t="n">
        <f aca="false">IF(ISNUMBER(U60),BE60*U60*BA60,0)</f>
        <v>230</v>
      </c>
      <c r="BG60" s="58" t="n">
        <f aca="false">BF60/AW60</f>
        <v>115</v>
      </c>
      <c r="BH60" s="58" t="n">
        <f aca="false">BD60*1000000000+IF(AP60&lt;&gt;"",100000000,0)+AT60*10000000+(50-MIN(AW60,49))*100000+AS60*10000+MIN(ROUND(BG60,0),9999)+S60/10-IF(ISNUMBER(T60),T60,9)/1000</f>
        <v>4800115.024625</v>
      </c>
      <c r="BI60" s="58" t="n">
        <f aca="false">IF(AND(Calcul!$I$10&gt;0,ISNUMBER(T60)),T60-Calcul!$I$10,99)</f>
        <v>-0.125</v>
      </c>
      <c r="BJ60" s="58" t="str">
        <f aca="false">IF(BC60=1,BD60*10000000-ROUND(BI60*1000,0)*1000+MIN(BH60/10000000,999),"")</f>
        <v/>
      </c>
      <c r="BK60" s="58" t="n">
        <f aca="false">IF(BC60=1,IF(BJ60=_xlfn.MAXIFS(Calcul!$BJ$60:$BJ$110,Calcul!$S$60:$S$110,S60,Calcul!$BC$60:$BC$110,1),1,0),0)</f>
        <v>0</v>
      </c>
      <c r="BL60" s="58" t="n">
        <f aca="false">IF(BC60=1,_xlfn.MAXIFS(Calcul!$BH$60:$BH$110,Calcul!$S$60:$S$110,S60,Calcul!$BC$60:$BC$110,1),0)</f>
        <v>0</v>
      </c>
      <c r="BM60" s="58" t="str">
        <f aca="false">IF(BC60=1,IF(BK60=1,10000000000+BL60,BH60)-ROW()/10000000,"")</f>
        <v/>
      </c>
      <c r="BN60" s="58"/>
      <c r="BW60" s="59" t="s">
        <v>723</v>
      </c>
      <c r="BX60" s="59" t="n">
        <f aca="false">IFERROR(MATCH(LARGE(Calcul!$BM$60:$BM$110,1),Calcul!$BM$60:$BM$110,0),0)</f>
        <v>43</v>
      </c>
      <c r="BY60" s="59" t="n">
        <f aca="false">IFERROR(MATCH(SMALL(Calcul!$P$60:$P$184,1),Calcul!$P$60:$P$184,0),0)</f>
        <v>26</v>
      </c>
    </row>
    <row r="61" customFormat="false" ht="15" hidden="false" customHeight="false" outlineLevel="0" collapsed="false">
      <c r="M61" s="0" t="str">
        <f aca="false">IF(AND(ISNUMBER('Liste outils'!$E$7),Convertisseur!$C$14&gt;0),IF(ABS('Liste outils'!$E$7-Convertisseur!$C$14)&lt;0.0005,COUNTIFS('Liste outils'!$E$6:$E7,"&gt;"&amp;(Convertisseur!$C$14-0.0005),'Liste outils'!$E$6:$E7,"&lt;"&amp;(Convertisseur!$C$14+0.0005)),""),"")</f>
        <v/>
      </c>
      <c r="N61" s="0" t="str">
        <f aca="false">IF(AND(ISNUMBER('Liste outils'!$E$7),Convertisseur!$C$15&gt;0),IF(ABS('Liste outils'!$E$7-Convertisseur!$C$15)&lt;0.0005,COUNTIFS('Liste outils'!$E$6:$E7,"&gt;"&amp;(Convertisseur!$C$15-0.0005),'Liste outils'!$E$6:$E7,"&lt;"&amp;(Convertisseur!$C$15+0.0005)),""),"")</f>
        <v/>
      </c>
      <c r="O61" s="0" t="str">
        <f aca="false">IF(AND(ISNUMBER('Liste outils'!$E$7),Convertisseur!$C$16&gt;0),IF(ABS('Liste outils'!$E$7-Convertisseur!$C$16)&lt;0.0005,COUNTIFS('Liste outils'!$E$6:$E7,"&gt;"&amp;(Convertisseur!$C$16-0.0005),'Liste outils'!$E$6:$E7,"&lt;"&amp;(Convertisseur!$C$16+0.0005)),""),"")</f>
        <v/>
      </c>
      <c r="P61" s="58" t="n">
        <f aca="false">IF(AND(OR('Recherche outils'!$B$5="Tous",'Recherche outils'!$B$5='Liste outils'!$C$7),OR(TRIM('Recherche outils'!$B$4&amp;"")="",ISNUMBER(SEARCH(TRIM('Recherche outils'!$B$4&amp;""),'Liste outils'!$B$7&amp;" "&amp;'Liste outils'!$C$7&amp;" "&amp;'Liste outils'!$J$7&amp;" "&amp;'Liste outils'!$O$7&amp;" "&amp;'Liste outils'!$P$7&amp;" "&amp;'Liste outils'!$Q$7&amp;" "&amp;'Liste outils'!$AA$7&amp;" "&amp;'Liste outils'!$AB$7&amp;" "&amp;'Liste outils'!$AC$7&amp;" "&amp;'Liste outils'!$T$7))),OR(NOT(ISNUMBER(Calcul!$L$11)),AND(ISNUMBER('Liste outils'!$E$7),ABS('Liste outils'!$E$7-IF(ISNUMBER(Calcul!$L$11),Calcul!$L$11,0))&lt;0.002)),OR(NOT(ISNUMBER(Calcul!$O$11)),AND(ISNUMBER('Liste outils'!$H$7),'Liste outils'!$H$7+0.000001&gt;=IF(ISNUMBER(Calcul!$O$11),Calcul!$O$11,0)))),IF(ISNUMBER('Liste outils'!$E$7),'Liste outils'!$E$7,99)*100000+IF(ISNUMBER('Liste outils'!$H$7),'Liste outils'!$H$7,99)*100+2/1000,"")</f>
        <v>9909900.002</v>
      </c>
      <c r="R61" s="58" t="s">
        <v>292</v>
      </c>
      <c r="S61" s="58" t="n">
        <v>0.039</v>
      </c>
      <c r="T61" s="58" t="n">
        <v>0.203125</v>
      </c>
      <c r="U61" s="58" t="n">
        <v>2</v>
      </c>
      <c r="V61" s="58" t="s">
        <v>724</v>
      </c>
      <c r="W61" s="58" t="s">
        <v>40</v>
      </c>
      <c r="X61" s="58" t="s">
        <v>725</v>
      </c>
      <c r="Y61" s="58" t="s">
        <v>294</v>
      </c>
      <c r="Z61" s="58"/>
      <c r="AA61" s="58" t="s">
        <v>285</v>
      </c>
      <c r="AB61" s="58"/>
      <c r="AC61" s="58" t="n">
        <v>0.000624</v>
      </c>
      <c r="AD61" s="58" t="n">
        <v>0.000936</v>
      </c>
      <c r="AE61" s="58" t="n">
        <v>0</v>
      </c>
      <c r="AF61" s="58" t="n">
        <v>0</v>
      </c>
      <c r="AG61" s="58" t="n">
        <v>1</v>
      </c>
      <c r="AH61" s="58" t="n">
        <v>0</v>
      </c>
      <c r="AI61" s="58"/>
      <c r="AJ61" s="58" t="n">
        <v>0.0007488</v>
      </c>
      <c r="AK61" s="58" t="n">
        <v>0.0011232</v>
      </c>
      <c r="AL61" s="58" t="n">
        <v>0</v>
      </c>
      <c r="AM61" s="58" t="n">
        <v>0</v>
      </c>
      <c r="AN61" s="58" t="n">
        <v>1</v>
      </c>
      <c r="AO61" s="58" t="n">
        <v>0</v>
      </c>
      <c r="AP61" s="58" t="n">
        <f aca="false">IF(Calcul!$I$5=1,AB61,AI61)</f>
        <v>0</v>
      </c>
      <c r="AQ61" s="58" t="n">
        <f aca="false">IF(Calcul!$I$5=1,AC61,AJ61)</f>
        <v>0.000624</v>
      </c>
      <c r="AR61" s="58" t="n">
        <f aca="false">IF(Calcul!$I$5=1,AD61,AK61)</f>
        <v>0.000936</v>
      </c>
      <c r="AS61" s="58" t="n">
        <f aca="false">IF(Calcul!$I$5=1,AE61,AL61)</f>
        <v>0</v>
      </c>
      <c r="AT61" s="58" t="n">
        <f aca="false">IF(Calcul!$I$5=1,AF61,AM61)</f>
        <v>0</v>
      </c>
      <c r="AU61" s="58" t="n">
        <f aca="false">IF(Calcul!$I$5=1,AG61,AN61)</f>
        <v>1</v>
      </c>
      <c r="AV61" s="58" t="n">
        <f aca="false">IF(Calcul!$I$5=1,AH61,AO61)</f>
        <v>0</v>
      </c>
      <c r="AW61" s="58" t="n">
        <f aca="false">IF(Calcul!$I$10&gt;0,MAX(1,ROUNDUP(Calcul!$I$10/S61-0.000001,0)),1)</f>
        <v>13</v>
      </c>
      <c r="AX61" s="58" t="n">
        <f aca="false">IF(Calcul!$I$10&gt;0,Calcul!$I$10/AW61,0)</f>
        <v>0.0384615384615385</v>
      </c>
      <c r="AY61" s="58" t="n">
        <f aca="false">IF(Calcul!$I$10&gt;0,AX61/S61,1)</f>
        <v>0.986193293885602</v>
      </c>
      <c r="AZ61" s="58" t="n">
        <f aca="false">IF(AY61&lt;=1.0001,1,IF(AY61&lt;=2.0001,0.75,0.5))</f>
        <v>1</v>
      </c>
      <c r="BA61" s="58" t="n">
        <f aca="false">(AQ61+AR61)/2*AZ61</f>
        <v>0.00078</v>
      </c>
      <c r="BB61" s="58" t="n">
        <f aca="false">IF(Calcul!$I$10&gt;0,IF(ISNUMBER(T61),IF(T61+0.000001&gt;=Calcul!$I$10,1,0),2),2)</f>
        <v>0</v>
      </c>
      <c r="BC61" s="58" t="n">
        <f aca="false">IF(AND(V61=Calcul!$I$8,ISNUMBER(U61),OR(AP61&lt;&gt;"",AT61=1),IF(Calcul!$I$8="straight",IF(Calcul!$I$10&gt;0,BB61=1,TRUE()),BB61&lt;&gt;0)),1,0)</f>
        <v>0</v>
      </c>
      <c r="BD61" s="58" t="n">
        <f aca="false">IF(AND(Calcul!$I$8="straight",ISNUMBER(SEARCH(Calcul!$I$9,W61))),1,0)</f>
        <v>1</v>
      </c>
      <c r="BE61" s="58" t="n">
        <f aca="false">IF(ABS(S61-0.5)&lt;0.0005,IF(Calcul!$I$7=2,18000,20000),IF(AND(Calcul!$I$6=1,Calcul!$I$7=2),17000,23000))</f>
        <v>23000</v>
      </c>
      <c r="BF61" s="58" t="n">
        <f aca="false">IF(ISNUMBER(U61),BE61*U61*BA61,0)</f>
        <v>35.88</v>
      </c>
      <c r="BG61" s="58" t="n">
        <f aca="false">BF61/AW61</f>
        <v>2.76</v>
      </c>
      <c r="BH61" s="58" t="n">
        <f aca="false">BD61*1000000000+IF(AP61&lt;&gt;"",100000000,0)+AT61*10000000+(50-MIN(AW61,49))*100000+AS61*10000+MIN(ROUND(BG61,0),9999)+S61/10-IF(ISNUMBER(T61),T61,9)/1000</f>
        <v>1003700003.0037</v>
      </c>
      <c r="BI61" s="58" t="n">
        <f aca="false">IF(AND(Calcul!$I$10&gt;0,ISNUMBER(T61)),T61-Calcul!$I$10,99)</f>
        <v>-0.296875</v>
      </c>
      <c r="BJ61" s="58" t="str">
        <f aca="false">IF(BC61=1,BD61*10000000-ROUND(BI61*1000,0)*1000+MIN(BH61/10000000,999),"")</f>
        <v/>
      </c>
      <c r="BK61" s="58" t="n">
        <f aca="false">IF(BC61=1,IF(BJ61=_xlfn.MAXIFS(Calcul!$BJ$60:$BJ$110,Calcul!$S$60:$S$110,S61,Calcul!$BC$60:$BC$110,1),1,0),0)</f>
        <v>0</v>
      </c>
      <c r="BL61" s="58" t="n">
        <f aca="false">IF(BC61=1,_xlfn.MAXIFS(Calcul!$BH$60:$BH$110,Calcul!$S$60:$S$110,S61,Calcul!$BC$60:$BC$110,1),0)</f>
        <v>0</v>
      </c>
      <c r="BM61" s="58" t="str">
        <f aca="false">IF(BC61=1,IF(BK61=1,10000000000+BL61,BH61)-ROW()/10000000,"")</f>
        <v/>
      </c>
      <c r="BN61" s="58"/>
      <c r="BW61" s="59" t="s">
        <v>726</v>
      </c>
      <c r="BX61" s="59" t="n">
        <f aca="false">IFERROR(MATCH(LARGE(Calcul!$BM$60:$BM$110,2),Calcul!$BM$60:$BM$110,0),0)</f>
        <v>11</v>
      </c>
      <c r="BY61" s="59" t="n">
        <f aca="false">IFERROR(MATCH(SMALL(Calcul!$P$60:$P$184,2),Calcul!$P$60:$P$184,0),0)</f>
        <v>66</v>
      </c>
    </row>
    <row r="62" customFormat="false" ht="15" hidden="false" customHeight="false" outlineLevel="0" collapsed="false">
      <c r="M62" s="0" t="str">
        <f aca="false">IF(AND(ISNUMBER('Liste outils'!$E$8),Convertisseur!$C$14&gt;0),IF(ABS('Liste outils'!$E$8-Convertisseur!$C$14)&lt;0.0005,COUNTIFS('Liste outils'!$E$6:$E8,"&gt;"&amp;(Convertisseur!$C$14-0.0005),'Liste outils'!$E$6:$E8,"&lt;"&amp;(Convertisseur!$C$14+0.0005)),""),"")</f>
        <v/>
      </c>
      <c r="N62" s="0" t="str">
        <f aca="false">IF(AND(ISNUMBER('Liste outils'!$E$8),Convertisseur!$C$15&gt;0),IF(ABS('Liste outils'!$E$8-Convertisseur!$C$15)&lt;0.0005,COUNTIFS('Liste outils'!$E$6:$E8,"&gt;"&amp;(Convertisseur!$C$15-0.0005),'Liste outils'!$E$6:$E8,"&lt;"&amp;(Convertisseur!$C$15+0.0005)),""),"")</f>
        <v/>
      </c>
      <c r="O62" s="0" t="str">
        <f aca="false">IF(AND(ISNUMBER('Liste outils'!$E$8),Convertisseur!$C$16&gt;0),IF(ABS('Liste outils'!$E$8-Convertisseur!$C$16)&lt;0.0005,COUNTIFS('Liste outils'!$E$6:$E8,"&gt;"&amp;(Convertisseur!$C$16-0.0005),'Liste outils'!$E$6:$E8,"&lt;"&amp;(Convertisseur!$C$16+0.0005)),""),"")</f>
        <v/>
      </c>
      <c r="P62" s="58" t="n">
        <f aca="false">IF(AND(OR('Recherche outils'!$B$5="Tous",'Recherche outils'!$B$5='Liste outils'!$C$8),OR(TRIM('Recherche outils'!$B$4&amp;"")="",ISNUMBER(SEARCH(TRIM('Recherche outils'!$B$4&amp;""),'Liste outils'!$B$8&amp;" "&amp;'Liste outils'!$C$8&amp;" "&amp;'Liste outils'!$J$8&amp;" "&amp;'Liste outils'!$O$8&amp;" "&amp;'Liste outils'!$P$8&amp;" "&amp;'Liste outils'!$Q$8&amp;" "&amp;'Liste outils'!$AA$8&amp;" "&amp;'Liste outils'!$AB$8&amp;" "&amp;'Liste outils'!$AC$8&amp;" "&amp;'Liste outils'!$T$8))),OR(NOT(ISNUMBER(Calcul!$L$11)),AND(ISNUMBER('Liste outils'!$E$8),ABS('Liste outils'!$E$8-IF(ISNUMBER(Calcul!$L$11),Calcul!$L$11,0))&lt;0.002)),OR(NOT(ISNUMBER(Calcul!$O$11)),AND(ISNUMBER('Liste outils'!$H$8),'Liste outils'!$H$8+0.000001&gt;=IF(ISNUMBER(Calcul!$O$11),Calcul!$O$11,0)))),IF(ISNUMBER('Liste outils'!$E$8),'Liste outils'!$E$8,99)*100000+IF(ISNUMBER('Liste outils'!$H$8),'Liste outils'!$H$8,99)*100+3/1000,"")</f>
        <v>9909900.003</v>
      </c>
      <c r="R62" s="58" t="s">
        <v>295</v>
      </c>
      <c r="S62" s="58" t="n">
        <v>0.125</v>
      </c>
      <c r="T62" s="58" t="n">
        <v>0.5</v>
      </c>
      <c r="U62" s="58" t="n">
        <v>1</v>
      </c>
      <c r="V62" s="58" t="s">
        <v>724</v>
      </c>
      <c r="W62" s="58" t="s">
        <v>40</v>
      </c>
      <c r="X62" s="58" t="s">
        <v>296</v>
      </c>
      <c r="Y62" s="58" t="s">
        <v>299</v>
      </c>
      <c r="Z62" s="58"/>
      <c r="AA62" s="58" t="s">
        <v>285</v>
      </c>
      <c r="AB62" s="58" t="s">
        <v>727</v>
      </c>
      <c r="AC62" s="58" t="n">
        <v>0.004</v>
      </c>
      <c r="AD62" s="58" t="n">
        <v>0.006</v>
      </c>
      <c r="AE62" s="58" t="n">
        <v>0</v>
      </c>
      <c r="AF62" s="58" t="n">
        <v>0</v>
      </c>
      <c r="AG62" s="58" t="n">
        <v>0</v>
      </c>
      <c r="AH62" s="58" t="n">
        <v>18000</v>
      </c>
      <c r="AI62" s="58" t="s">
        <v>727</v>
      </c>
      <c r="AJ62" s="58" t="n">
        <v>0.004</v>
      </c>
      <c r="AK62" s="58" t="n">
        <v>0.006</v>
      </c>
      <c r="AL62" s="58" t="n">
        <v>3</v>
      </c>
      <c r="AM62" s="58" t="n">
        <v>1</v>
      </c>
      <c r="AN62" s="58" t="n">
        <v>0</v>
      </c>
      <c r="AO62" s="58" t="n">
        <v>18000</v>
      </c>
      <c r="AP62" s="58" t="str">
        <f aca="false">IF(Calcul!$I$5=1,AB62,AI62)</f>
        <v>63-750</v>
      </c>
      <c r="AQ62" s="58" t="n">
        <f aca="false">IF(Calcul!$I$5=1,AC62,AJ62)</f>
        <v>0.004</v>
      </c>
      <c r="AR62" s="58" t="n">
        <f aca="false">IF(Calcul!$I$5=1,AD62,AK62)</f>
        <v>0.006</v>
      </c>
      <c r="AS62" s="58" t="n">
        <f aca="false">IF(Calcul!$I$5=1,AE62,AL62)</f>
        <v>0</v>
      </c>
      <c r="AT62" s="58" t="n">
        <f aca="false">IF(Calcul!$I$5=1,AF62,AM62)</f>
        <v>0</v>
      </c>
      <c r="AU62" s="58" t="n">
        <f aca="false">IF(Calcul!$I$5=1,AG62,AN62)</f>
        <v>0</v>
      </c>
      <c r="AV62" s="58" t="n">
        <f aca="false">IF(Calcul!$I$5=1,AH62,AO62)</f>
        <v>18000</v>
      </c>
      <c r="AW62" s="58" t="n">
        <f aca="false">IF(Calcul!$I$10&gt;0,MAX(1,ROUNDUP(Calcul!$I$10/S62-0.000001,0)),1)</f>
        <v>4</v>
      </c>
      <c r="AX62" s="58" t="n">
        <f aca="false">IF(Calcul!$I$10&gt;0,Calcul!$I$10/AW62,0)</f>
        <v>0.125</v>
      </c>
      <c r="AY62" s="58" t="n">
        <f aca="false">IF(Calcul!$I$10&gt;0,AX62/S62,1)</f>
        <v>1</v>
      </c>
      <c r="AZ62" s="58" t="n">
        <f aca="false">IF(AY62&lt;=1.0001,1,IF(AY62&lt;=2.0001,0.75,0.5))</f>
        <v>1</v>
      </c>
      <c r="BA62" s="58" t="n">
        <f aca="false">(AQ62+AR62)/2*AZ62</f>
        <v>0.005</v>
      </c>
      <c r="BB62" s="58" t="n">
        <f aca="false">IF(Calcul!$I$10&gt;0,IF(ISNUMBER(T62),IF(T62+0.000001&gt;=Calcul!$I$10,1,0),2),2)</f>
        <v>1</v>
      </c>
      <c r="BC62" s="58" t="n">
        <f aca="false">IF(AND(V62=Calcul!$I$8,ISNUMBER(U62),OR(AP62&lt;&gt;"",AT62=1),IF(Calcul!$I$8="straight",IF(Calcul!$I$10&gt;0,BB62=1,TRUE()),BB62&lt;&gt;0)),1,0)</f>
        <v>1</v>
      </c>
      <c r="BD62" s="58" t="n">
        <f aca="false">IF(AND(Calcul!$I$8="straight",ISNUMBER(SEARCH(Calcul!$I$9,W62))),1,0)</f>
        <v>1</v>
      </c>
      <c r="BE62" s="58" t="n">
        <f aca="false">IF(ABS(S62-0.5)&lt;0.0005,IF(Calcul!$I$7=2,18000,20000),IF(AND(Calcul!$I$6=1,Calcul!$I$7=2),17000,23000))</f>
        <v>23000</v>
      </c>
      <c r="BF62" s="58" t="n">
        <f aca="false">IF(ISNUMBER(U62),BE62*U62*BA62,0)</f>
        <v>115</v>
      </c>
      <c r="BG62" s="58" t="n">
        <f aca="false">BF62/AW62</f>
        <v>28.75</v>
      </c>
      <c r="BH62" s="58" t="n">
        <f aca="false">BD62*1000000000+IF(AP62&lt;&gt;"",100000000,0)+AT62*10000000+(50-MIN(AW62,49))*100000+AS62*10000+MIN(ROUND(BG62,0),9999)+S62/10-IF(ISNUMBER(T62),T62,9)/1000</f>
        <v>1104600029.012</v>
      </c>
      <c r="BI62" s="58" t="n">
        <f aca="false">IF(AND(Calcul!$I$10&gt;0,ISNUMBER(T62)),T62-Calcul!$I$10,99)</f>
        <v>0</v>
      </c>
      <c r="BJ62" s="58" t="n">
        <f aca="false">IF(BC62=1,BD62*10000000-ROUND(BI62*1000,0)*1000+MIN(BH62/10000000,999),"")</f>
        <v>10000110.4600029</v>
      </c>
      <c r="BK62" s="58" t="n">
        <f aca="false">IF(BC62=1,IF(BJ62=_xlfn.MAXIFS(Calcul!$BJ$60:$BJ$110,Calcul!$S$60:$S$110,S62,Calcul!$BC$60:$BC$110,1),1,0),0)</f>
        <v>0</v>
      </c>
      <c r="BL62" s="58" t="n">
        <f aca="false">IF(BC62=1,_xlfn.MAXIFS(Calcul!$BH$60:$BH$110,Calcul!$S$60:$S$110,S62,Calcul!$BC$60:$BC$110,1),0)</f>
        <v>1114630040.012</v>
      </c>
      <c r="BM62" s="58" t="n">
        <f aca="false">IF(BC62=1,IF(BK62=1,10000000000+BL62,BH62)-ROW()/10000000,"")</f>
        <v>1104600029.01199</v>
      </c>
      <c r="BN62" s="58"/>
      <c r="BW62" s="59" t="s">
        <v>728</v>
      </c>
      <c r="BX62" s="59" t="n">
        <f aca="false">IFERROR(MATCH(LARGE(Calcul!$BM$60:$BM$110,3),Calcul!$BM$60:$BM$110,0),0)</f>
        <v>8</v>
      </c>
      <c r="BY62" s="59" t="n">
        <f aca="false">IFERROR(MATCH(SMALL(Calcul!$P$60:$P$184,3),Calcul!$P$60:$P$184,0),0)</f>
        <v>75</v>
      </c>
    </row>
    <row r="63" customFormat="false" ht="15" hidden="false" customHeight="false" outlineLevel="0" collapsed="false">
      <c r="M63" s="0" t="str">
        <f aca="false">IF(AND(ISNUMBER('Liste outils'!$E$9),Convertisseur!$C$14&gt;0),IF(ABS('Liste outils'!$E$9-Convertisseur!$C$14)&lt;0.0005,COUNTIFS('Liste outils'!$E$6:$E9,"&gt;"&amp;(Convertisseur!$C$14-0.0005),'Liste outils'!$E$6:$E9,"&lt;"&amp;(Convertisseur!$C$14+0.0005)),""),"")</f>
        <v/>
      </c>
      <c r="N63" s="0" t="str">
        <f aca="false">IF(AND(ISNUMBER('Liste outils'!$E$9),Convertisseur!$C$15&gt;0),IF(ABS('Liste outils'!$E$9-Convertisseur!$C$15)&lt;0.0005,COUNTIFS('Liste outils'!$E$6:$E9,"&gt;"&amp;(Convertisseur!$C$15-0.0005),'Liste outils'!$E$6:$E9,"&lt;"&amp;(Convertisseur!$C$15+0.0005)),""),"")</f>
        <v/>
      </c>
      <c r="O63" s="0" t="str">
        <f aca="false">IF(AND(ISNUMBER('Liste outils'!$E$9),Convertisseur!$C$16&gt;0),IF(ABS('Liste outils'!$E$9-Convertisseur!$C$16)&lt;0.0005,COUNTIFS('Liste outils'!$E$6:$E9,"&gt;"&amp;(Convertisseur!$C$16-0.0005),'Liste outils'!$E$6:$E9,"&lt;"&amp;(Convertisseur!$C$16+0.0005)),""),"")</f>
        <v/>
      </c>
      <c r="P63" s="58" t="n">
        <f aca="false">IF(AND(OR('Recherche outils'!$B$5="Tous",'Recherche outils'!$B$5='Liste outils'!$C$9),OR(TRIM('Recherche outils'!$B$4&amp;"")="",ISNUMBER(SEARCH(TRIM('Recherche outils'!$B$4&amp;""),'Liste outils'!$B$9&amp;" "&amp;'Liste outils'!$C$9&amp;" "&amp;'Liste outils'!$J$9&amp;" "&amp;'Liste outils'!$O$9&amp;" "&amp;'Liste outils'!$P$9&amp;" "&amp;'Liste outils'!$Q$9&amp;" "&amp;'Liste outils'!$AA$9&amp;" "&amp;'Liste outils'!$AB$9&amp;" "&amp;'Liste outils'!$AC$9&amp;" "&amp;'Liste outils'!$T$9))),OR(NOT(ISNUMBER(Calcul!$L$11)),AND(ISNUMBER('Liste outils'!$E$9),ABS('Liste outils'!$E$9-IF(ISNUMBER(Calcul!$L$11),Calcul!$L$11,0))&lt;0.002)),OR(NOT(ISNUMBER(Calcul!$O$11)),AND(ISNUMBER('Liste outils'!$H$9),'Liste outils'!$H$9+0.000001&gt;=IF(ISNUMBER(Calcul!$O$11),Calcul!$O$11,0)))),IF(ISNUMBER('Liste outils'!$E$9),'Liste outils'!$E$9,99)*100000+IF(ISNUMBER('Liste outils'!$H$9),'Liste outils'!$H$9,99)*100+4/1000,"")</f>
        <v>9909900.004</v>
      </c>
      <c r="R63" s="58" t="s">
        <v>300</v>
      </c>
      <c r="S63" s="58" t="n">
        <v>0.25</v>
      </c>
      <c r="T63" s="58" t="n">
        <v>0.375</v>
      </c>
      <c r="U63" s="58" t="n">
        <v>1</v>
      </c>
      <c r="V63" s="58" t="s">
        <v>724</v>
      </c>
      <c r="W63" s="58" t="s">
        <v>40</v>
      </c>
      <c r="X63" s="58" t="s">
        <v>301</v>
      </c>
      <c r="Y63" s="58" t="s">
        <v>302</v>
      </c>
      <c r="Z63" s="58" t="s">
        <v>303</v>
      </c>
      <c r="AA63" s="58" t="s">
        <v>285</v>
      </c>
      <c r="AB63" s="58" t="s">
        <v>727</v>
      </c>
      <c r="AC63" s="58" t="n">
        <v>0.008</v>
      </c>
      <c r="AD63" s="58" t="n">
        <v>0.012</v>
      </c>
      <c r="AE63" s="58" t="n">
        <v>0</v>
      </c>
      <c r="AF63" s="58" t="n">
        <v>0</v>
      </c>
      <c r="AG63" s="58" t="n">
        <v>0</v>
      </c>
      <c r="AH63" s="58" t="n">
        <v>18000</v>
      </c>
      <c r="AI63" s="58" t="s">
        <v>727</v>
      </c>
      <c r="AJ63" s="58" t="n">
        <v>0.008</v>
      </c>
      <c r="AK63" s="58" t="n">
        <v>0.012</v>
      </c>
      <c r="AL63" s="58" t="n">
        <v>3</v>
      </c>
      <c r="AM63" s="58" t="n">
        <v>1</v>
      </c>
      <c r="AN63" s="58" t="n">
        <v>0</v>
      </c>
      <c r="AO63" s="58" t="n">
        <v>18000</v>
      </c>
      <c r="AP63" s="58" t="str">
        <f aca="false">IF(Calcul!$I$5=1,AB63,AI63)</f>
        <v>63-750</v>
      </c>
      <c r="AQ63" s="58" t="n">
        <f aca="false">IF(Calcul!$I$5=1,AC63,AJ63)</f>
        <v>0.008</v>
      </c>
      <c r="AR63" s="58" t="n">
        <f aca="false">IF(Calcul!$I$5=1,AD63,AK63)</f>
        <v>0.012</v>
      </c>
      <c r="AS63" s="58" t="n">
        <f aca="false">IF(Calcul!$I$5=1,AE63,AL63)</f>
        <v>0</v>
      </c>
      <c r="AT63" s="58" t="n">
        <f aca="false">IF(Calcul!$I$5=1,AF63,AM63)</f>
        <v>0</v>
      </c>
      <c r="AU63" s="58" t="n">
        <f aca="false">IF(Calcul!$I$5=1,AG63,AN63)</f>
        <v>0</v>
      </c>
      <c r="AV63" s="58" t="n">
        <f aca="false">IF(Calcul!$I$5=1,AH63,AO63)</f>
        <v>18000</v>
      </c>
      <c r="AW63" s="58" t="n">
        <f aca="false">IF(Calcul!$I$10&gt;0,MAX(1,ROUNDUP(Calcul!$I$10/S63-0.000001,0)),1)</f>
        <v>2</v>
      </c>
      <c r="AX63" s="58" t="n">
        <f aca="false">IF(Calcul!$I$10&gt;0,Calcul!$I$10/AW63,0)</f>
        <v>0.25</v>
      </c>
      <c r="AY63" s="58" t="n">
        <f aca="false">IF(Calcul!$I$10&gt;0,AX63/S63,1)</f>
        <v>1</v>
      </c>
      <c r="AZ63" s="58" t="n">
        <f aca="false">IF(AY63&lt;=1.0001,1,IF(AY63&lt;=2.0001,0.75,0.5))</f>
        <v>1</v>
      </c>
      <c r="BA63" s="58" t="n">
        <f aca="false">(AQ63+AR63)/2*AZ63</f>
        <v>0.01</v>
      </c>
      <c r="BB63" s="58" t="n">
        <f aca="false">IF(Calcul!$I$10&gt;0,IF(ISNUMBER(T63),IF(T63+0.000001&gt;=Calcul!$I$10,1,0),2),2)</f>
        <v>0</v>
      </c>
      <c r="BC63" s="58" t="n">
        <f aca="false">IF(AND(V63=Calcul!$I$8,ISNUMBER(U63),OR(AP63&lt;&gt;"",AT63=1),IF(Calcul!$I$8="straight",IF(Calcul!$I$10&gt;0,BB63=1,TRUE()),BB63&lt;&gt;0)),1,0)</f>
        <v>0</v>
      </c>
      <c r="BD63" s="58" t="n">
        <f aca="false">IF(AND(Calcul!$I$8="straight",ISNUMBER(SEARCH(Calcul!$I$9,W63))),1,0)</f>
        <v>1</v>
      </c>
      <c r="BE63" s="58" t="n">
        <f aca="false">IF(ABS(S63-0.5)&lt;0.0005,IF(Calcul!$I$7=2,18000,20000),IF(AND(Calcul!$I$6=1,Calcul!$I$7=2),17000,23000))</f>
        <v>23000</v>
      </c>
      <c r="BF63" s="58" t="n">
        <f aca="false">IF(ISNUMBER(U63),BE63*U63*BA63,0)</f>
        <v>230</v>
      </c>
      <c r="BG63" s="58" t="n">
        <f aca="false">BF63/AW63</f>
        <v>115</v>
      </c>
      <c r="BH63" s="58" t="n">
        <f aca="false">BD63*1000000000+IF(AP63&lt;&gt;"",100000000,0)+AT63*10000000+(50-MIN(AW63,49))*100000+AS63*10000+MIN(ROUND(BG63,0),9999)+S63/10-IF(ISNUMBER(T63),T63,9)/1000</f>
        <v>1104800115.02463</v>
      </c>
      <c r="BI63" s="58" t="n">
        <f aca="false">IF(AND(Calcul!$I$10&gt;0,ISNUMBER(T63)),T63-Calcul!$I$10,99)</f>
        <v>-0.125</v>
      </c>
      <c r="BJ63" s="58" t="str">
        <f aca="false">IF(BC63=1,BD63*10000000-ROUND(BI63*1000,0)*1000+MIN(BH63/10000000,999),"")</f>
        <v/>
      </c>
      <c r="BK63" s="58" t="n">
        <f aca="false">IF(BC63=1,IF(BJ63=_xlfn.MAXIFS(Calcul!$BJ$60:$BJ$110,Calcul!$S$60:$S$110,S63,Calcul!$BC$60:$BC$110,1),1,0),0)</f>
        <v>0</v>
      </c>
      <c r="BL63" s="58" t="n">
        <f aca="false">IF(BC63=1,_xlfn.MAXIFS(Calcul!$BH$60:$BH$110,Calcul!$S$60:$S$110,S63,Calcul!$BC$60:$BC$110,1),0)</f>
        <v>0</v>
      </c>
      <c r="BM63" s="58" t="str">
        <f aca="false">IF(BC63=1,IF(BK63=1,10000000000+BL63,BH63)-ROW()/10000000,"")</f>
        <v/>
      </c>
      <c r="BN63" s="58"/>
      <c r="BW63" s="59" t="s">
        <v>729</v>
      </c>
      <c r="BX63" s="59" t="n">
        <f aca="false">IFERROR(MATCH(LARGE(Calcul!$BM$60:$BM$110,4),Calcul!$BM$60:$BM$110,0),0)</f>
        <v>49</v>
      </c>
      <c r="BY63" s="59" t="n">
        <f aca="false">IFERROR(MATCH(SMALL(Calcul!$P$60:$P$184,4),Calcul!$P$60:$P$184,0),0)</f>
        <v>60</v>
      </c>
    </row>
    <row r="64" customFormat="false" ht="15" hidden="false" customHeight="false" outlineLevel="0" collapsed="false">
      <c r="M64" s="0" t="str">
        <f aca="false">IF(AND(ISNUMBER('Liste outils'!$E$10),Convertisseur!$C$14&gt;0),IF(ABS('Liste outils'!$E$10-Convertisseur!$C$14)&lt;0.0005,COUNTIFS('Liste outils'!$E$6:$E10,"&gt;"&amp;(Convertisseur!$C$14-0.0005),'Liste outils'!$E$6:$E10,"&lt;"&amp;(Convertisseur!$C$14+0.0005)),""),"")</f>
        <v/>
      </c>
      <c r="N64" s="0" t="str">
        <f aca="false">IF(AND(ISNUMBER('Liste outils'!$E$10),Convertisseur!$C$15&gt;0),IF(ABS('Liste outils'!$E$10-Convertisseur!$C$15)&lt;0.0005,COUNTIFS('Liste outils'!$E$6:$E10,"&gt;"&amp;(Convertisseur!$C$15-0.0005),'Liste outils'!$E$6:$E10,"&lt;"&amp;(Convertisseur!$C$15+0.0005)),""),"")</f>
        <v/>
      </c>
      <c r="O64" s="0" t="str">
        <f aca="false">IF(AND(ISNUMBER('Liste outils'!$E$10),Convertisseur!$C$16&gt;0),IF(ABS('Liste outils'!$E$10-Convertisseur!$C$16)&lt;0.0005,COUNTIFS('Liste outils'!$E$6:$E10,"&gt;"&amp;(Convertisseur!$C$16-0.0005),'Liste outils'!$E$6:$E10,"&lt;"&amp;(Convertisseur!$C$16+0.0005)),""),"")</f>
        <v/>
      </c>
      <c r="P64" s="58" t="n">
        <f aca="false">IF(AND(OR('Recherche outils'!$B$5="Tous",'Recherche outils'!$B$5='Liste outils'!$C$10),OR(TRIM('Recherche outils'!$B$4&amp;"")="",ISNUMBER(SEARCH(TRIM('Recherche outils'!$B$4&amp;""),'Liste outils'!$B$10&amp;" "&amp;'Liste outils'!$C$10&amp;" "&amp;'Liste outils'!$J$10&amp;" "&amp;'Liste outils'!$O$10&amp;" "&amp;'Liste outils'!$P$10&amp;" "&amp;'Liste outils'!$Q$10&amp;" "&amp;'Liste outils'!$AA$10&amp;" "&amp;'Liste outils'!$AB$10&amp;" "&amp;'Liste outils'!$AC$10&amp;" "&amp;'Liste outils'!$T$10))),OR(NOT(ISNUMBER(Calcul!$L$11)),AND(ISNUMBER('Liste outils'!$E$10),ABS('Liste outils'!$E$10-IF(ISNUMBER(Calcul!$L$11),Calcul!$L$11,0))&lt;0.002)),OR(NOT(ISNUMBER(Calcul!$O$11)),AND(ISNUMBER('Liste outils'!$H$10),'Liste outils'!$H$10+0.000001&gt;=IF(ISNUMBER(Calcul!$O$11),Calcul!$O$11,0)))),IF(ISNUMBER('Liste outils'!$E$10),'Liste outils'!$E$10,99)*100000+IF(ISNUMBER('Liste outils'!$H$10),'Liste outils'!$H$10,99)*100+5/1000,"")</f>
        <v>9909900.005</v>
      </c>
      <c r="R64" s="58" t="s">
        <v>304</v>
      </c>
      <c r="S64" s="58" t="n">
        <v>0.125</v>
      </c>
      <c r="T64" s="58" t="n">
        <v>0.5</v>
      </c>
      <c r="U64" s="58" t="n">
        <v>1</v>
      </c>
      <c r="V64" s="58" t="s">
        <v>724</v>
      </c>
      <c r="W64" s="58" t="s">
        <v>40</v>
      </c>
      <c r="X64" s="58" t="s">
        <v>305</v>
      </c>
      <c r="Y64" s="58" t="s">
        <v>307</v>
      </c>
      <c r="Z64" s="58"/>
      <c r="AA64" s="58" t="s">
        <v>285</v>
      </c>
      <c r="AB64" s="58" t="s">
        <v>465</v>
      </c>
      <c r="AC64" s="58" t="n">
        <v>0.006</v>
      </c>
      <c r="AD64" s="58" t="n">
        <v>0.008</v>
      </c>
      <c r="AE64" s="58" t="n">
        <v>3</v>
      </c>
      <c r="AF64" s="58" t="n">
        <v>1</v>
      </c>
      <c r="AG64" s="58" t="n">
        <v>0</v>
      </c>
      <c r="AH64" s="58" t="n">
        <v>18000</v>
      </c>
      <c r="AI64" s="58"/>
      <c r="AJ64" s="58" t="n">
        <v>0.0024</v>
      </c>
      <c r="AK64" s="58" t="n">
        <v>0.0036</v>
      </c>
      <c r="AL64" s="58" t="n">
        <v>0</v>
      </c>
      <c r="AM64" s="58" t="n">
        <v>0</v>
      </c>
      <c r="AN64" s="58" t="n">
        <v>1</v>
      </c>
      <c r="AO64" s="58" t="n">
        <v>0</v>
      </c>
      <c r="AP64" s="58" t="str">
        <f aca="false">IF(Calcul!$I$5=1,AB64,AI64)</f>
        <v>63-700</v>
      </c>
      <c r="AQ64" s="58" t="n">
        <f aca="false">IF(Calcul!$I$5=1,AC64,AJ64)</f>
        <v>0.006</v>
      </c>
      <c r="AR64" s="58" t="n">
        <f aca="false">IF(Calcul!$I$5=1,AD64,AK64)</f>
        <v>0.008</v>
      </c>
      <c r="AS64" s="58" t="n">
        <f aca="false">IF(Calcul!$I$5=1,AE64,AL64)</f>
        <v>3</v>
      </c>
      <c r="AT64" s="58" t="n">
        <f aca="false">IF(Calcul!$I$5=1,AF64,AM64)</f>
        <v>1</v>
      </c>
      <c r="AU64" s="58" t="n">
        <f aca="false">IF(Calcul!$I$5=1,AG64,AN64)</f>
        <v>0</v>
      </c>
      <c r="AV64" s="58" t="n">
        <f aca="false">IF(Calcul!$I$5=1,AH64,AO64)</f>
        <v>18000</v>
      </c>
      <c r="AW64" s="58" t="n">
        <f aca="false">IF(Calcul!$I$10&gt;0,MAX(1,ROUNDUP(Calcul!$I$10/S64-0.000001,0)),1)</f>
        <v>4</v>
      </c>
      <c r="AX64" s="58" t="n">
        <f aca="false">IF(Calcul!$I$10&gt;0,Calcul!$I$10/AW64,0)</f>
        <v>0.125</v>
      </c>
      <c r="AY64" s="58" t="n">
        <f aca="false">IF(Calcul!$I$10&gt;0,AX64/S64,1)</f>
        <v>1</v>
      </c>
      <c r="AZ64" s="58" t="n">
        <f aca="false">IF(AY64&lt;=1.0001,1,IF(AY64&lt;=2.0001,0.75,0.5))</f>
        <v>1</v>
      </c>
      <c r="BA64" s="58" t="n">
        <f aca="false">(AQ64+AR64)/2*AZ64</f>
        <v>0.007</v>
      </c>
      <c r="BB64" s="58" t="n">
        <f aca="false">IF(Calcul!$I$10&gt;0,IF(ISNUMBER(T64),IF(T64+0.000001&gt;=Calcul!$I$10,1,0),2),2)</f>
        <v>1</v>
      </c>
      <c r="BC64" s="58" t="n">
        <f aca="false">IF(AND(V64=Calcul!$I$8,ISNUMBER(U64),OR(AP64&lt;&gt;"",AT64=1),IF(Calcul!$I$8="straight",IF(Calcul!$I$10&gt;0,BB64=1,TRUE()),BB64&lt;&gt;0)),1,0)</f>
        <v>1</v>
      </c>
      <c r="BD64" s="58" t="n">
        <f aca="false">IF(AND(Calcul!$I$8="straight",ISNUMBER(SEARCH(Calcul!$I$9,W64))),1,0)</f>
        <v>1</v>
      </c>
      <c r="BE64" s="58" t="n">
        <f aca="false">IF(ABS(S64-0.5)&lt;0.0005,IF(Calcul!$I$7=2,18000,20000),IF(AND(Calcul!$I$6=1,Calcul!$I$7=2),17000,23000))</f>
        <v>23000</v>
      </c>
      <c r="BF64" s="58" t="n">
        <f aca="false">IF(ISNUMBER(U64),BE64*U64*BA64,0)</f>
        <v>161</v>
      </c>
      <c r="BG64" s="58" t="n">
        <f aca="false">BF64/AW64</f>
        <v>40.25</v>
      </c>
      <c r="BH64" s="58" t="n">
        <f aca="false">BD64*1000000000+IF(AP64&lt;&gt;"",100000000,0)+AT64*10000000+(50-MIN(AW64,49))*100000+AS64*10000+MIN(ROUND(BG64,0),9999)+S64/10-IF(ISNUMBER(T64),T64,9)/1000</f>
        <v>1114630040.012</v>
      </c>
      <c r="BI64" s="58" t="n">
        <f aca="false">IF(AND(Calcul!$I$10&gt;0,ISNUMBER(T64)),T64-Calcul!$I$10,99)</f>
        <v>0</v>
      </c>
      <c r="BJ64" s="58" t="n">
        <f aca="false">IF(BC64=1,BD64*10000000-ROUND(BI64*1000,0)*1000+MIN(BH64/10000000,999),"")</f>
        <v>10000111.463004</v>
      </c>
      <c r="BK64" s="58" t="n">
        <f aca="false">IF(BC64=1,IF(BJ64=_xlfn.MAXIFS(Calcul!$BJ$60:$BJ$110,Calcul!$S$60:$S$110,S64,Calcul!$BC$60:$BC$110,1),1,0),0)</f>
        <v>1</v>
      </c>
      <c r="BL64" s="58" t="n">
        <f aca="false">IF(BC64=1,_xlfn.MAXIFS(Calcul!$BH$60:$BH$110,Calcul!$S$60:$S$110,S64,Calcul!$BC$60:$BC$110,1),0)</f>
        <v>1114630040.012</v>
      </c>
      <c r="BM64" s="58" t="n">
        <f aca="false">IF(BC64=1,IF(BK64=1,10000000000+BL64,BH64)-ROW()/10000000,"")</f>
        <v>11114630040.012</v>
      </c>
      <c r="BN64" s="58"/>
      <c r="BW64" s="59" t="s">
        <v>730</v>
      </c>
      <c r="BX64" s="59" t="n">
        <f aca="false">IFERROR(MATCH(LARGE(Calcul!$BM$60:$BM$110,5),Calcul!$BM$60:$BM$110,0),0)</f>
        <v>5</v>
      </c>
      <c r="BY64" s="59" t="n">
        <f aca="false">IFERROR(MATCH(SMALL(Calcul!$P$60:$P$184,5),Calcul!$P$60:$P$184,0),0)</f>
        <v>50</v>
      </c>
    </row>
    <row r="65" customFormat="false" ht="15" hidden="false" customHeight="false" outlineLevel="0" collapsed="false">
      <c r="M65" s="0" t="str">
        <f aca="false">IF(AND(ISNUMBER('Liste outils'!$E$11),Convertisseur!$C$14&gt;0),IF(ABS('Liste outils'!$E$11-Convertisseur!$C$14)&lt;0.0005,COUNTIFS('Liste outils'!$E$6:$E11,"&gt;"&amp;(Convertisseur!$C$14-0.0005),'Liste outils'!$E$6:$E11,"&lt;"&amp;(Convertisseur!$C$14+0.0005)),""),"")</f>
        <v/>
      </c>
      <c r="N65" s="0" t="str">
        <f aca="false">IF(AND(ISNUMBER('Liste outils'!$E$11),Convertisseur!$C$15&gt;0),IF(ABS('Liste outils'!$E$11-Convertisseur!$C$15)&lt;0.0005,COUNTIFS('Liste outils'!$E$6:$E11,"&gt;"&amp;(Convertisseur!$C$15-0.0005),'Liste outils'!$E$6:$E11,"&lt;"&amp;(Convertisseur!$C$15+0.0005)),""),"")</f>
        <v/>
      </c>
      <c r="O65" s="0" t="str">
        <f aca="false">IF(AND(ISNUMBER('Liste outils'!$E$11),Convertisseur!$C$16&gt;0),IF(ABS('Liste outils'!$E$11-Convertisseur!$C$16)&lt;0.0005,COUNTIFS('Liste outils'!$E$6:$E11,"&gt;"&amp;(Convertisseur!$C$16-0.0005),'Liste outils'!$E$6:$E11,"&lt;"&amp;(Convertisseur!$C$16+0.0005)),""),"")</f>
        <v/>
      </c>
      <c r="P65" s="58" t="n">
        <f aca="false">IF(AND(OR('Recherche outils'!$B$5="Tous",'Recherche outils'!$B$5='Liste outils'!$C$11),OR(TRIM('Recherche outils'!$B$4&amp;"")="",ISNUMBER(SEARCH(TRIM('Recherche outils'!$B$4&amp;""),'Liste outils'!$B$11&amp;" "&amp;'Liste outils'!$C$11&amp;" "&amp;'Liste outils'!$J$11&amp;" "&amp;'Liste outils'!$O$11&amp;" "&amp;'Liste outils'!$P$11&amp;" "&amp;'Liste outils'!$Q$11&amp;" "&amp;'Liste outils'!$AA$11&amp;" "&amp;'Liste outils'!$AB$11&amp;" "&amp;'Liste outils'!$AC$11&amp;" "&amp;'Liste outils'!$T$11))),OR(NOT(ISNUMBER(Calcul!$L$11)),AND(ISNUMBER('Liste outils'!$E$11),ABS('Liste outils'!$E$11-IF(ISNUMBER(Calcul!$L$11),Calcul!$L$11,0))&lt;0.002)),OR(NOT(ISNUMBER(Calcul!$O$11)),AND(ISNUMBER('Liste outils'!$H$11),'Liste outils'!$H$11+0.000001&gt;=IF(ISNUMBER(Calcul!$O$11),Calcul!$O$11,0)))),IF(ISNUMBER('Liste outils'!$E$11),'Liste outils'!$E$11,99)*100000+IF(ISNUMBER('Liste outils'!$H$11),'Liste outils'!$H$11,99)*100+6/1000,"")</f>
        <v>9909900.006</v>
      </c>
      <c r="R65" s="58" t="s">
        <v>308</v>
      </c>
      <c r="S65" s="58" t="n">
        <v>0.1875</v>
      </c>
      <c r="T65" s="58" t="n">
        <v>0.375</v>
      </c>
      <c r="U65" s="58" t="n">
        <v>1</v>
      </c>
      <c r="V65" s="58" t="s">
        <v>724</v>
      </c>
      <c r="W65" s="58" t="s">
        <v>40</v>
      </c>
      <c r="X65" s="58" t="s">
        <v>309</v>
      </c>
      <c r="Y65" s="58" t="s">
        <v>311</v>
      </c>
      <c r="Z65" s="58"/>
      <c r="AA65" s="58" t="s">
        <v>285</v>
      </c>
      <c r="AB65" s="58" t="s">
        <v>465</v>
      </c>
      <c r="AC65" s="58" t="n">
        <v>0.008</v>
      </c>
      <c r="AD65" s="58" t="n">
        <v>0.01</v>
      </c>
      <c r="AE65" s="58" t="n">
        <v>3</v>
      </c>
      <c r="AF65" s="58" t="n">
        <v>1</v>
      </c>
      <c r="AG65" s="58" t="n">
        <v>0</v>
      </c>
      <c r="AH65" s="58" t="n">
        <v>18000</v>
      </c>
      <c r="AI65" s="58"/>
      <c r="AJ65" s="58" t="n">
        <v>0.0036</v>
      </c>
      <c r="AK65" s="58" t="n">
        <v>0.0054</v>
      </c>
      <c r="AL65" s="58" t="n">
        <v>0</v>
      </c>
      <c r="AM65" s="58" t="n">
        <v>0</v>
      </c>
      <c r="AN65" s="58" t="n">
        <v>1</v>
      </c>
      <c r="AO65" s="58" t="n">
        <v>0</v>
      </c>
      <c r="AP65" s="58" t="str">
        <f aca="false">IF(Calcul!$I$5=1,AB65,AI65)</f>
        <v>63-700</v>
      </c>
      <c r="AQ65" s="58" t="n">
        <f aca="false">IF(Calcul!$I$5=1,AC65,AJ65)</f>
        <v>0.008</v>
      </c>
      <c r="AR65" s="58" t="n">
        <f aca="false">IF(Calcul!$I$5=1,AD65,AK65)</f>
        <v>0.01</v>
      </c>
      <c r="AS65" s="58" t="n">
        <f aca="false">IF(Calcul!$I$5=1,AE65,AL65)</f>
        <v>3</v>
      </c>
      <c r="AT65" s="58" t="n">
        <f aca="false">IF(Calcul!$I$5=1,AF65,AM65)</f>
        <v>1</v>
      </c>
      <c r="AU65" s="58" t="n">
        <f aca="false">IF(Calcul!$I$5=1,AG65,AN65)</f>
        <v>0</v>
      </c>
      <c r="AV65" s="58" t="n">
        <f aca="false">IF(Calcul!$I$5=1,AH65,AO65)</f>
        <v>18000</v>
      </c>
      <c r="AW65" s="58" t="n">
        <f aca="false">IF(Calcul!$I$10&gt;0,MAX(1,ROUNDUP(Calcul!$I$10/S65-0.000001,0)),1)</f>
        <v>3</v>
      </c>
      <c r="AX65" s="58" t="n">
        <f aca="false">IF(Calcul!$I$10&gt;0,Calcul!$I$10/AW65,0)</f>
        <v>0.166666666666667</v>
      </c>
      <c r="AY65" s="58" t="n">
        <f aca="false">IF(Calcul!$I$10&gt;0,AX65/S65,1)</f>
        <v>0.888888888888889</v>
      </c>
      <c r="AZ65" s="58" t="n">
        <f aca="false">IF(AY65&lt;=1.0001,1,IF(AY65&lt;=2.0001,0.75,0.5))</f>
        <v>1</v>
      </c>
      <c r="BA65" s="58" t="n">
        <f aca="false">(AQ65+AR65)/2*AZ65</f>
        <v>0.009</v>
      </c>
      <c r="BB65" s="58" t="n">
        <f aca="false">IF(Calcul!$I$10&gt;0,IF(ISNUMBER(T65),IF(T65+0.000001&gt;=Calcul!$I$10,1,0),2),2)</f>
        <v>0</v>
      </c>
      <c r="BC65" s="58" t="n">
        <f aca="false">IF(AND(V65=Calcul!$I$8,ISNUMBER(U65),OR(AP65&lt;&gt;"",AT65=1),IF(Calcul!$I$8="straight",IF(Calcul!$I$10&gt;0,BB65=1,TRUE()),BB65&lt;&gt;0)),1,0)</f>
        <v>0</v>
      </c>
      <c r="BD65" s="58" t="n">
        <f aca="false">IF(AND(Calcul!$I$8="straight",ISNUMBER(SEARCH(Calcul!$I$9,W65))),1,0)</f>
        <v>1</v>
      </c>
      <c r="BE65" s="58" t="n">
        <f aca="false">IF(ABS(S65-0.5)&lt;0.0005,IF(Calcul!$I$7=2,18000,20000),IF(AND(Calcul!$I$6=1,Calcul!$I$7=2),17000,23000))</f>
        <v>23000</v>
      </c>
      <c r="BF65" s="58" t="n">
        <f aca="false">IF(ISNUMBER(U65),BE65*U65*BA65,0)</f>
        <v>207</v>
      </c>
      <c r="BG65" s="58" t="n">
        <f aca="false">BF65/AW65</f>
        <v>69</v>
      </c>
      <c r="BH65" s="58" t="n">
        <f aca="false">BD65*1000000000+IF(AP65&lt;&gt;"",100000000,0)+AT65*10000000+(50-MIN(AW65,49))*100000+AS65*10000+MIN(ROUND(BG65,0),9999)+S65/10-IF(ISNUMBER(T65),T65,9)/1000</f>
        <v>1114730069.01838</v>
      </c>
      <c r="BI65" s="58" t="n">
        <f aca="false">IF(AND(Calcul!$I$10&gt;0,ISNUMBER(T65)),T65-Calcul!$I$10,99)</f>
        <v>-0.125</v>
      </c>
      <c r="BJ65" s="58" t="str">
        <f aca="false">IF(BC65=1,BD65*10000000-ROUND(BI65*1000,0)*1000+MIN(BH65/10000000,999),"")</f>
        <v/>
      </c>
      <c r="BK65" s="58" t="n">
        <f aca="false">IF(BC65=1,IF(BJ65=_xlfn.MAXIFS(Calcul!$BJ$60:$BJ$110,Calcul!$S$60:$S$110,S65,Calcul!$BC$60:$BC$110,1),1,0),0)</f>
        <v>0</v>
      </c>
      <c r="BL65" s="58" t="n">
        <f aca="false">IF(BC65=1,_xlfn.MAXIFS(Calcul!$BH$60:$BH$110,Calcul!$S$60:$S$110,S65,Calcul!$BC$60:$BC$110,1),0)</f>
        <v>0</v>
      </c>
      <c r="BM65" s="58" t="str">
        <f aca="false">IF(BC65=1,IF(BK65=1,10000000000+BL65,BH65)-ROW()/10000000,"")</f>
        <v/>
      </c>
      <c r="BN65" s="58"/>
      <c r="BY65" s="59" t="n">
        <f aca="false">IFERROR(MATCH(SMALL(Calcul!$P$60:$P$184,6),Calcul!$P$60:$P$184,0),0)</f>
        <v>27</v>
      </c>
    </row>
    <row r="66" customFormat="false" ht="15" hidden="false" customHeight="false" outlineLevel="0" collapsed="false">
      <c r="M66" s="0" t="str">
        <f aca="false">IF(AND(ISNUMBER('Liste outils'!$E$12),Convertisseur!$C$14&gt;0),IF(ABS('Liste outils'!$E$12-Convertisseur!$C$14)&lt;0.0005,COUNTIFS('Liste outils'!$E$6:$E12,"&gt;"&amp;(Convertisseur!$C$14-0.0005),'Liste outils'!$E$6:$E12,"&lt;"&amp;(Convertisseur!$C$14+0.0005)),""),"")</f>
        <v/>
      </c>
      <c r="N66" s="0" t="str">
        <f aca="false">IF(AND(ISNUMBER('Liste outils'!$E$12),Convertisseur!$C$15&gt;0),IF(ABS('Liste outils'!$E$12-Convertisseur!$C$15)&lt;0.0005,COUNTIFS('Liste outils'!$E$6:$E12,"&gt;"&amp;(Convertisseur!$C$15-0.0005),'Liste outils'!$E$6:$E12,"&lt;"&amp;(Convertisseur!$C$15+0.0005)),""),"")</f>
        <v/>
      </c>
      <c r="O66" s="0" t="str">
        <f aca="false">IF(AND(ISNUMBER('Liste outils'!$E$12),Convertisseur!$C$16&gt;0),IF(ABS('Liste outils'!$E$12-Convertisseur!$C$16)&lt;0.0005,COUNTIFS('Liste outils'!$E$6:$E12,"&gt;"&amp;(Convertisseur!$C$16-0.0005),'Liste outils'!$E$6:$E12,"&lt;"&amp;(Convertisseur!$C$16+0.0005)),""),"")</f>
        <v/>
      </c>
      <c r="P66" s="58" t="n">
        <f aca="false">IF(AND(OR('Recherche outils'!$B$5="Tous",'Recherche outils'!$B$5='Liste outils'!$C$12),OR(TRIM('Recherche outils'!$B$4&amp;"")="",ISNUMBER(SEARCH(TRIM('Recherche outils'!$B$4&amp;""),'Liste outils'!$B$12&amp;" "&amp;'Liste outils'!$C$12&amp;" "&amp;'Liste outils'!$J$12&amp;" "&amp;'Liste outils'!$O$12&amp;" "&amp;'Liste outils'!$P$12&amp;" "&amp;'Liste outils'!$Q$12&amp;" "&amp;'Liste outils'!$AA$12&amp;" "&amp;'Liste outils'!$AB$12&amp;" "&amp;'Liste outils'!$AC$12&amp;" "&amp;'Liste outils'!$T$12))),OR(NOT(ISNUMBER(Calcul!$L$11)),AND(ISNUMBER('Liste outils'!$E$12),ABS('Liste outils'!$E$12-IF(ISNUMBER(Calcul!$L$11),Calcul!$L$11,0))&lt;0.002)),OR(NOT(ISNUMBER(Calcul!$O$11)),AND(ISNUMBER('Liste outils'!$H$12),'Liste outils'!$H$12+0.000001&gt;=IF(ISNUMBER(Calcul!$O$11),Calcul!$O$11,0)))),IF(ISNUMBER('Liste outils'!$E$12),'Liste outils'!$E$12,99)*100000+IF(ISNUMBER('Liste outils'!$H$12),'Liste outils'!$H$12,99)*100+7/1000,"")</f>
        <v>9909900.007</v>
      </c>
      <c r="R66" s="58" t="s">
        <v>312</v>
      </c>
      <c r="S66" s="58" t="n">
        <v>0.1875</v>
      </c>
      <c r="T66" s="58" t="n">
        <v>0.375</v>
      </c>
      <c r="U66" s="58" t="n">
        <v>1</v>
      </c>
      <c r="V66" s="58" t="s">
        <v>724</v>
      </c>
      <c r="W66" s="58" t="s">
        <v>40</v>
      </c>
      <c r="X66" s="58" t="s">
        <v>313</v>
      </c>
      <c r="Y66" s="58" t="s">
        <v>314</v>
      </c>
      <c r="Z66" s="58"/>
      <c r="AA66" s="58" t="s">
        <v>285</v>
      </c>
      <c r="AB66" s="58" t="s">
        <v>727</v>
      </c>
      <c r="AC66" s="58" t="n">
        <v>0.006</v>
      </c>
      <c r="AD66" s="58" t="n">
        <v>0.008</v>
      </c>
      <c r="AE66" s="58" t="n">
        <v>0</v>
      </c>
      <c r="AF66" s="58" t="n">
        <v>0</v>
      </c>
      <c r="AG66" s="58" t="n">
        <v>0</v>
      </c>
      <c r="AH66" s="58" t="n">
        <v>18000</v>
      </c>
      <c r="AI66" s="58" t="s">
        <v>727</v>
      </c>
      <c r="AJ66" s="58" t="n">
        <v>0.006</v>
      </c>
      <c r="AK66" s="58" t="n">
        <v>0.008</v>
      </c>
      <c r="AL66" s="58" t="n">
        <v>3</v>
      </c>
      <c r="AM66" s="58" t="n">
        <v>1</v>
      </c>
      <c r="AN66" s="58" t="n">
        <v>0</v>
      </c>
      <c r="AO66" s="58" t="n">
        <v>18000</v>
      </c>
      <c r="AP66" s="58" t="str">
        <f aca="false">IF(Calcul!$I$5=1,AB66,AI66)</f>
        <v>63-750</v>
      </c>
      <c r="AQ66" s="58" t="n">
        <f aca="false">IF(Calcul!$I$5=1,AC66,AJ66)</f>
        <v>0.006</v>
      </c>
      <c r="AR66" s="58" t="n">
        <f aca="false">IF(Calcul!$I$5=1,AD66,AK66)</f>
        <v>0.008</v>
      </c>
      <c r="AS66" s="58" t="n">
        <f aca="false">IF(Calcul!$I$5=1,AE66,AL66)</f>
        <v>0</v>
      </c>
      <c r="AT66" s="58" t="n">
        <f aca="false">IF(Calcul!$I$5=1,AF66,AM66)</f>
        <v>0</v>
      </c>
      <c r="AU66" s="58" t="n">
        <f aca="false">IF(Calcul!$I$5=1,AG66,AN66)</f>
        <v>0</v>
      </c>
      <c r="AV66" s="58" t="n">
        <f aca="false">IF(Calcul!$I$5=1,AH66,AO66)</f>
        <v>18000</v>
      </c>
      <c r="AW66" s="58" t="n">
        <f aca="false">IF(Calcul!$I$10&gt;0,MAX(1,ROUNDUP(Calcul!$I$10/S66-0.000001,0)),1)</f>
        <v>3</v>
      </c>
      <c r="AX66" s="58" t="n">
        <f aca="false">IF(Calcul!$I$10&gt;0,Calcul!$I$10/AW66,0)</f>
        <v>0.166666666666667</v>
      </c>
      <c r="AY66" s="58" t="n">
        <f aca="false">IF(Calcul!$I$10&gt;0,AX66/S66,1)</f>
        <v>0.888888888888889</v>
      </c>
      <c r="AZ66" s="58" t="n">
        <f aca="false">IF(AY66&lt;=1.0001,1,IF(AY66&lt;=2.0001,0.75,0.5))</f>
        <v>1</v>
      </c>
      <c r="BA66" s="58" t="n">
        <f aca="false">(AQ66+AR66)/2*AZ66</f>
        <v>0.007</v>
      </c>
      <c r="BB66" s="58" t="n">
        <f aca="false">IF(Calcul!$I$10&gt;0,IF(ISNUMBER(T66),IF(T66+0.000001&gt;=Calcul!$I$10,1,0),2),2)</f>
        <v>0</v>
      </c>
      <c r="BC66" s="58" t="n">
        <f aca="false">IF(AND(V66=Calcul!$I$8,ISNUMBER(U66),OR(AP66&lt;&gt;"",AT66=1),IF(Calcul!$I$8="straight",IF(Calcul!$I$10&gt;0,BB66=1,TRUE()),BB66&lt;&gt;0)),1,0)</f>
        <v>0</v>
      </c>
      <c r="BD66" s="58" t="n">
        <f aca="false">IF(AND(Calcul!$I$8="straight",ISNUMBER(SEARCH(Calcul!$I$9,W66))),1,0)</f>
        <v>1</v>
      </c>
      <c r="BE66" s="58" t="n">
        <f aca="false">IF(ABS(S66-0.5)&lt;0.0005,IF(Calcul!$I$7=2,18000,20000),IF(AND(Calcul!$I$6=1,Calcul!$I$7=2),17000,23000))</f>
        <v>23000</v>
      </c>
      <c r="BF66" s="58" t="n">
        <f aca="false">IF(ISNUMBER(U66),BE66*U66*BA66,0)</f>
        <v>161</v>
      </c>
      <c r="BG66" s="58" t="n">
        <f aca="false">BF66/AW66</f>
        <v>53.6666666666667</v>
      </c>
      <c r="BH66" s="58" t="n">
        <f aca="false">BD66*1000000000+IF(AP66&lt;&gt;"",100000000,0)+AT66*10000000+(50-MIN(AW66,49))*100000+AS66*10000+MIN(ROUND(BG66,0),9999)+S66/10-IF(ISNUMBER(T66),T66,9)/1000</f>
        <v>1104700054.01838</v>
      </c>
      <c r="BI66" s="58" t="n">
        <f aca="false">IF(AND(Calcul!$I$10&gt;0,ISNUMBER(T66)),T66-Calcul!$I$10,99)</f>
        <v>-0.125</v>
      </c>
      <c r="BJ66" s="58" t="str">
        <f aca="false">IF(BC66=1,BD66*10000000-ROUND(BI66*1000,0)*1000+MIN(BH66/10000000,999),"")</f>
        <v/>
      </c>
      <c r="BK66" s="58" t="n">
        <f aca="false">IF(BC66=1,IF(BJ66=_xlfn.MAXIFS(Calcul!$BJ$60:$BJ$110,Calcul!$S$60:$S$110,S66,Calcul!$BC$60:$BC$110,1),1,0),0)</f>
        <v>0</v>
      </c>
      <c r="BL66" s="58" t="n">
        <f aca="false">IF(BC66=1,_xlfn.MAXIFS(Calcul!$BH$60:$BH$110,Calcul!$S$60:$S$110,S66,Calcul!$BC$60:$BC$110,1),0)</f>
        <v>0</v>
      </c>
      <c r="BM66" s="58" t="str">
        <f aca="false">IF(BC66=1,IF(BK66=1,10000000000+BL66,BH66)-ROW()/10000000,"")</f>
        <v/>
      </c>
      <c r="BN66" s="58"/>
      <c r="BY66" s="59" t="n">
        <f aca="false">IFERROR(MATCH(SMALL(Calcul!$P$60:$P$184,7),Calcul!$P$60:$P$184,0),0)</f>
        <v>29</v>
      </c>
    </row>
    <row r="67" customFormat="false" ht="15" hidden="false" customHeight="false" outlineLevel="0" collapsed="false">
      <c r="M67" s="0" t="str">
        <f aca="false">IF(AND(ISNUMBER('Liste outils'!$E$13),Convertisseur!$C$14&gt;0),IF(ABS('Liste outils'!$E$13-Convertisseur!$C$14)&lt;0.0005,COUNTIFS('Liste outils'!$E$6:$E13,"&gt;"&amp;(Convertisseur!$C$14-0.0005),'Liste outils'!$E$6:$E13,"&lt;"&amp;(Convertisseur!$C$14+0.0005)),""),"")</f>
        <v/>
      </c>
      <c r="N67" s="0" t="str">
        <f aca="false">IF(AND(ISNUMBER('Liste outils'!$E$13),Convertisseur!$C$15&gt;0),IF(ABS('Liste outils'!$E$13-Convertisseur!$C$15)&lt;0.0005,COUNTIFS('Liste outils'!$E$6:$E13,"&gt;"&amp;(Convertisseur!$C$15-0.0005),'Liste outils'!$E$6:$E13,"&lt;"&amp;(Convertisseur!$C$15+0.0005)),""),"")</f>
        <v/>
      </c>
      <c r="O67" s="0" t="str">
        <f aca="false">IF(AND(ISNUMBER('Liste outils'!$E$13),Convertisseur!$C$16&gt;0),IF(ABS('Liste outils'!$E$13-Convertisseur!$C$16)&lt;0.0005,COUNTIFS('Liste outils'!$E$6:$E13,"&gt;"&amp;(Convertisseur!$C$16-0.0005),'Liste outils'!$E$6:$E13,"&lt;"&amp;(Convertisseur!$C$16+0.0005)),""),"")</f>
        <v/>
      </c>
      <c r="P67" s="58" t="n">
        <f aca="false">IF(AND(OR('Recherche outils'!$B$5="Tous",'Recherche outils'!$B$5='Liste outils'!$C$13),OR(TRIM('Recherche outils'!$B$4&amp;"")="",ISNUMBER(SEARCH(TRIM('Recherche outils'!$B$4&amp;""),'Liste outils'!$B$13&amp;" "&amp;'Liste outils'!$C$13&amp;" "&amp;'Liste outils'!$J$13&amp;" "&amp;'Liste outils'!$O$13&amp;" "&amp;'Liste outils'!$P$13&amp;" "&amp;'Liste outils'!$Q$13&amp;" "&amp;'Liste outils'!$AA$13&amp;" "&amp;'Liste outils'!$AB$13&amp;" "&amp;'Liste outils'!$AC$13&amp;" "&amp;'Liste outils'!$T$13))),OR(NOT(ISNUMBER(Calcul!$L$11)),AND(ISNUMBER('Liste outils'!$E$13),ABS('Liste outils'!$E$13-IF(ISNUMBER(Calcul!$L$11),Calcul!$L$11,0))&lt;0.002)),OR(NOT(ISNUMBER(Calcul!$O$11)),AND(ISNUMBER('Liste outils'!$H$13),'Liste outils'!$H$13+0.000001&gt;=IF(ISNUMBER(Calcul!$O$11),Calcul!$O$11,0)))),IF(ISNUMBER('Liste outils'!$E$13),'Liste outils'!$E$13,99)*100000+IF(ISNUMBER('Liste outils'!$H$13),'Liste outils'!$H$13,99)*100+8/1000,"")</f>
        <v>9900028.948</v>
      </c>
      <c r="R67" s="58" t="s">
        <v>315</v>
      </c>
      <c r="S67" s="58" t="n">
        <v>0.25</v>
      </c>
      <c r="T67" s="58" t="n">
        <v>0.75</v>
      </c>
      <c r="U67" s="58" t="n">
        <v>1</v>
      </c>
      <c r="V67" s="58" t="s">
        <v>724</v>
      </c>
      <c r="W67" s="58" t="s">
        <v>40</v>
      </c>
      <c r="X67" s="58" t="s">
        <v>316</v>
      </c>
      <c r="Y67" s="58" t="s">
        <v>317</v>
      </c>
      <c r="Z67" s="58"/>
      <c r="AA67" s="58" t="s">
        <v>285</v>
      </c>
      <c r="AB67" s="58" t="s">
        <v>465</v>
      </c>
      <c r="AC67" s="58" t="n">
        <v>0.01</v>
      </c>
      <c r="AD67" s="58" t="n">
        <v>0.012</v>
      </c>
      <c r="AE67" s="58" t="n">
        <v>3</v>
      </c>
      <c r="AF67" s="58" t="n">
        <v>1</v>
      </c>
      <c r="AG67" s="58" t="n">
        <v>0</v>
      </c>
      <c r="AH67" s="58" t="n">
        <v>18000</v>
      </c>
      <c r="AI67" s="58"/>
      <c r="AJ67" s="58" t="n">
        <v>0.0048</v>
      </c>
      <c r="AK67" s="58" t="n">
        <v>0.0072</v>
      </c>
      <c r="AL67" s="58" t="n">
        <v>0</v>
      </c>
      <c r="AM67" s="58" t="n">
        <v>0</v>
      </c>
      <c r="AN67" s="58" t="n">
        <v>1</v>
      </c>
      <c r="AO67" s="58" t="n">
        <v>0</v>
      </c>
      <c r="AP67" s="58" t="str">
        <f aca="false">IF(Calcul!$I$5=1,AB67,AI67)</f>
        <v>63-700</v>
      </c>
      <c r="AQ67" s="58" t="n">
        <f aca="false">IF(Calcul!$I$5=1,AC67,AJ67)</f>
        <v>0.01</v>
      </c>
      <c r="AR67" s="58" t="n">
        <f aca="false">IF(Calcul!$I$5=1,AD67,AK67)</f>
        <v>0.012</v>
      </c>
      <c r="AS67" s="58" t="n">
        <f aca="false">IF(Calcul!$I$5=1,AE67,AL67)</f>
        <v>3</v>
      </c>
      <c r="AT67" s="58" t="n">
        <f aca="false">IF(Calcul!$I$5=1,AF67,AM67)</f>
        <v>1</v>
      </c>
      <c r="AU67" s="58" t="n">
        <f aca="false">IF(Calcul!$I$5=1,AG67,AN67)</f>
        <v>0</v>
      </c>
      <c r="AV67" s="58" t="n">
        <f aca="false">IF(Calcul!$I$5=1,AH67,AO67)</f>
        <v>18000</v>
      </c>
      <c r="AW67" s="58" t="n">
        <f aca="false">IF(Calcul!$I$10&gt;0,MAX(1,ROUNDUP(Calcul!$I$10/S67-0.000001,0)),1)</f>
        <v>2</v>
      </c>
      <c r="AX67" s="58" t="n">
        <f aca="false">IF(Calcul!$I$10&gt;0,Calcul!$I$10/AW67,0)</f>
        <v>0.25</v>
      </c>
      <c r="AY67" s="58" t="n">
        <f aca="false">IF(Calcul!$I$10&gt;0,AX67/S67,1)</f>
        <v>1</v>
      </c>
      <c r="AZ67" s="58" t="n">
        <f aca="false">IF(AY67&lt;=1.0001,1,IF(AY67&lt;=2.0001,0.75,0.5))</f>
        <v>1</v>
      </c>
      <c r="BA67" s="58" t="n">
        <f aca="false">(AQ67+AR67)/2*AZ67</f>
        <v>0.011</v>
      </c>
      <c r="BB67" s="58" t="n">
        <f aca="false">IF(Calcul!$I$10&gt;0,IF(ISNUMBER(T67),IF(T67+0.000001&gt;=Calcul!$I$10,1,0),2),2)</f>
        <v>1</v>
      </c>
      <c r="BC67" s="58" t="n">
        <f aca="false">IF(AND(V67=Calcul!$I$8,ISNUMBER(U67),OR(AP67&lt;&gt;"",AT67=1),IF(Calcul!$I$8="straight",IF(Calcul!$I$10&gt;0,BB67=1,TRUE()),BB67&lt;&gt;0)),1,0)</f>
        <v>1</v>
      </c>
      <c r="BD67" s="58" t="n">
        <f aca="false">IF(AND(Calcul!$I$8="straight",ISNUMBER(SEARCH(Calcul!$I$9,W67))),1,0)</f>
        <v>1</v>
      </c>
      <c r="BE67" s="58" t="n">
        <f aca="false">IF(ABS(S67-0.5)&lt;0.0005,IF(Calcul!$I$7=2,18000,20000),IF(AND(Calcul!$I$6=1,Calcul!$I$7=2),17000,23000))</f>
        <v>23000</v>
      </c>
      <c r="BF67" s="58" t="n">
        <f aca="false">IF(ISNUMBER(U67),BE67*U67*BA67,0)</f>
        <v>253</v>
      </c>
      <c r="BG67" s="58" t="n">
        <f aca="false">BF67/AW67</f>
        <v>126.5</v>
      </c>
      <c r="BH67" s="58" t="n">
        <f aca="false">BD67*1000000000+IF(AP67&lt;&gt;"",100000000,0)+AT67*10000000+(50-MIN(AW67,49))*100000+AS67*10000+MIN(ROUND(BG67,0),9999)+S67/10-IF(ISNUMBER(T67),T67,9)/1000</f>
        <v>1114830126.02425</v>
      </c>
      <c r="BI67" s="58" t="n">
        <f aca="false">IF(AND(Calcul!$I$10&gt;0,ISNUMBER(T67)),T67-Calcul!$I$10,99)</f>
        <v>0.25</v>
      </c>
      <c r="BJ67" s="58" t="n">
        <f aca="false">IF(BC67=1,BD67*10000000-ROUND(BI67*1000,0)*1000+MIN(BH67/10000000,999),"")</f>
        <v>9750111.4830126</v>
      </c>
      <c r="BK67" s="58" t="n">
        <f aca="false">IF(BC67=1,IF(BJ67=_xlfn.MAXIFS(Calcul!$BJ$60:$BJ$110,Calcul!$S$60:$S$110,S67,Calcul!$BC$60:$BC$110,1),1,0),0)</f>
        <v>1</v>
      </c>
      <c r="BL67" s="58" t="n">
        <f aca="false">IF(BC67=1,_xlfn.MAXIFS(Calcul!$BH$60:$BH$110,Calcul!$S$60:$S$110,S67,Calcul!$BC$60:$BC$110,1),0)</f>
        <v>1114830126.02425</v>
      </c>
      <c r="BM67" s="58" t="n">
        <f aca="false">IF(BC67=1,IF(BK67=1,10000000000+BL67,BH67)-ROW()/10000000,"")</f>
        <v>11114830126.0242</v>
      </c>
      <c r="BN67" s="58"/>
      <c r="BY67" s="59" t="n">
        <f aca="false">IFERROR(MATCH(SMALL(Calcul!$P$60:$P$184,8),Calcul!$P$60:$P$184,0),0)</f>
        <v>38</v>
      </c>
    </row>
    <row r="68" customFormat="false" ht="15" hidden="false" customHeight="false" outlineLevel="0" collapsed="false">
      <c r="M68" s="0" t="str">
        <f aca="false">IF(AND(ISNUMBER('Liste outils'!$E$14),Convertisseur!$C$14&gt;0),IF(ABS('Liste outils'!$E$14-Convertisseur!$C$14)&lt;0.0005,COUNTIFS('Liste outils'!$E$6:$E14,"&gt;"&amp;(Convertisseur!$C$14-0.0005),'Liste outils'!$E$6:$E14,"&lt;"&amp;(Convertisseur!$C$14+0.0005)),""),"")</f>
        <v/>
      </c>
      <c r="N68" s="0" t="str">
        <f aca="false">IF(AND(ISNUMBER('Liste outils'!$E$14),Convertisseur!$C$15&gt;0),IF(ABS('Liste outils'!$E$14-Convertisseur!$C$15)&lt;0.0005,COUNTIFS('Liste outils'!$E$6:$E14,"&gt;"&amp;(Convertisseur!$C$15-0.0005),'Liste outils'!$E$6:$E14,"&lt;"&amp;(Convertisseur!$C$15+0.0005)),""),"")</f>
        <v/>
      </c>
      <c r="O68" s="0" t="str">
        <f aca="false">IF(AND(ISNUMBER('Liste outils'!$E$14),Convertisseur!$C$16&gt;0),IF(ABS('Liste outils'!$E$14-Convertisseur!$C$16)&lt;0.0005,COUNTIFS('Liste outils'!$E$6:$E14,"&gt;"&amp;(Convertisseur!$C$16-0.0005),'Liste outils'!$E$6:$E14,"&lt;"&amp;(Convertisseur!$C$16+0.0005)),""),"")</f>
        <v/>
      </c>
      <c r="P68" s="58" t="n">
        <f aca="false">IF(AND(OR('Recherche outils'!$B$5="Tous",'Recherche outils'!$B$5='Liste outils'!$C$14),OR(TRIM('Recherche outils'!$B$4&amp;"")="",ISNUMBER(SEARCH(TRIM('Recherche outils'!$B$4&amp;""),'Liste outils'!$B$14&amp;" "&amp;'Liste outils'!$C$14&amp;" "&amp;'Liste outils'!$J$14&amp;" "&amp;'Liste outils'!$O$14&amp;" "&amp;'Liste outils'!$P$14&amp;" "&amp;'Liste outils'!$Q$14&amp;" "&amp;'Liste outils'!$AA$14&amp;" "&amp;'Liste outils'!$AB$14&amp;" "&amp;'Liste outils'!$AC$14&amp;" "&amp;'Liste outils'!$T$14))),OR(NOT(ISNUMBER(Calcul!$L$11)),AND(ISNUMBER('Liste outils'!$E$14),ABS('Liste outils'!$E$14-IF(ISNUMBER(Calcul!$L$11),Calcul!$L$11,0))&lt;0.002)),OR(NOT(ISNUMBER(Calcul!$O$11)),AND(ISNUMBER('Liste outils'!$H$14),'Liste outils'!$H$14+0.000001&gt;=IF(ISNUMBER(Calcul!$O$11),Calcul!$O$11,0)))),IF(ISNUMBER('Liste outils'!$E$14),'Liste outils'!$E$14,99)*100000+IF(ISNUMBER('Liste outils'!$H$14),'Liste outils'!$H$14,99)*100+9/1000,"")</f>
        <v>9909900.009</v>
      </c>
      <c r="R68" s="58" t="s">
        <v>318</v>
      </c>
      <c r="S68" s="58" t="n">
        <v>0.1875</v>
      </c>
      <c r="T68" s="58" t="n">
        <v>0.625</v>
      </c>
      <c r="U68" s="58" t="n">
        <v>1</v>
      </c>
      <c r="V68" s="58" t="s">
        <v>724</v>
      </c>
      <c r="W68" s="58" t="s">
        <v>319</v>
      </c>
      <c r="X68" s="58" t="s">
        <v>320</v>
      </c>
      <c r="Y68" s="58" t="s">
        <v>321</v>
      </c>
      <c r="Z68" s="58"/>
      <c r="AA68" s="58" t="s">
        <v>285</v>
      </c>
      <c r="AB68" s="58" t="s">
        <v>731</v>
      </c>
      <c r="AC68" s="58" t="n">
        <v>0.008</v>
      </c>
      <c r="AD68" s="58" t="n">
        <v>0.01</v>
      </c>
      <c r="AE68" s="58" t="n">
        <v>0</v>
      </c>
      <c r="AF68" s="58" t="n">
        <v>1</v>
      </c>
      <c r="AG68" s="58" t="n">
        <v>0</v>
      </c>
      <c r="AH68" s="58" t="n">
        <v>18000</v>
      </c>
      <c r="AI68" s="58"/>
      <c r="AJ68" s="58" t="n">
        <v>0.0036</v>
      </c>
      <c r="AK68" s="58" t="n">
        <v>0.0054</v>
      </c>
      <c r="AL68" s="58" t="n">
        <v>0</v>
      </c>
      <c r="AM68" s="58" t="n">
        <v>0</v>
      </c>
      <c r="AN68" s="58" t="n">
        <v>1</v>
      </c>
      <c r="AO68" s="58" t="n">
        <v>0</v>
      </c>
      <c r="AP68" s="58" t="str">
        <f aca="false">IF(Calcul!$I$5=1,AB68,AI68)</f>
        <v>62-700</v>
      </c>
      <c r="AQ68" s="58" t="n">
        <f aca="false">IF(Calcul!$I$5=1,AC68,AJ68)</f>
        <v>0.008</v>
      </c>
      <c r="AR68" s="58" t="n">
        <f aca="false">IF(Calcul!$I$5=1,AD68,AK68)</f>
        <v>0.01</v>
      </c>
      <c r="AS68" s="58" t="n">
        <f aca="false">IF(Calcul!$I$5=1,AE68,AL68)</f>
        <v>0</v>
      </c>
      <c r="AT68" s="58" t="n">
        <f aca="false">IF(Calcul!$I$5=1,AF68,AM68)</f>
        <v>1</v>
      </c>
      <c r="AU68" s="58" t="n">
        <f aca="false">IF(Calcul!$I$5=1,AG68,AN68)</f>
        <v>0</v>
      </c>
      <c r="AV68" s="58" t="n">
        <f aca="false">IF(Calcul!$I$5=1,AH68,AO68)</f>
        <v>18000</v>
      </c>
      <c r="AW68" s="58" t="n">
        <f aca="false">IF(Calcul!$I$10&gt;0,MAX(1,ROUNDUP(Calcul!$I$10/S68-0.000001,0)),1)</f>
        <v>3</v>
      </c>
      <c r="AX68" s="58" t="n">
        <f aca="false">IF(Calcul!$I$10&gt;0,Calcul!$I$10/AW68,0)</f>
        <v>0.166666666666667</v>
      </c>
      <c r="AY68" s="58" t="n">
        <f aca="false">IF(Calcul!$I$10&gt;0,AX68/S68,1)</f>
        <v>0.888888888888889</v>
      </c>
      <c r="AZ68" s="58" t="n">
        <f aca="false">IF(AY68&lt;=1.0001,1,IF(AY68&lt;=2.0001,0.75,0.5))</f>
        <v>1</v>
      </c>
      <c r="BA68" s="58" t="n">
        <f aca="false">(AQ68+AR68)/2*AZ68</f>
        <v>0.009</v>
      </c>
      <c r="BB68" s="58" t="n">
        <f aca="false">IF(Calcul!$I$10&gt;0,IF(ISNUMBER(T68),IF(T68+0.000001&gt;=Calcul!$I$10,1,0),2),2)</f>
        <v>1</v>
      </c>
      <c r="BC68" s="58" t="n">
        <f aca="false">IF(AND(V68=Calcul!$I$8,ISNUMBER(U68),OR(AP68&lt;&gt;"",AT68=1),IF(Calcul!$I$8="straight",IF(Calcul!$I$10&gt;0,BB68=1,TRUE()),BB68&lt;&gt;0)),1,0)</f>
        <v>1</v>
      </c>
      <c r="BD68" s="58" t="n">
        <f aca="false">IF(AND(Calcul!$I$8="straight",ISNUMBER(SEARCH(Calcul!$I$9,W68))),1,0)</f>
        <v>0</v>
      </c>
      <c r="BE68" s="58" t="n">
        <f aca="false">IF(ABS(S68-0.5)&lt;0.0005,IF(Calcul!$I$7=2,18000,20000),IF(AND(Calcul!$I$6=1,Calcul!$I$7=2),17000,23000))</f>
        <v>23000</v>
      </c>
      <c r="BF68" s="58" t="n">
        <f aca="false">IF(ISNUMBER(U68),BE68*U68*BA68,0)</f>
        <v>207</v>
      </c>
      <c r="BG68" s="58" t="n">
        <f aca="false">BF68/AW68</f>
        <v>69</v>
      </c>
      <c r="BH68" s="58" t="n">
        <f aca="false">BD68*1000000000+IF(AP68&lt;&gt;"",100000000,0)+AT68*10000000+(50-MIN(AW68,49))*100000+AS68*10000+MIN(ROUND(BG68,0),9999)+S68/10-IF(ISNUMBER(T68),T68,9)/1000</f>
        <v>114700069.018125</v>
      </c>
      <c r="BI68" s="58" t="n">
        <f aca="false">IF(AND(Calcul!$I$10&gt;0,ISNUMBER(T68)),T68-Calcul!$I$10,99)</f>
        <v>0.125</v>
      </c>
      <c r="BJ68" s="58" t="n">
        <f aca="false">IF(BC68=1,BD68*10000000-ROUND(BI68*1000,0)*1000+MIN(BH68/10000000,999),"")</f>
        <v>-124988.529993098</v>
      </c>
      <c r="BK68" s="58" t="n">
        <f aca="false">IF(BC68=1,IF(BJ68=_xlfn.MAXIFS(Calcul!$BJ$60:$BJ$110,Calcul!$S$60:$S$110,S68,Calcul!$BC$60:$BC$110,1),1,0),0)</f>
        <v>0</v>
      </c>
      <c r="BL68" s="58" t="n">
        <f aca="false">IF(BC68=1,_xlfn.MAXIFS(Calcul!$BH$60:$BH$110,Calcul!$S$60:$S$110,S68,Calcul!$BC$60:$BC$110,1),0)</f>
        <v>1114720069.0175</v>
      </c>
      <c r="BM68" s="58" t="n">
        <f aca="false">IF(BC68=1,IF(BK68=1,10000000000+BL68,BH68)-ROW()/10000000,"")</f>
        <v>114700069.018118</v>
      </c>
      <c r="BN68" s="58"/>
      <c r="BY68" s="59" t="n">
        <f aca="false">IFERROR(MATCH(SMALL(Calcul!$P$60:$P$184,9),Calcul!$P$60:$P$184,0),0)</f>
        <v>54</v>
      </c>
    </row>
    <row r="69" customFormat="false" ht="15" hidden="false" customHeight="false" outlineLevel="0" collapsed="false">
      <c r="M69" s="0" t="str">
        <f aca="false">IF(AND(ISNUMBER('Liste outils'!$E$15),Convertisseur!$C$14&gt;0),IF(ABS('Liste outils'!$E$15-Convertisseur!$C$14)&lt;0.0005,COUNTIFS('Liste outils'!$E$6:$E15,"&gt;"&amp;(Convertisseur!$C$14-0.0005),'Liste outils'!$E$6:$E15,"&lt;"&amp;(Convertisseur!$C$14+0.0005)),""),"")</f>
        <v/>
      </c>
      <c r="N69" s="0" t="str">
        <f aca="false">IF(AND(ISNUMBER('Liste outils'!$E$15),Convertisseur!$C$15&gt;0),IF(ABS('Liste outils'!$E$15-Convertisseur!$C$15)&lt;0.0005,COUNTIFS('Liste outils'!$E$6:$E15,"&gt;"&amp;(Convertisseur!$C$15-0.0005),'Liste outils'!$E$6:$E15,"&lt;"&amp;(Convertisseur!$C$15+0.0005)),""),"")</f>
        <v/>
      </c>
      <c r="O69" s="0" t="str">
        <f aca="false">IF(AND(ISNUMBER('Liste outils'!$E$15),Convertisseur!$C$16&gt;0),IF(ABS('Liste outils'!$E$15-Convertisseur!$C$16)&lt;0.0005,COUNTIFS('Liste outils'!$E$6:$E15,"&gt;"&amp;(Convertisseur!$C$16-0.0005),'Liste outils'!$E$6:$E15,"&lt;"&amp;(Convertisseur!$C$16+0.0005)),""),"")</f>
        <v/>
      </c>
      <c r="P69" s="58" t="n">
        <f aca="false">IF(AND(OR('Recherche outils'!$B$5="Tous",'Recherche outils'!$B$5='Liste outils'!$C$15),OR(TRIM('Recherche outils'!$B$4&amp;"")="",ISNUMBER(SEARCH(TRIM('Recherche outils'!$B$4&amp;""),'Liste outils'!$B$15&amp;" "&amp;'Liste outils'!$C$15&amp;" "&amp;'Liste outils'!$J$15&amp;" "&amp;'Liste outils'!$O$15&amp;" "&amp;'Liste outils'!$P$15&amp;" "&amp;'Liste outils'!$Q$15&amp;" "&amp;'Liste outils'!$AA$15&amp;" "&amp;'Liste outils'!$AB$15&amp;" "&amp;'Liste outils'!$AC$15&amp;" "&amp;'Liste outils'!$T$15))),OR(NOT(ISNUMBER(Calcul!$L$11)),AND(ISNUMBER('Liste outils'!$E$15),ABS('Liste outils'!$E$15-IF(ISNUMBER(Calcul!$L$11),Calcul!$L$11,0))&lt;0.002)),OR(NOT(ISNUMBER(Calcul!$O$11)),AND(ISNUMBER('Liste outils'!$H$15),'Liste outils'!$H$15+0.000001&gt;=IF(ISNUMBER(Calcul!$O$11),Calcul!$O$11,0)))),IF(ISNUMBER('Liste outils'!$E$15),'Liste outils'!$E$15,99)*100000+IF(ISNUMBER('Liste outils'!$H$15),'Liste outils'!$H$15,99)*100+10/1000,"")</f>
        <v>9900078.71</v>
      </c>
      <c r="R69" s="58" t="s">
        <v>322</v>
      </c>
      <c r="S69" s="58" t="n">
        <v>0.375</v>
      </c>
      <c r="T69" s="58" t="n">
        <v>0.75</v>
      </c>
      <c r="U69" s="58" t="n">
        <v>1</v>
      </c>
      <c r="V69" s="58" t="s">
        <v>724</v>
      </c>
      <c r="W69" s="58" t="s">
        <v>40</v>
      </c>
      <c r="X69" s="58" t="s">
        <v>323</v>
      </c>
      <c r="Y69" s="58" t="s">
        <v>324</v>
      </c>
      <c r="Z69" s="58"/>
      <c r="AA69" s="58" t="s">
        <v>285</v>
      </c>
      <c r="AB69" s="58" t="s">
        <v>727</v>
      </c>
      <c r="AC69" s="58" t="n">
        <v>0.008</v>
      </c>
      <c r="AD69" s="58" t="n">
        <v>0.012</v>
      </c>
      <c r="AE69" s="58" t="n">
        <v>0</v>
      </c>
      <c r="AF69" s="58" t="n">
        <v>0</v>
      </c>
      <c r="AG69" s="58" t="n">
        <v>0</v>
      </c>
      <c r="AH69" s="58" t="n">
        <v>18000</v>
      </c>
      <c r="AI69" s="58" t="s">
        <v>727</v>
      </c>
      <c r="AJ69" s="58" t="n">
        <v>0.008</v>
      </c>
      <c r="AK69" s="58" t="n">
        <v>0.012</v>
      </c>
      <c r="AL69" s="58" t="n">
        <v>3</v>
      </c>
      <c r="AM69" s="58" t="n">
        <v>1</v>
      </c>
      <c r="AN69" s="58" t="n">
        <v>0</v>
      </c>
      <c r="AO69" s="58" t="n">
        <v>18000</v>
      </c>
      <c r="AP69" s="58" t="str">
        <f aca="false">IF(Calcul!$I$5=1,AB69,AI69)</f>
        <v>63-750</v>
      </c>
      <c r="AQ69" s="58" t="n">
        <f aca="false">IF(Calcul!$I$5=1,AC69,AJ69)</f>
        <v>0.008</v>
      </c>
      <c r="AR69" s="58" t="n">
        <f aca="false">IF(Calcul!$I$5=1,AD69,AK69)</f>
        <v>0.012</v>
      </c>
      <c r="AS69" s="58" t="n">
        <f aca="false">IF(Calcul!$I$5=1,AE69,AL69)</f>
        <v>0</v>
      </c>
      <c r="AT69" s="58" t="n">
        <f aca="false">IF(Calcul!$I$5=1,AF69,AM69)</f>
        <v>0</v>
      </c>
      <c r="AU69" s="58" t="n">
        <f aca="false">IF(Calcul!$I$5=1,AG69,AN69)</f>
        <v>0</v>
      </c>
      <c r="AV69" s="58" t="n">
        <f aca="false">IF(Calcul!$I$5=1,AH69,AO69)</f>
        <v>18000</v>
      </c>
      <c r="AW69" s="58" t="n">
        <f aca="false">IF(Calcul!$I$10&gt;0,MAX(1,ROUNDUP(Calcul!$I$10/S69-0.000001,0)),1)</f>
        <v>2</v>
      </c>
      <c r="AX69" s="58" t="n">
        <f aca="false">IF(Calcul!$I$10&gt;0,Calcul!$I$10/AW69,0)</f>
        <v>0.25</v>
      </c>
      <c r="AY69" s="58" t="n">
        <f aca="false">IF(Calcul!$I$10&gt;0,AX69/S69,1)</f>
        <v>0.666666666666667</v>
      </c>
      <c r="AZ69" s="58" t="n">
        <f aca="false">IF(AY69&lt;=1.0001,1,IF(AY69&lt;=2.0001,0.75,0.5))</f>
        <v>1</v>
      </c>
      <c r="BA69" s="58" t="n">
        <f aca="false">(AQ69+AR69)/2*AZ69</f>
        <v>0.01</v>
      </c>
      <c r="BB69" s="58" t="n">
        <f aca="false">IF(Calcul!$I$10&gt;0,IF(ISNUMBER(T69),IF(T69+0.000001&gt;=Calcul!$I$10,1,0),2),2)</f>
        <v>1</v>
      </c>
      <c r="BC69" s="58" t="n">
        <f aca="false">IF(AND(V69=Calcul!$I$8,ISNUMBER(U69),OR(AP69&lt;&gt;"",AT69=1),IF(Calcul!$I$8="straight",IF(Calcul!$I$10&gt;0,BB69=1,TRUE()),BB69&lt;&gt;0)),1,0)</f>
        <v>1</v>
      </c>
      <c r="BD69" s="58" t="n">
        <f aca="false">IF(AND(Calcul!$I$8="straight",ISNUMBER(SEARCH(Calcul!$I$9,W69))),1,0)</f>
        <v>1</v>
      </c>
      <c r="BE69" s="58" t="n">
        <f aca="false">IF(ABS(S69-0.5)&lt;0.0005,IF(Calcul!$I$7=2,18000,20000),IF(AND(Calcul!$I$6=1,Calcul!$I$7=2),17000,23000))</f>
        <v>23000</v>
      </c>
      <c r="BF69" s="58" t="n">
        <f aca="false">IF(ISNUMBER(U69),BE69*U69*BA69,0)</f>
        <v>230</v>
      </c>
      <c r="BG69" s="58" t="n">
        <f aca="false">BF69/AW69</f>
        <v>115</v>
      </c>
      <c r="BH69" s="58" t="n">
        <f aca="false">BD69*1000000000+IF(AP69&lt;&gt;"",100000000,0)+AT69*10000000+(50-MIN(AW69,49))*100000+AS69*10000+MIN(ROUND(BG69,0),9999)+S69/10-IF(ISNUMBER(T69),T69,9)/1000</f>
        <v>1104800115.03675</v>
      </c>
      <c r="BI69" s="58" t="n">
        <f aca="false">IF(AND(Calcul!$I$10&gt;0,ISNUMBER(T69)),T69-Calcul!$I$10,99)</f>
        <v>0.25</v>
      </c>
      <c r="BJ69" s="58" t="n">
        <f aca="false">IF(BC69=1,BD69*10000000-ROUND(BI69*1000,0)*1000+MIN(BH69/10000000,999),"")</f>
        <v>9750110.4800115</v>
      </c>
      <c r="BK69" s="58" t="n">
        <f aca="false">IF(BC69=1,IF(BJ69=_xlfn.MAXIFS(Calcul!$BJ$60:$BJ$110,Calcul!$S$60:$S$110,S69,Calcul!$BC$60:$BC$110,1),1,0),0)</f>
        <v>0</v>
      </c>
      <c r="BL69" s="58" t="n">
        <f aca="false">IF(BC69=1,_xlfn.MAXIFS(Calcul!$BH$60:$BH$110,Calcul!$S$60:$S$110,S69,Calcul!$BC$60:$BC$110,1),0)</f>
        <v>1114830126.03675</v>
      </c>
      <c r="BM69" s="58" t="n">
        <f aca="false">IF(BC69=1,IF(BK69=1,10000000000+BL69,BH69)-ROW()/10000000,"")</f>
        <v>1104800115.03674</v>
      </c>
      <c r="BN69" s="58"/>
      <c r="BY69" s="59" t="n">
        <f aca="false">IFERROR(MATCH(SMALL(Calcul!$P$60:$P$184,10),Calcul!$P$60:$P$184,0),0)</f>
        <v>71</v>
      </c>
    </row>
    <row r="70" customFormat="false" ht="15" hidden="false" customHeight="false" outlineLevel="0" collapsed="false">
      <c r="M70" s="0" t="str">
        <f aca="false">IF(AND(ISNUMBER('Liste outils'!$E$16),Convertisseur!$C$14&gt;0),IF(ABS('Liste outils'!$E$16-Convertisseur!$C$14)&lt;0.0005,COUNTIFS('Liste outils'!$E$6:$E16,"&gt;"&amp;(Convertisseur!$C$14-0.0005),'Liste outils'!$E$6:$E16,"&lt;"&amp;(Convertisseur!$C$14+0.0005)),""),"")</f>
        <v/>
      </c>
      <c r="N70" s="0" t="str">
        <f aca="false">IF(AND(ISNUMBER('Liste outils'!$E$16),Convertisseur!$C$15&gt;0),IF(ABS('Liste outils'!$E$16-Convertisseur!$C$15)&lt;0.0005,COUNTIFS('Liste outils'!$E$6:$E16,"&gt;"&amp;(Convertisseur!$C$15-0.0005),'Liste outils'!$E$6:$E16,"&lt;"&amp;(Convertisseur!$C$15+0.0005)),""),"")</f>
        <v/>
      </c>
      <c r="O70" s="0" t="str">
        <f aca="false">IF(AND(ISNUMBER('Liste outils'!$E$16),Convertisseur!$C$16&gt;0),IF(ABS('Liste outils'!$E$16-Convertisseur!$C$16)&lt;0.0005,COUNTIFS('Liste outils'!$E$6:$E16,"&gt;"&amp;(Convertisseur!$C$16-0.0005),'Liste outils'!$E$6:$E16,"&lt;"&amp;(Convertisseur!$C$16+0.0005)),""),"")</f>
        <v/>
      </c>
      <c r="P70" s="58" t="n">
        <f aca="false">IF(AND(OR('Recherche outils'!$B$5="Tous",'Recherche outils'!$B$5='Liste outils'!$C$16),OR(TRIM('Recherche outils'!$B$4&amp;"")="",ISNUMBER(SEARCH(TRIM('Recherche outils'!$B$4&amp;""),'Liste outils'!$B$16&amp;" "&amp;'Liste outils'!$C$16&amp;" "&amp;'Liste outils'!$J$16&amp;" "&amp;'Liste outils'!$O$16&amp;" "&amp;'Liste outils'!$P$16&amp;" "&amp;'Liste outils'!$Q$16&amp;" "&amp;'Liste outils'!$AA$16&amp;" "&amp;'Liste outils'!$AB$16&amp;" "&amp;'Liste outils'!$AC$16&amp;" "&amp;'Liste outils'!$T$16))),OR(NOT(ISNUMBER(Calcul!$L$11)),AND(ISNUMBER('Liste outils'!$E$16),ABS('Liste outils'!$E$16-IF(ISNUMBER(Calcul!$L$11),Calcul!$L$11,0))&lt;0.002)),OR(NOT(ISNUMBER(Calcul!$O$11)),AND(ISNUMBER('Liste outils'!$H$16),'Liste outils'!$H$16+0.000001&gt;=IF(ISNUMBER(Calcul!$O$11),Calcul!$O$11,0)))),IF(ISNUMBER('Liste outils'!$E$16),'Liste outils'!$E$16,99)*100000+IF(ISNUMBER('Liste outils'!$H$16),'Liste outils'!$H$16,99)*100+11/1000,"")</f>
        <v>9909900.011</v>
      </c>
      <c r="R70" s="58" t="s">
        <v>325</v>
      </c>
      <c r="S70" s="58" t="n">
        <v>0.375</v>
      </c>
      <c r="T70" s="58" t="n">
        <v>0.625</v>
      </c>
      <c r="U70" s="58" t="n">
        <v>2</v>
      </c>
      <c r="V70" s="58" t="s">
        <v>724</v>
      </c>
      <c r="W70" s="58" t="s">
        <v>40</v>
      </c>
      <c r="X70" s="58" t="s">
        <v>326</v>
      </c>
      <c r="Y70" s="58" t="s">
        <v>328</v>
      </c>
      <c r="Z70" s="58" t="s">
        <v>329</v>
      </c>
      <c r="AA70" s="58" t="s">
        <v>285</v>
      </c>
      <c r="AB70" s="58" t="s">
        <v>732</v>
      </c>
      <c r="AC70" s="58" t="n">
        <v>0.006</v>
      </c>
      <c r="AD70" s="58" t="n">
        <v>0.008</v>
      </c>
      <c r="AE70" s="58" t="n">
        <v>0</v>
      </c>
      <c r="AF70" s="58" t="n">
        <v>1</v>
      </c>
      <c r="AG70" s="58" t="n">
        <v>0</v>
      </c>
      <c r="AH70" s="58" t="n">
        <v>18000</v>
      </c>
      <c r="AI70" s="58" t="s">
        <v>732</v>
      </c>
      <c r="AJ70" s="58" t="n">
        <v>0.006</v>
      </c>
      <c r="AK70" s="58" t="n">
        <v>0.008</v>
      </c>
      <c r="AL70" s="58" t="n">
        <v>0</v>
      </c>
      <c r="AM70" s="58" t="n">
        <v>1</v>
      </c>
      <c r="AN70" s="58" t="n">
        <v>0</v>
      </c>
      <c r="AO70" s="58" t="n">
        <v>18000</v>
      </c>
      <c r="AP70" s="58" t="str">
        <f aca="false">IF(Calcul!$I$5=1,AB70,AI70)</f>
        <v>66-300</v>
      </c>
      <c r="AQ70" s="58" t="n">
        <f aca="false">IF(Calcul!$I$5=1,AC70,AJ70)</f>
        <v>0.006</v>
      </c>
      <c r="AR70" s="58" t="n">
        <f aca="false">IF(Calcul!$I$5=1,AD70,AK70)</f>
        <v>0.008</v>
      </c>
      <c r="AS70" s="58" t="n">
        <f aca="false">IF(Calcul!$I$5=1,AE70,AL70)</f>
        <v>0</v>
      </c>
      <c r="AT70" s="58" t="n">
        <f aca="false">IF(Calcul!$I$5=1,AF70,AM70)</f>
        <v>1</v>
      </c>
      <c r="AU70" s="58" t="n">
        <f aca="false">IF(Calcul!$I$5=1,AG70,AN70)</f>
        <v>0</v>
      </c>
      <c r="AV70" s="58" t="n">
        <f aca="false">IF(Calcul!$I$5=1,AH70,AO70)</f>
        <v>18000</v>
      </c>
      <c r="AW70" s="58" t="n">
        <f aca="false">IF(Calcul!$I$10&gt;0,MAX(1,ROUNDUP(Calcul!$I$10/S70-0.000001,0)),1)</f>
        <v>2</v>
      </c>
      <c r="AX70" s="58" t="n">
        <f aca="false">IF(Calcul!$I$10&gt;0,Calcul!$I$10/AW70,0)</f>
        <v>0.25</v>
      </c>
      <c r="AY70" s="58" t="n">
        <f aca="false">IF(Calcul!$I$10&gt;0,AX70/S70,1)</f>
        <v>0.666666666666667</v>
      </c>
      <c r="AZ70" s="58" t="n">
        <f aca="false">IF(AY70&lt;=1.0001,1,IF(AY70&lt;=2.0001,0.75,0.5))</f>
        <v>1</v>
      </c>
      <c r="BA70" s="58" t="n">
        <f aca="false">(AQ70+AR70)/2*AZ70</f>
        <v>0.007</v>
      </c>
      <c r="BB70" s="58" t="n">
        <f aca="false">IF(Calcul!$I$10&gt;0,IF(ISNUMBER(T70),IF(T70+0.000001&gt;=Calcul!$I$10,1,0),2),2)</f>
        <v>1</v>
      </c>
      <c r="BC70" s="58" t="n">
        <f aca="false">IF(AND(V70=Calcul!$I$8,ISNUMBER(U70),OR(AP70&lt;&gt;"",AT70=1),IF(Calcul!$I$8="straight",IF(Calcul!$I$10&gt;0,BB70=1,TRUE()),BB70&lt;&gt;0)),1,0)</f>
        <v>1</v>
      </c>
      <c r="BD70" s="58" t="n">
        <f aca="false">IF(AND(Calcul!$I$8="straight",ISNUMBER(SEARCH(Calcul!$I$9,W70))),1,0)</f>
        <v>1</v>
      </c>
      <c r="BE70" s="58" t="n">
        <f aca="false">IF(ABS(S70-0.5)&lt;0.0005,IF(Calcul!$I$7=2,18000,20000),IF(AND(Calcul!$I$6=1,Calcul!$I$7=2),17000,23000))</f>
        <v>23000</v>
      </c>
      <c r="BF70" s="58" t="n">
        <f aca="false">IF(ISNUMBER(U70),BE70*U70*BA70,0)</f>
        <v>322</v>
      </c>
      <c r="BG70" s="58" t="n">
        <f aca="false">BF70/AW70</f>
        <v>161</v>
      </c>
      <c r="BH70" s="58" t="n">
        <f aca="false">BD70*1000000000+IF(AP70&lt;&gt;"",100000000,0)+AT70*10000000+(50-MIN(AW70,49))*100000+AS70*10000+MIN(ROUND(BG70,0),9999)+S70/10-IF(ISNUMBER(T70),T70,9)/1000</f>
        <v>1114800161.03688</v>
      </c>
      <c r="BI70" s="58" t="n">
        <f aca="false">IF(AND(Calcul!$I$10&gt;0,ISNUMBER(T70)),T70-Calcul!$I$10,99)</f>
        <v>0.125</v>
      </c>
      <c r="BJ70" s="58" t="n">
        <f aca="false">IF(BC70=1,BD70*10000000-ROUND(BI70*1000,0)*1000+MIN(BH70/10000000,999),"")</f>
        <v>9875111.4800161</v>
      </c>
      <c r="BK70" s="58" t="n">
        <f aca="false">IF(BC70=1,IF(BJ70=_xlfn.MAXIFS(Calcul!$BJ$60:$BJ$110,Calcul!$S$60:$S$110,S70,Calcul!$BC$60:$BC$110,1),1,0),0)</f>
        <v>1</v>
      </c>
      <c r="BL70" s="58" t="n">
        <f aca="false">IF(BC70=1,_xlfn.MAXIFS(Calcul!$BH$60:$BH$110,Calcul!$S$60:$S$110,S70,Calcul!$BC$60:$BC$110,1),0)</f>
        <v>1114830126.03675</v>
      </c>
      <c r="BM70" s="58" t="n">
        <f aca="false">IF(BC70=1,IF(BK70=1,10000000000+BL70,BH70)-ROW()/10000000,"")</f>
        <v>11114830126.0367</v>
      </c>
      <c r="BN70" s="58"/>
      <c r="BY70" s="59" t="n">
        <f aca="false">IFERROR(MATCH(SMALL(Calcul!$P$60:$P$184,11),Calcul!$P$60:$P$184,0),0)</f>
        <v>42</v>
      </c>
    </row>
    <row r="71" customFormat="false" ht="15" hidden="false" customHeight="false" outlineLevel="0" collapsed="false">
      <c r="M71" s="0" t="str">
        <f aca="false">IF(AND(ISNUMBER('Liste outils'!$E$17),Convertisseur!$C$14&gt;0),IF(ABS('Liste outils'!$E$17-Convertisseur!$C$14)&lt;0.0005,COUNTIFS('Liste outils'!$E$6:$E17,"&gt;"&amp;(Convertisseur!$C$14-0.0005),'Liste outils'!$E$6:$E17,"&lt;"&amp;(Convertisseur!$C$14+0.0005)),""),"")</f>
        <v/>
      </c>
      <c r="N71" s="0" t="str">
        <f aca="false">IF(AND(ISNUMBER('Liste outils'!$E$17),Convertisseur!$C$15&gt;0),IF(ABS('Liste outils'!$E$17-Convertisseur!$C$15)&lt;0.0005,COUNTIFS('Liste outils'!$E$6:$E17,"&gt;"&amp;(Convertisseur!$C$15-0.0005),'Liste outils'!$E$6:$E17,"&lt;"&amp;(Convertisseur!$C$15+0.0005)),""),"")</f>
        <v/>
      </c>
      <c r="O71" s="0" t="str">
        <f aca="false">IF(AND(ISNUMBER('Liste outils'!$E$17),Convertisseur!$C$16&gt;0),IF(ABS('Liste outils'!$E$17-Convertisseur!$C$16)&lt;0.0005,COUNTIFS('Liste outils'!$E$6:$E17,"&gt;"&amp;(Convertisseur!$C$16-0.0005),'Liste outils'!$E$6:$E17,"&lt;"&amp;(Convertisseur!$C$16+0.0005)),""),"")</f>
        <v/>
      </c>
      <c r="P71" s="58" t="n">
        <f aca="false">IF(AND(OR('Recherche outils'!$B$5="Tous",'Recherche outils'!$B$5='Liste outils'!$C$17),OR(TRIM('Recherche outils'!$B$4&amp;"")="",ISNUMBER(SEARCH(TRIM('Recherche outils'!$B$4&amp;""),'Liste outils'!$B$17&amp;" "&amp;'Liste outils'!$C$17&amp;" "&amp;'Liste outils'!$J$17&amp;" "&amp;'Liste outils'!$O$17&amp;" "&amp;'Liste outils'!$P$17&amp;" "&amp;'Liste outils'!$Q$17&amp;" "&amp;'Liste outils'!$AA$17&amp;" "&amp;'Liste outils'!$AB$17&amp;" "&amp;'Liste outils'!$AC$17&amp;" "&amp;'Liste outils'!$T$17))),OR(NOT(ISNUMBER(Calcul!$L$11)),AND(ISNUMBER('Liste outils'!$E$17),ABS('Liste outils'!$E$17-IF(ISNUMBER(Calcul!$L$11),Calcul!$L$11,0))&lt;0.002)),OR(NOT(ISNUMBER(Calcul!$O$11)),AND(ISNUMBER('Liste outils'!$H$17),'Liste outils'!$H$17+0.000001&gt;=IF(ISNUMBER(Calcul!$O$11),Calcul!$O$11,0)))),IF(ISNUMBER('Liste outils'!$E$17),'Liste outils'!$E$17,99)*100000+IF(ISNUMBER('Liste outils'!$H$17),'Liste outils'!$H$17,99)*100+12/1000,"")</f>
        <v>9900079.932</v>
      </c>
      <c r="R71" s="58" t="s">
        <v>330</v>
      </c>
      <c r="S71" s="58" t="n">
        <v>0.25</v>
      </c>
      <c r="T71" s="58" t="n">
        <v>1.5</v>
      </c>
      <c r="U71" s="58" t="n">
        <v>1</v>
      </c>
      <c r="V71" s="58" t="s">
        <v>724</v>
      </c>
      <c r="W71" s="58" t="s">
        <v>319</v>
      </c>
      <c r="X71" s="58" t="s">
        <v>331</v>
      </c>
      <c r="Y71" s="58" t="s">
        <v>332</v>
      </c>
      <c r="Z71" s="58"/>
      <c r="AA71" s="58" t="s">
        <v>285</v>
      </c>
      <c r="AB71" s="58" t="s">
        <v>731</v>
      </c>
      <c r="AC71" s="58" t="n">
        <v>0.01</v>
      </c>
      <c r="AD71" s="58" t="n">
        <v>0.012</v>
      </c>
      <c r="AE71" s="58" t="n">
        <v>0</v>
      </c>
      <c r="AF71" s="58" t="n">
        <v>1</v>
      </c>
      <c r="AG71" s="58" t="n">
        <v>0</v>
      </c>
      <c r="AH71" s="58" t="n">
        <v>18000</v>
      </c>
      <c r="AI71" s="58"/>
      <c r="AJ71" s="58" t="n">
        <v>0.0048</v>
      </c>
      <c r="AK71" s="58" t="n">
        <v>0.0072</v>
      </c>
      <c r="AL71" s="58" t="n">
        <v>0</v>
      </c>
      <c r="AM71" s="58" t="n">
        <v>0</v>
      </c>
      <c r="AN71" s="58" t="n">
        <v>1</v>
      </c>
      <c r="AO71" s="58" t="n">
        <v>0</v>
      </c>
      <c r="AP71" s="58" t="str">
        <f aca="false">IF(Calcul!$I$5=1,AB71,AI71)</f>
        <v>62-700</v>
      </c>
      <c r="AQ71" s="58" t="n">
        <f aca="false">IF(Calcul!$I$5=1,AC71,AJ71)</f>
        <v>0.01</v>
      </c>
      <c r="AR71" s="58" t="n">
        <f aca="false">IF(Calcul!$I$5=1,AD71,AK71)</f>
        <v>0.012</v>
      </c>
      <c r="AS71" s="58" t="n">
        <f aca="false">IF(Calcul!$I$5=1,AE71,AL71)</f>
        <v>0</v>
      </c>
      <c r="AT71" s="58" t="n">
        <f aca="false">IF(Calcul!$I$5=1,AF71,AM71)</f>
        <v>1</v>
      </c>
      <c r="AU71" s="58" t="n">
        <f aca="false">IF(Calcul!$I$5=1,AG71,AN71)</f>
        <v>0</v>
      </c>
      <c r="AV71" s="58" t="n">
        <f aca="false">IF(Calcul!$I$5=1,AH71,AO71)</f>
        <v>18000</v>
      </c>
      <c r="AW71" s="58" t="n">
        <f aca="false">IF(Calcul!$I$10&gt;0,MAX(1,ROUNDUP(Calcul!$I$10/S71-0.000001,0)),1)</f>
        <v>2</v>
      </c>
      <c r="AX71" s="58" t="n">
        <f aca="false">IF(Calcul!$I$10&gt;0,Calcul!$I$10/AW71,0)</f>
        <v>0.25</v>
      </c>
      <c r="AY71" s="58" t="n">
        <f aca="false">IF(Calcul!$I$10&gt;0,AX71/S71,1)</f>
        <v>1</v>
      </c>
      <c r="AZ71" s="58" t="n">
        <f aca="false">IF(AY71&lt;=1.0001,1,IF(AY71&lt;=2.0001,0.75,0.5))</f>
        <v>1</v>
      </c>
      <c r="BA71" s="58" t="n">
        <f aca="false">(AQ71+AR71)/2*AZ71</f>
        <v>0.011</v>
      </c>
      <c r="BB71" s="58" t="n">
        <f aca="false">IF(Calcul!$I$10&gt;0,IF(ISNUMBER(T71),IF(T71+0.000001&gt;=Calcul!$I$10,1,0),2),2)</f>
        <v>1</v>
      </c>
      <c r="BC71" s="58" t="n">
        <f aca="false">IF(AND(V71=Calcul!$I$8,ISNUMBER(U71),OR(AP71&lt;&gt;"",AT71=1),IF(Calcul!$I$8="straight",IF(Calcul!$I$10&gt;0,BB71=1,TRUE()),BB71&lt;&gt;0)),1,0)</f>
        <v>1</v>
      </c>
      <c r="BD71" s="58" t="n">
        <f aca="false">IF(AND(Calcul!$I$8="straight",ISNUMBER(SEARCH(Calcul!$I$9,W71))),1,0)</f>
        <v>0</v>
      </c>
      <c r="BE71" s="58" t="n">
        <f aca="false">IF(ABS(S71-0.5)&lt;0.0005,IF(Calcul!$I$7=2,18000,20000),IF(AND(Calcul!$I$6=1,Calcul!$I$7=2),17000,23000))</f>
        <v>23000</v>
      </c>
      <c r="BF71" s="58" t="n">
        <f aca="false">IF(ISNUMBER(U71),BE71*U71*BA71,0)</f>
        <v>253</v>
      </c>
      <c r="BG71" s="58" t="n">
        <f aca="false">BF71/AW71</f>
        <v>126.5</v>
      </c>
      <c r="BH71" s="58" t="n">
        <f aca="false">BD71*1000000000+IF(AP71&lt;&gt;"",100000000,0)+AT71*10000000+(50-MIN(AW71,49))*100000+AS71*10000+MIN(ROUND(BG71,0),9999)+S71/10-IF(ISNUMBER(T71),T71,9)/1000</f>
        <v>114800126.0235</v>
      </c>
      <c r="BI71" s="58" t="n">
        <f aca="false">IF(AND(Calcul!$I$10&gt;0,ISNUMBER(T71)),T71-Calcul!$I$10,99)</f>
        <v>1</v>
      </c>
      <c r="BJ71" s="58" t="n">
        <f aca="false">IF(BC71=1,BD71*10000000-ROUND(BI71*1000,0)*1000+MIN(BH71/10000000,999),"")</f>
        <v>-999988.519987398</v>
      </c>
      <c r="BK71" s="58" t="n">
        <f aca="false">IF(BC71=1,IF(BJ71=_xlfn.MAXIFS(Calcul!$BJ$60:$BJ$110,Calcul!$S$60:$S$110,S71,Calcul!$BC$60:$BC$110,1),1,0),0)</f>
        <v>0</v>
      </c>
      <c r="BL71" s="58" t="n">
        <f aca="false">IF(BC71=1,_xlfn.MAXIFS(Calcul!$BH$60:$BH$110,Calcul!$S$60:$S$110,S71,Calcul!$BC$60:$BC$110,1),0)</f>
        <v>1114830126.02425</v>
      </c>
      <c r="BM71" s="58" t="n">
        <f aca="false">IF(BC71=1,IF(BK71=1,10000000000+BL71,BH71)-ROW()/10000000,"")</f>
        <v>114800126.023493</v>
      </c>
      <c r="BN71" s="58"/>
      <c r="BY71" s="59" t="n">
        <f aca="false">IFERROR(MATCH(SMALL(Calcul!$P$60:$P$184,12),Calcul!$P$60:$P$184,0),0)</f>
        <v>78</v>
      </c>
    </row>
    <row r="72" customFormat="false" ht="15" hidden="false" customHeight="false" outlineLevel="0" collapsed="false">
      <c r="M72" s="0" t="str">
        <f aca="false">IF(AND(ISNUMBER('Liste outils'!$E$18),Convertisseur!$C$14&gt;0),IF(ABS('Liste outils'!$E$18-Convertisseur!$C$14)&lt;0.0005,COUNTIFS('Liste outils'!$E$6:$E18,"&gt;"&amp;(Convertisseur!$C$14-0.0005),'Liste outils'!$E$6:$E18,"&lt;"&amp;(Convertisseur!$C$14+0.0005)),""),"")</f>
        <v/>
      </c>
      <c r="N72" s="0" t="str">
        <f aca="false">IF(AND(ISNUMBER('Liste outils'!$E$18),Convertisseur!$C$15&gt;0),IF(ABS('Liste outils'!$E$18-Convertisseur!$C$15)&lt;0.0005,COUNTIFS('Liste outils'!$E$6:$E18,"&gt;"&amp;(Convertisseur!$C$15-0.0005),'Liste outils'!$E$6:$E18,"&lt;"&amp;(Convertisseur!$C$15+0.0005)),""),"")</f>
        <v/>
      </c>
      <c r="O72" s="0" t="str">
        <f aca="false">IF(AND(ISNUMBER('Liste outils'!$E$18),Convertisseur!$C$16&gt;0),IF(ABS('Liste outils'!$E$18-Convertisseur!$C$16)&lt;0.0005,COUNTIFS('Liste outils'!$E$6:$E18,"&gt;"&amp;(Convertisseur!$C$16-0.0005),'Liste outils'!$E$6:$E18,"&lt;"&amp;(Convertisseur!$C$16+0.0005)),""),"")</f>
        <v/>
      </c>
      <c r="P72" s="58" t="n">
        <f aca="false">IF(AND(OR('Recherche outils'!$B$5="Tous",'Recherche outils'!$B$5='Liste outils'!$C$18),OR(TRIM('Recherche outils'!$B$4&amp;"")="",ISNUMBER(SEARCH(TRIM('Recherche outils'!$B$4&amp;""),'Liste outils'!$B$18&amp;" "&amp;'Liste outils'!$C$18&amp;" "&amp;'Liste outils'!$J$18&amp;" "&amp;'Liste outils'!$O$18&amp;" "&amp;'Liste outils'!$P$18&amp;" "&amp;'Liste outils'!$Q$18&amp;" "&amp;'Liste outils'!$AA$18&amp;" "&amp;'Liste outils'!$AB$18&amp;" "&amp;'Liste outils'!$AC$18&amp;" "&amp;'Liste outils'!$T$18))),OR(NOT(ISNUMBER(Calcul!$L$11)),AND(ISNUMBER('Liste outils'!$E$18),ABS('Liste outils'!$E$18-IF(ISNUMBER(Calcul!$L$11),Calcul!$L$11,0))&lt;0.002)),OR(NOT(ISNUMBER(Calcul!$O$11)),AND(ISNUMBER('Liste outils'!$H$18),'Liste outils'!$H$18+0.000001&gt;=IF(ISNUMBER(Calcul!$O$11),Calcul!$O$11,0)))),IF(ISNUMBER('Liste outils'!$E$18),'Liste outils'!$E$18,99)*100000+IF(ISNUMBER('Liste outils'!$H$18),'Liste outils'!$H$18,99)*100+13/1000,"")</f>
        <v>9900022.923</v>
      </c>
      <c r="R72" s="58" t="s">
        <v>333</v>
      </c>
      <c r="S72" s="58" t="n">
        <v>0.25</v>
      </c>
      <c r="T72" s="58" t="n">
        <v>1.5</v>
      </c>
      <c r="U72" s="58" t="n">
        <v>1</v>
      </c>
      <c r="V72" s="58" t="s">
        <v>724</v>
      </c>
      <c r="W72" s="58" t="s">
        <v>40</v>
      </c>
      <c r="X72" s="58" t="s">
        <v>334</v>
      </c>
      <c r="Y72" s="58" t="s">
        <v>336</v>
      </c>
      <c r="Z72" s="58" t="s">
        <v>337</v>
      </c>
      <c r="AA72" s="58" t="s">
        <v>285</v>
      </c>
      <c r="AB72" s="58"/>
      <c r="AC72" s="58" t="n">
        <v>0.004</v>
      </c>
      <c r="AD72" s="58" t="n">
        <v>0.006</v>
      </c>
      <c r="AE72" s="58" t="n">
        <v>0</v>
      </c>
      <c r="AF72" s="58" t="n">
        <v>1</v>
      </c>
      <c r="AG72" s="58" t="n">
        <v>1</v>
      </c>
      <c r="AH72" s="58" t="n">
        <v>0</v>
      </c>
      <c r="AI72" s="58"/>
      <c r="AJ72" s="58" t="n">
        <v>0.0048</v>
      </c>
      <c r="AK72" s="58" t="n">
        <v>0.0072</v>
      </c>
      <c r="AL72" s="58" t="n">
        <v>0</v>
      </c>
      <c r="AM72" s="58" t="n">
        <v>1</v>
      </c>
      <c r="AN72" s="58" t="n">
        <v>1</v>
      </c>
      <c r="AO72" s="58" t="n">
        <v>0</v>
      </c>
      <c r="AP72" s="58" t="n">
        <f aca="false">IF(Calcul!$I$5=1,AB72,AI72)</f>
        <v>0</v>
      </c>
      <c r="AQ72" s="58" t="n">
        <f aca="false">IF(Calcul!$I$5=1,AC72,AJ72)</f>
        <v>0.004</v>
      </c>
      <c r="AR72" s="58" t="n">
        <f aca="false">IF(Calcul!$I$5=1,AD72,AK72)</f>
        <v>0.006</v>
      </c>
      <c r="AS72" s="58" t="n">
        <f aca="false">IF(Calcul!$I$5=1,AE72,AL72)</f>
        <v>0</v>
      </c>
      <c r="AT72" s="58" t="n">
        <f aca="false">IF(Calcul!$I$5=1,AF72,AM72)</f>
        <v>1</v>
      </c>
      <c r="AU72" s="58" t="n">
        <f aca="false">IF(Calcul!$I$5=1,AG72,AN72)</f>
        <v>1</v>
      </c>
      <c r="AV72" s="58" t="n">
        <f aca="false">IF(Calcul!$I$5=1,AH72,AO72)</f>
        <v>0</v>
      </c>
      <c r="AW72" s="58" t="n">
        <f aca="false">IF(Calcul!$I$10&gt;0,MAX(1,ROUNDUP(Calcul!$I$10/S72-0.000001,0)),1)</f>
        <v>2</v>
      </c>
      <c r="AX72" s="58" t="n">
        <f aca="false">IF(Calcul!$I$10&gt;0,Calcul!$I$10/AW72,0)</f>
        <v>0.25</v>
      </c>
      <c r="AY72" s="58" t="n">
        <f aca="false">IF(Calcul!$I$10&gt;0,AX72/S72,1)</f>
        <v>1</v>
      </c>
      <c r="AZ72" s="58" t="n">
        <f aca="false">IF(AY72&lt;=1.0001,1,IF(AY72&lt;=2.0001,0.75,0.5))</f>
        <v>1</v>
      </c>
      <c r="BA72" s="58" t="n">
        <f aca="false">(AQ72+AR72)/2*AZ72</f>
        <v>0.005</v>
      </c>
      <c r="BB72" s="58" t="n">
        <f aca="false">IF(Calcul!$I$10&gt;0,IF(ISNUMBER(T72),IF(T72+0.000001&gt;=Calcul!$I$10,1,0),2),2)</f>
        <v>1</v>
      </c>
      <c r="BC72" s="58" t="n">
        <f aca="false">IF(AND(V72=Calcul!$I$8,ISNUMBER(U72),OR(AP72&lt;&gt;"",AT72=1),IF(Calcul!$I$8="straight",IF(Calcul!$I$10&gt;0,BB72=1,TRUE()),BB72&lt;&gt;0)),1,0)</f>
        <v>1</v>
      </c>
      <c r="BD72" s="58" t="n">
        <f aca="false">IF(AND(Calcul!$I$8="straight",ISNUMBER(SEARCH(Calcul!$I$9,W72))),1,0)</f>
        <v>1</v>
      </c>
      <c r="BE72" s="58" t="n">
        <f aca="false">IF(ABS(S72-0.5)&lt;0.0005,IF(Calcul!$I$7=2,18000,20000),IF(AND(Calcul!$I$6=1,Calcul!$I$7=2),17000,23000))</f>
        <v>23000</v>
      </c>
      <c r="BF72" s="58" t="n">
        <f aca="false">IF(ISNUMBER(U72),BE72*U72*BA72,0)</f>
        <v>115</v>
      </c>
      <c r="BG72" s="58" t="n">
        <f aca="false">BF72/AW72</f>
        <v>57.5</v>
      </c>
      <c r="BH72" s="58" t="n">
        <f aca="false">BD72*1000000000+IF(AP72&lt;&gt;"",100000000,0)+AT72*10000000+(50-MIN(AW72,49))*100000+AS72*10000+MIN(ROUND(BG72,0),9999)+S72/10-IF(ISNUMBER(T72),T72,9)/1000</f>
        <v>1014800058.0235</v>
      </c>
      <c r="BI72" s="58" t="n">
        <f aca="false">IF(AND(Calcul!$I$10&gt;0,ISNUMBER(T72)),T72-Calcul!$I$10,99)</f>
        <v>1</v>
      </c>
      <c r="BJ72" s="58" t="n">
        <f aca="false">IF(BC72=1,BD72*10000000-ROUND(BI72*1000,0)*1000+MIN(BH72/10000000,999),"")</f>
        <v>9000101.4800058</v>
      </c>
      <c r="BK72" s="58" t="n">
        <f aca="false">IF(BC72=1,IF(BJ72=_xlfn.MAXIFS(Calcul!$BJ$60:$BJ$110,Calcul!$S$60:$S$110,S72,Calcul!$BC$60:$BC$110,1),1,0),0)</f>
        <v>0</v>
      </c>
      <c r="BL72" s="58" t="n">
        <f aca="false">IF(BC72=1,_xlfn.MAXIFS(Calcul!$BH$60:$BH$110,Calcul!$S$60:$S$110,S72,Calcul!$BC$60:$BC$110,1),0)</f>
        <v>1114830126.02425</v>
      </c>
      <c r="BM72" s="58" t="n">
        <f aca="false">IF(BC72=1,IF(BK72=1,10000000000+BL72,BH72)-ROW()/10000000,"")</f>
        <v>1014800058.02349</v>
      </c>
      <c r="BN72" s="58"/>
      <c r="BY72" s="59" t="n">
        <f aca="false">IFERROR(MATCH(SMALL(Calcul!$P$60:$P$184,13),Calcul!$P$60:$P$184,0),0)</f>
        <v>61</v>
      </c>
    </row>
    <row r="73" customFormat="false" ht="15" hidden="false" customHeight="false" outlineLevel="0" collapsed="false">
      <c r="M73" s="0" t="str">
        <f aca="false">IF(AND(ISNUMBER('Liste outils'!$E$19),Convertisseur!$C$14&gt;0),IF(ABS('Liste outils'!$E$19-Convertisseur!$C$14)&lt;0.0005,COUNTIFS('Liste outils'!$E$6:$E19,"&gt;"&amp;(Convertisseur!$C$14-0.0005),'Liste outils'!$E$6:$E19,"&lt;"&amp;(Convertisseur!$C$14+0.0005)),""),"")</f>
        <v/>
      </c>
      <c r="N73" s="0" t="str">
        <f aca="false">IF(AND(ISNUMBER('Liste outils'!$E$19),Convertisseur!$C$15&gt;0),IF(ABS('Liste outils'!$E$19-Convertisseur!$C$15)&lt;0.0005,COUNTIFS('Liste outils'!$E$6:$E19,"&gt;"&amp;(Convertisseur!$C$15-0.0005),'Liste outils'!$E$6:$E19,"&lt;"&amp;(Convertisseur!$C$15+0.0005)),""),"")</f>
        <v/>
      </c>
      <c r="O73" s="0" t="str">
        <f aca="false">IF(AND(ISNUMBER('Liste outils'!$E$19),Convertisseur!$C$16&gt;0),IF(ABS('Liste outils'!$E$19-Convertisseur!$C$16)&lt;0.0005,COUNTIFS('Liste outils'!$E$6:$E19,"&gt;"&amp;(Convertisseur!$C$16-0.0005),'Liste outils'!$E$6:$E19,"&lt;"&amp;(Convertisseur!$C$16+0.0005)),""),"")</f>
        <v/>
      </c>
      <c r="P73" s="58" t="n">
        <f aca="false">IF(AND(OR('Recherche outils'!$B$5="Tous",'Recherche outils'!$B$5='Liste outils'!$C$19),OR(TRIM('Recherche outils'!$B$4&amp;"")="",ISNUMBER(SEARCH(TRIM('Recherche outils'!$B$4&amp;""),'Liste outils'!$B$19&amp;" "&amp;'Liste outils'!$C$19&amp;" "&amp;'Liste outils'!$J$19&amp;" "&amp;'Liste outils'!$O$19&amp;" "&amp;'Liste outils'!$P$19&amp;" "&amp;'Liste outils'!$Q$19&amp;" "&amp;'Liste outils'!$AA$19&amp;" "&amp;'Liste outils'!$AB$19&amp;" "&amp;'Liste outils'!$AC$19&amp;" "&amp;'Liste outils'!$T$19))),OR(NOT(ISNUMBER(Calcul!$L$11)),AND(ISNUMBER('Liste outils'!$E$19),ABS('Liste outils'!$E$19-IF(ISNUMBER(Calcul!$L$11),Calcul!$L$11,0))&lt;0.002)),OR(NOT(ISNUMBER(Calcul!$O$11)),AND(ISNUMBER('Liste outils'!$H$19),'Liste outils'!$H$19+0.000001&gt;=IF(ISNUMBER(Calcul!$O$11),Calcul!$O$11,0)))),IF(ISNUMBER('Liste outils'!$E$19),'Liste outils'!$E$19,99)*100000+IF(ISNUMBER('Liste outils'!$H$19),'Liste outils'!$H$19,99)*100+14/1000,"")</f>
        <v>9909900.014</v>
      </c>
      <c r="R73" s="58" t="s">
        <v>338</v>
      </c>
      <c r="S73" s="58" t="n">
        <v>0.125</v>
      </c>
      <c r="T73" s="58" t="n">
        <v>0.5</v>
      </c>
      <c r="U73" s="58" t="n">
        <v>1</v>
      </c>
      <c r="V73" s="58" t="s">
        <v>724</v>
      </c>
      <c r="W73" s="58" t="s">
        <v>319</v>
      </c>
      <c r="X73" s="58" t="s">
        <v>339</v>
      </c>
      <c r="Y73" s="58" t="s">
        <v>340</v>
      </c>
      <c r="Z73" s="58"/>
      <c r="AA73" s="58" t="s">
        <v>285</v>
      </c>
      <c r="AB73" s="58" t="s">
        <v>731</v>
      </c>
      <c r="AC73" s="58" t="n">
        <v>0.006</v>
      </c>
      <c r="AD73" s="58" t="n">
        <v>0.008</v>
      </c>
      <c r="AE73" s="58" t="n">
        <v>0</v>
      </c>
      <c r="AF73" s="58" t="n">
        <v>1</v>
      </c>
      <c r="AG73" s="58" t="n">
        <v>0</v>
      </c>
      <c r="AH73" s="58" t="n">
        <v>18000</v>
      </c>
      <c r="AI73" s="58"/>
      <c r="AJ73" s="58" t="n">
        <v>0.0024</v>
      </c>
      <c r="AK73" s="58" t="n">
        <v>0.0036</v>
      </c>
      <c r="AL73" s="58" t="n">
        <v>0</v>
      </c>
      <c r="AM73" s="58" t="n">
        <v>0</v>
      </c>
      <c r="AN73" s="58" t="n">
        <v>1</v>
      </c>
      <c r="AO73" s="58" t="n">
        <v>0</v>
      </c>
      <c r="AP73" s="58" t="str">
        <f aca="false">IF(Calcul!$I$5=1,AB73,AI73)</f>
        <v>62-700</v>
      </c>
      <c r="AQ73" s="58" t="n">
        <f aca="false">IF(Calcul!$I$5=1,AC73,AJ73)</f>
        <v>0.006</v>
      </c>
      <c r="AR73" s="58" t="n">
        <f aca="false">IF(Calcul!$I$5=1,AD73,AK73)</f>
        <v>0.008</v>
      </c>
      <c r="AS73" s="58" t="n">
        <f aca="false">IF(Calcul!$I$5=1,AE73,AL73)</f>
        <v>0</v>
      </c>
      <c r="AT73" s="58" t="n">
        <f aca="false">IF(Calcul!$I$5=1,AF73,AM73)</f>
        <v>1</v>
      </c>
      <c r="AU73" s="58" t="n">
        <f aca="false">IF(Calcul!$I$5=1,AG73,AN73)</f>
        <v>0</v>
      </c>
      <c r="AV73" s="58" t="n">
        <f aca="false">IF(Calcul!$I$5=1,AH73,AO73)</f>
        <v>18000</v>
      </c>
      <c r="AW73" s="58" t="n">
        <f aca="false">IF(Calcul!$I$10&gt;0,MAX(1,ROUNDUP(Calcul!$I$10/S73-0.000001,0)),1)</f>
        <v>4</v>
      </c>
      <c r="AX73" s="58" t="n">
        <f aca="false">IF(Calcul!$I$10&gt;0,Calcul!$I$10/AW73,0)</f>
        <v>0.125</v>
      </c>
      <c r="AY73" s="58" t="n">
        <f aca="false">IF(Calcul!$I$10&gt;0,AX73/S73,1)</f>
        <v>1</v>
      </c>
      <c r="AZ73" s="58" t="n">
        <f aca="false">IF(AY73&lt;=1.0001,1,IF(AY73&lt;=2.0001,0.75,0.5))</f>
        <v>1</v>
      </c>
      <c r="BA73" s="58" t="n">
        <f aca="false">(AQ73+AR73)/2*AZ73</f>
        <v>0.007</v>
      </c>
      <c r="BB73" s="58" t="n">
        <f aca="false">IF(Calcul!$I$10&gt;0,IF(ISNUMBER(T73),IF(T73+0.000001&gt;=Calcul!$I$10,1,0),2),2)</f>
        <v>1</v>
      </c>
      <c r="BC73" s="58" t="n">
        <f aca="false">IF(AND(V73=Calcul!$I$8,ISNUMBER(U73),OR(AP73&lt;&gt;"",AT73=1),IF(Calcul!$I$8="straight",IF(Calcul!$I$10&gt;0,BB73=1,TRUE()),BB73&lt;&gt;0)),1,0)</f>
        <v>1</v>
      </c>
      <c r="BD73" s="58" t="n">
        <f aca="false">IF(AND(Calcul!$I$8="straight",ISNUMBER(SEARCH(Calcul!$I$9,W73))),1,0)</f>
        <v>0</v>
      </c>
      <c r="BE73" s="58" t="n">
        <f aca="false">IF(ABS(S73-0.5)&lt;0.0005,IF(Calcul!$I$7=2,18000,20000),IF(AND(Calcul!$I$6=1,Calcul!$I$7=2),17000,23000))</f>
        <v>23000</v>
      </c>
      <c r="BF73" s="58" t="n">
        <f aca="false">IF(ISNUMBER(U73),BE73*U73*BA73,0)</f>
        <v>161</v>
      </c>
      <c r="BG73" s="58" t="n">
        <f aca="false">BF73/AW73</f>
        <v>40.25</v>
      </c>
      <c r="BH73" s="58" t="n">
        <f aca="false">BD73*1000000000+IF(AP73&lt;&gt;"",100000000,0)+AT73*10000000+(50-MIN(AW73,49))*100000+AS73*10000+MIN(ROUND(BG73,0),9999)+S73/10-IF(ISNUMBER(T73),T73,9)/1000</f>
        <v>114600040.012</v>
      </c>
      <c r="BI73" s="58" t="n">
        <f aca="false">IF(AND(Calcul!$I$10&gt;0,ISNUMBER(T73)),T73-Calcul!$I$10,99)</f>
        <v>0</v>
      </c>
      <c r="BJ73" s="58" t="n">
        <f aca="false">IF(BC73=1,BD73*10000000-ROUND(BI73*1000,0)*1000+MIN(BH73/10000000,999),"")</f>
        <v>11.4600040012</v>
      </c>
      <c r="BK73" s="58" t="n">
        <f aca="false">IF(BC73=1,IF(BJ73=_xlfn.MAXIFS(Calcul!$BJ$60:$BJ$110,Calcul!$S$60:$S$110,S73,Calcul!$BC$60:$BC$110,1),1,0),0)</f>
        <v>0</v>
      </c>
      <c r="BL73" s="58" t="n">
        <f aca="false">IF(BC73=1,_xlfn.MAXIFS(Calcul!$BH$60:$BH$110,Calcul!$S$60:$S$110,S73,Calcul!$BC$60:$BC$110,1),0)</f>
        <v>1114630040.012</v>
      </c>
      <c r="BM73" s="58" t="n">
        <f aca="false">IF(BC73=1,IF(BK73=1,10000000000+BL73,BH73)-ROW()/10000000,"")</f>
        <v>114600040.011993</v>
      </c>
      <c r="BN73" s="58"/>
      <c r="BY73" s="59" t="n">
        <f aca="false">IFERROR(MATCH(SMALL(Calcul!$P$60:$P$184,14),Calcul!$P$60:$P$184,0),0)</f>
        <v>30</v>
      </c>
    </row>
    <row r="74" customFormat="false" ht="15" hidden="false" customHeight="false" outlineLevel="0" collapsed="false">
      <c r="M74" s="0" t="str">
        <f aca="false">IF(AND(ISNUMBER('Liste outils'!$E$20),Convertisseur!$C$14&gt;0),IF(ABS('Liste outils'!$E$20-Convertisseur!$C$14)&lt;0.0005,COUNTIFS('Liste outils'!$E$6:$E20,"&gt;"&amp;(Convertisseur!$C$14-0.0005),'Liste outils'!$E$6:$E20,"&lt;"&amp;(Convertisseur!$C$14+0.0005)),""),"")</f>
        <v/>
      </c>
      <c r="N74" s="0" t="str">
        <f aca="false">IF(AND(ISNUMBER('Liste outils'!$E$20),Convertisseur!$C$15&gt;0),IF(ABS('Liste outils'!$E$20-Convertisseur!$C$15)&lt;0.0005,COUNTIFS('Liste outils'!$E$6:$E20,"&gt;"&amp;(Convertisseur!$C$15-0.0005),'Liste outils'!$E$6:$E20,"&lt;"&amp;(Convertisseur!$C$15+0.0005)),""),"")</f>
        <v/>
      </c>
      <c r="O74" s="0" t="str">
        <f aca="false">IF(AND(ISNUMBER('Liste outils'!$E$20),Convertisseur!$C$16&gt;0),IF(ABS('Liste outils'!$E$20-Convertisseur!$C$16)&lt;0.0005,COUNTIFS('Liste outils'!$E$6:$E20,"&gt;"&amp;(Convertisseur!$C$16-0.0005),'Liste outils'!$E$6:$E20,"&lt;"&amp;(Convertisseur!$C$16+0.0005)),""),"")</f>
        <v/>
      </c>
      <c r="P74" s="58" t="n">
        <f aca="false">IF(AND(OR('Recherche outils'!$B$5="Tous",'Recherche outils'!$B$5='Liste outils'!$C$20),OR(TRIM('Recherche outils'!$B$4&amp;"")="",ISNUMBER(SEARCH(TRIM('Recherche outils'!$B$4&amp;""),'Liste outils'!$B$20&amp;" "&amp;'Liste outils'!$C$20&amp;" "&amp;'Liste outils'!$J$20&amp;" "&amp;'Liste outils'!$O$20&amp;" "&amp;'Liste outils'!$P$20&amp;" "&amp;'Liste outils'!$Q$20&amp;" "&amp;'Liste outils'!$AA$20&amp;" "&amp;'Liste outils'!$AB$20&amp;" "&amp;'Liste outils'!$AC$20&amp;" "&amp;'Liste outils'!$T$20))),OR(NOT(ISNUMBER(Calcul!$L$11)),AND(ISNUMBER('Liste outils'!$E$20),ABS('Liste outils'!$E$20-IF(ISNUMBER(Calcul!$L$11),Calcul!$L$11,0))&lt;0.002)),OR(NOT(ISNUMBER(Calcul!$O$11)),AND(ISNUMBER('Liste outils'!$H$20),'Liste outils'!$H$20+0.000001&gt;=IF(ISNUMBER(Calcul!$O$11),Calcul!$O$11,0)))),IF(ISNUMBER('Liste outils'!$E$20),'Liste outils'!$E$20,99)*100000+IF(ISNUMBER('Liste outils'!$H$20),'Liste outils'!$H$20,99)*100+15/1000,"")</f>
        <v>9909900.015</v>
      </c>
      <c r="R74" s="58" t="s">
        <v>341</v>
      </c>
      <c r="S74" s="58" t="n">
        <v>0.25</v>
      </c>
      <c r="T74" s="58" t="n">
        <v>0.75</v>
      </c>
      <c r="U74" s="58" t="n">
        <v>1</v>
      </c>
      <c r="V74" s="58" t="s">
        <v>724</v>
      </c>
      <c r="W74" s="58" t="s">
        <v>40</v>
      </c>
      <c r="X74" s="58" t="s">
        <v>342</v>
      </c>
      <c r="Y74" s="58" t="s">
        <v>343</v>
      </c>
      <c r="Z74" s="58"/>
      <c r="AA74" s="58" t="s">
        <v>285</v>
      </c>
      <c r="AB74" s="58" t="s">
        <v>727</v>
      </c>
      <c r="AC74" s="58" t="n">
        <v>0.008</v>
      </c>
      <c r="AD74" s="58" t="n">
        <v>0.012</v>
      </c>
      <c r="AE74" s="58" t="n">
        <v>0</v>
      </c>
      <c r="AF74" s="58" t="n">
        <v>0</v>
      </c>
      <c r="AG74" s="58" t="n">
        <v>0</v>
      </c>
      <c r="AH74" s="58" t="n">
        <v>18000</v>
      </c>
      <c r="AI74" s="58" t="s">
        <v>727</v>
      </c>
      <c r="AJ74" s="58" t="n">
        <v>0.008</v>
      </c>
      <c r="AK74" s="58" t="n">
        <v>0.012</v>
      </c>
      <c r="AL74" s="58" t="n">
        <v>3</v>
      </c>
      <c r="AM74" s="58" t="n">
        <v>1</v>
      </c>
      <c r="AN74" s="58" t="n">
        <v>0</v>
      </c>
      <c r="AO74" s="58" t="n">
        <v>18000</v>
      </c>
      <c r="AP74" s="58" t="str">
        <f aca="false">IF(Calcul!$I$5=1,AB74,AI74)</f>
        <v>63-750</v>
      </c>
      <c r="AQ74" s="58" t="n">
        <f aca="false">IF(Calcul!$I$5=1,AC74,AJ74)</f>
        <v>0.008</v>
      </c>
      <c r="AR74" s="58" t="n">
        <f aca="false">IF(Calcul!$I$5=1,AD74,AK74)</f>
        <v>0.012</v>
      </c>
      <c r="AS74" s="58" t="n">
        <f aca="false">IF(Calcul!$I$5=1,AE74,AL74)</f>
        <v>0</v>
      </c>
      <c r="AT74" s="58" t="n">
        <f aca="false">IF(Calcul!$I$5=1,AF74,AM74)</f>
        <v>0</v>
      </c>
      <c r="AU74" s="58" t="n">
        <f aca="false">IF(Calcul!$I$5=1,AG74,AN74)</f>
        <v>0</v>
      </c>
      <c r="AV74" s="58" t="n">
        <f aca="false">IF(Calcul!$I$5=1,AH74,AO74)</f>
        <v>18000</v>
      </c>
      <c r="AW74" s="58" t="n">
        <f aca="false">IF(Calcul!$I$10&gt;0,MAX(1,ROUNDUP(Calcul!$I$10/S74-0.000001,0)),1)</f>
        <v>2</v>
      </c>
      <c r="AX74" s="58" t="n">
        <f aca="false">IF(Calcul!$I$10&gt;0,Calcul!$I$10/AW74,0)</f>
        <v>0.25</v>
      </c>
      <c r="AY74" s="58" t="n">
        <f aca="false">IF(Calcul!$I$10&gt;0,AX74/S74,1)</f>
        <v>1</v>
      </c>
      <c r="AZ74" s="58" t="n">
        <f aca="false">IF(AY74&lt;=1.0001,1,IF(AY74&lt;=2.0001,0.75,0.5))</f>
        <v>1</v>
      </c>
      <c r="BA74" s="58" t="n">
        <f aca="false">(AQ74+AR74)/2*AZ74</f>
        <v>0.01</v>
      </c>
      <c r="BB74" s="58" t="n">
        <f aca="false">IF(Calcul!$I$10&gt;0,IF(ISNUMBER(T74),IF(T74+0.000001&gt;=Calcul!$I$10,1,0),2),2)</f>
        <v>1</v>
      </c>
      <c r="BC74" s="58" t="n">
        <f aca="false">IF(AND(V74=Calcul!$I$8,ISNUMBER(U74),OR(AP74&lt;&gt;"",AT74=1),IF(Calcul!$I$8="straight",IF(Calcul!$I$10&gt;0,BB74=1,TRUE()),BB74&lt;&gt;0)),1,0)</f>
        <v>1</v>
      </c>
      <c r="BD74" s="58" t="n">
        <f aca="false">IF(AND(Calcul!$I$8="straight",ISNUMBER(SEARCH(Calcul!$I$9,W74))),1,0)</f>
        <v>1</v>
      </c>
      <c r="BE74" s="58" t="n">
        <f aca="false">IF(ABS(S74-0.5)&lt;0.0005,IF(Calcul!$I$7=2,18000,20000),IF(AND(Calcul!$I$6=1,Calcul!$I$7=2),17000,23000))</f>
        <v>23000</v>
      </c>
      <c r="BF74" s="58" t="n">
        <f aca="false">IF(ISNUMBER(U74),BE74*U74*BA74,0)</f>
        <v>230</v>
      </c>
      <c r="BG74" s="58" t="n">
        <f aca="false">BF74/AW74</f>
        <v>115</v>
      </c>
      <c r="BH74" s="58" t="n">
        <f aca="false">BD74*1000000000+IF(AP74&lt;&gt;"",100000000,0)+AT74*10000000+(50-MIN(AW74,49))*100000+AS74*10000+MIN(ROUND(BG74,0),9999)+S74/10-IF(ISNUMBER(T74),T74,9)/1000</f>
        <v>1104800115.02425</v>
      </c>
      <c r="BI74" s="58" t="n">
        <f aca="false">IF(AND(Calcul!$I$10&gt;0,ISNUMBER(T74)),T74-Calcul!$I$10,99)</f>
        <v>0.25</v>
      </c>
      <c r="BJ74" s="58" t="n">
        <f aca="false">IF(BC74=1,BD74*10000000-ROUND(BI74*1000,0)*1000+MIN(BH74/10000000,999),"")</f>
        <v>9750110.4800115</v>
      </c>
      <c r="BK74" s="58" t="n">
        <f aca="false">IF(BC74=1,IF(BJ74=_xlfn.MAXIFS(Calcul!$BJ$60:$BJ$110,Calcul!$S$60:$S$110,S74,Calcul!$BC$60:$BC$110,1),1,0),0)</f>
        <v>0</v>
      </c>
      <c r="BL74" s="58" t="n">
        <f aca="false">IF(BC74=1,_xlfn.MAXIFS(Calcul!$BH$60:$BH$110,Calcul!$S$60:$S$110,S74,Calcul!$BC$60:$BC$110,1),0)</f>
        <v>1114830126.02425</v>
      </c>
      <c r="BM74" s="58" t="n">
        <f aca="false">IF(BC74=1,IF(BK74=1,10000000000+BL74,BH74)-ROW()/10000000,"")</f>
        <v>1104800115.02424</v>
      </c>
      <c r="BN74" s="58"/>
      <c r="BY74" s="59" t="n">
        <f aca="false">IFERROR(MATCH(SMALL(Calcul!$P$60:$P$184,15),Calcul!$P$60:$P$184,0),0)</f>
        <v>31</v>
      </c>
    </row>
    <row r="75" customFormat="false" ht="15" hidden="false" customHeight="false" outlineLevel="0" collapsed="false">
      <c r="M75" s="0" t="str">
        <f aca="false">IF(AND(ISNUMBER('Liste outils'!$E$21),Convertisseur!$C$14&gt;0),IF(ABS('Liste outils'!$E$21-Convertisseur!$C$14)&lt;0.0005,COUNTIFS('Liste outils'!$E$6:$E21,"&gt;"&amp;(Convertisseur!$C$14-0.0005),'Liste outils'!$E$6:$E21,"&lt;"&amp;(Convertisseur!$C$14+0.0005)),""),"")</f>
        <v/>
      </c>
      <c r="N75" s="0" t="str">
        <f aca="false">IF(AND(ISNUMBER('Liste outils'!$E$21),Convertisseur!$C$15&gt;0),IF(ABS('Liste outils'!$E$21-Convertisseur!$C$15)&lt;0.0005,COUNTIFS('Liste outils'!$E$6:$E21,"&gt;"&amp;(Convertisseur!$C$15-0.0005),'Liste outils'!$E$6:$E21,"&lt;"&amp;(Convertisseur!$C$15+0.0005)),""),"")</f>
        <v/>
      </c>
      <c r="O75" s="0" t="str">
        <f aca="false">IF(AND(ISNUMBER('Liste outils'!$E$21),Convertisseur!$C$16&gt;0),IF(ABS('Liste outils'!$E$21-Convertisseur!$C$16)&lt;0.0005,COUNTIFS('Liste outils'!$E$6:$E21,"&gt;"&amp;(Convertisseur!$C$16-0.0005),'Liste outils'!$E$6:$E21,"&lt;"&amp;(Convertisseur!$C$16+0.0005)),""),"")</f>
        <v/>
      </c>
      <c r="P75" s="58" t="n">
        <f aca="false">IF(AND(OR('Recherche outils'!$B$5="Tous",'Recherche outils'!$B$5='Liste outils'!$C$21),OR(TRIM('Recherche outils'!$B$4&amp;"")="",ISNUMBER(SEARCH(TRIM('Recherche outils'!$B$4&amp;""),'Liste outils'!$B$21&amp;" "&amp;'Liste outils'!$C$21&amp;" "&amp;'Liste outils'!$J$21&amp;" "&amp;'Liste outils'!$O$21&amp;" "&amp;'Liste outils'!$P$21&amp;" "&amp;'Liste outils'!$Q$21&amp;" "&amp;'Liste outils'!$AA$21&amp;" "&amp;'Liste outils'!$AB$21&amp;" "&amp;'Liste outils'!$AC$21&amp;" "&amp;'Liste outils'!$T$21))),OR(NOT(ISNUMBER(Calcul!$L$11)),AND(ISNUMBER('Liste outils'!$E$21),ABS('Liste outils'!$E$21-IF(ISNUMBER(Calcul!$L$11),Calcul!$L$11,0))&lt;0.002)),OR(NOT(ISNUMBER(Calcul!$O$11)),AND(ISNUMBER('Liste outils'!$H$21),'Liste outils'!$H$21+0.000001&gt;=IF(ISNUMBER(Calcul!$O$11),Calcul!$O$11,0)))),IF(ISNUMBER('Liste outils'!$E$21),'Liste outils'!$E$21,99)*100000+IF(ISNUMBER('Liste outils'!$H$21),'Liste outils'!$H$21,99)*100+16/1000,"")</f>
        <v>9900023.826</v>
      </c>
      <c r="R75" s="58" t="s">
        <v>344</v>
      </c>
      <c r="S75" s="58" t="n">
        <v>0.25</v>
      </c>
      <c r="T75" s="58" t="n">
        <v>1.25</v>
      </c>
      <c r="U75" s="58" t="n">
        <v>1</v>
      </c>
      <c r="V75" s="58" t="s">
        <v>724</v>
      </c>
      <c r="W75" s="58" t="s">
        <v>40</v>
      </c>
      <c r="X75" s="58" t="s">
        <v>345</v>
      </c>
      <c r="Y75" s="58" t="s">
        <v>346</v>
      </c>
      <c r="Z75" s="58"/>
      <c r="AA75" s="58" t="s">
        <v>285</v>
      </c>
      <c r="AB75" s="58" t="s">
        <v>727</v>
      </c>
      <c r="AC75" s="58" t="n">
        <v>0.008</v>
      </c>
      <c r="AD75" s="58" t="n">
        <v>0.012</v>
      </c>
      <c r="AE75" s="58" t="n">
        <v>0</v>
      </c>
      <c r="AF75" s="58" t="n">
        <v>0</v>
      </c>
      <c r="AG75" s="58" t="n">
        <v>0</v>
      </c>
      <c r="AH75" s="58" t="n">
        <v>18000</v>
      </c>
      <c r="AI75" s="58" t="s">
        <v>727</v>
      </c>
      <c r="AJ75" s="58" t="n">
        <v>0.008</v>
      </c>
      <c r="AK75" s="58" t="n">
        <v>0.012</v>
      </c>
      <c r="AL75" s="58" t="n">
        <v>3</v>
      </c>
      <c r="AM75" s="58" t="n">
        <v>1</v>
      </c>
      <c r="AN75" s="58" t="n">
        <v>0</v>
      </c>
      <c r="AO75" s="58" t="n">
        <v>18000</v>
      </c>
      <c r="AP75" s="58" t="str">
        <f aca="false">IF(Calcul!$I$5=1,AB75,AI75)</f>
        <v>63-750</v>
      </c>
      <c r="AQ75" s="58" t="n">
        <f aca="false">IF(Calcul!$I$5=1,AC75,AJ75)</f>
        <v>0.008</v>
      </c>
      <c r="AR75" s="58" t="n">
        <f aca="false">IF(Calcul!$I$5=1,AD75,AK75)</f>
        <v>0.012</v>
      </c>
      <c r="AS75" s="58" t="n">
        <f aca="false">IF(Calcul!$I$5=1,AE75,AL75)</f>
        <v>0</v>
      </c>
      <c r="AT75" s="58" t="n">
        <f aca="false">IF(Calcul!$I$5=1,AF75,AM75)</f>
        <v>0</v>
      </c>
      <c r="AU75" s="58" t="n">
        <f aca="false">IF(Calcul!$I$5=1,AG75,AN75)</f>
        <v>0</v>
      </c>
      <c r="AV75" s="58" t="n">
        <f aca="false">IF(Calcul!$I$5=1,AH75,AO75)</f>
        <v>18000</v>
      </c>
      <c r="AW75" s="58" t="n">
        <f aca="false">IF(Calcul!$I$10&gt;0,MAX(1,ROUNDUP(Calcul!$I$10/S75-0.000001,0)),1)</f>
        <v>2</v>
      </c>
      <c r="AX75" s="58" t="n">
        <f aca="false">IF(Calcul!$I$10&gt;0,Calcul!$I$10/AW75,0)</f>
        <v>0.25</v>
      </c>
      <c r="AY75" s="58" t="n">
        <f aca="false">IF(Calcul!$I$10&gt;0,AX75/S75,1)</f>
        <v>1</v>
      </c>
      <c r="AZ75" s="58" t="n">
        <f aca="false">IF(AY75&lt;=1.0001,1,IF(AY75&lt;=2.0001,0.75,0.5))</f>
        <v>1</v>
      </c>
      <c r="BA75" s="58" t="n">
        <f aca="false">(AQ75+AR75)/2*AZ75</f>
        <v>0.01</v>
      </c>
      <c r="BB75" s="58" t="n">
        <f aca="false">IF(Calcul!$I$10&gt;0,IF(ISNUMBER(T75),IF(T75+0.000001&gt;=Calcul!$I$10,1,0),2),2)</f>
        <v>1</v>
      </c>
      <c r="BC75" s="58" t="n">
        <f aca="false">IF(AND(V75=Calcul!$I$8,ISNUMBER(U75),OR(AP75&lt;&gt;"",AT75=1),IF(Calcul!$I$8="straight",IF(Calcul!$I$10&gt;0,BB75=1,TRUE()),BB75&lt;&gt;0)),1,0)</f>
        <v>1</v>
      </c>
      <c r="BD75" s="58" t="n">
        <f aca="false">IF(AND(Calcul!$I$8="straight",ISNUMBER(SEARCH(Calcul!$I$9,W75))),1,0)</f>
        <v>1</v>
      </c>
      <c r="BE75" s="58" t="n">
        <f aca="false">IF(ABS(S75-0.5)&lt;0.0005,IF(Calcul!$I$7=2,18000,20000),IF(AND(Calcul!$I$6=1,Calcul!$I$7=2),17000,23000))</f>
        <v>23000</v>
      </c>
      <c r="BF75" s="58" t="n">
        <f aca="false">IF(ISNUMBER(U75),BE75*U75*BA75,0)</f>
        <v>230</v>
      </c>
      <c r="BG75" s="58" t="n">
        <f aca="false">BF75/AW75</f>
        <v>115</v>
      </c>
      <c r="BH75" s="58" t="n">
        <f aca="false">BD75*1000000000+IF(AP75&lt;&gt;"",100000000,0)+AT75*10000000+(50-MIN(AW75,49))*100000+AS75*10000+MIN(ROUND(BG75,0),9999)+S75/10-IF(ISNUMBER(T75),T75,9)/1000</f>
        <v>1104800115.02375</v>
      </c>
      <c r="BI75" s="58" t="n">
        <f aca="false">IF(AND(Calcul!$I$10&gt;0,ISNUMBER(T75)),T75-Calcul!$I$10,99)</f>
        <v>0.75</v>
      </c>
      <c r="BJ75" s="58" t="n">
        <f aca="false">IF(BC75=1,BD75*10000000-ROUND(BI75*1000,0)*1000+MIN(BH75/10000000,999),"")</f>
        <v>9250110.4800115</v>
      </c>
      <c r="BK75" s="58" t="n">
        <f aca="false">IF(BC75=1,IF(BJ75=_xlfn.MAXIFS(Calcul!$BJ$60:$BJ$110,Calcul!$S$60:$S$110,S75,Calcul!$BC$60:$BC$110,1),1,0),0)</f>
        <v>0</v>
      </c>
      <c r="BL75" s="58" t="n">
        <f aca="false">IF(BC75=1,_xlfn.MAXIFS(Calcul!$BH$60:$BH$110,Calcul!$S$60:$S$110,S75,Calcul!$BC$60:$BC$110,1),0)</f>
        <v>1114830126.02425</v>
      </c>
      <c r="BM75" s="58" t="n">
        <f aca="false">IF(BC75=1,IF(BK75=1,10000000000+BL75,BH75)-ROW()/10000000,"")</f>
        <v>1104800115.02374</v>
      </c>
      <c r="BN75" s="58"/>
      <c r="BY75" s="59" t="n">
        <f aca="false">IFERROR(MATCH(SMALL(Calcul!$P$60:$P$184,16),Calcul!$P$60:$P$184,0),0)</f>
        <v>33</v>
      </c>
    </row>
    <row r="76" customFormat="false" ht="15" hidden="false" customHeight="false" outlineLevel="0" collapsed="false">
      <c r="M76" s="0" t="str">
        <f aca="false">IF(AND(ISNUMBER('Liste outils'!$E$22),Convertisseur!$C$14&gt;0),IF(ABS('Liste outils'!$E$22-Convertisseur!$C$14)&lt;0.0005,COUNTIFS('Liste outils'!$E$6:$E22,"&gt;"&amp;(Convertisseur!$C$14-0.0005),'Liste outils'!$E$6:$E22,"&lt;"&amp;(Convertisseur!$C$14+0.0005)),""),"")</f>
        <v/>
      </c>
      <c r="N76" s="0" t="str">
        <f aca="false">IF(AND(ISNUMBER('Liste outils'!$E$22),Convertisseur!$C$15&gt;0),IF(ABS('Liste outils'!$E$22-Convertisseur!$C$15)&lt;0.0005,COUNTIFS('Liste outils'!$E$6:$E22,"&gt;"&amp;(Convertisseur!$C$15-0.0005),'Liste outils'!$E$6:$E22,"&lt;"&amp;(Convertisseur!$C$15+0.0005)),""),"")</f>
        <v/>
      </c>
      <c r="O76" s="0" t="str">
        <f aca="false">IF(AND(ISNUMBER('Liste outils'!$E$22),Convertisseur!$C$16&gt;0),IF(ABS('Liste outils'!$E$22-Convertisseur!$C$16)&lt;0.0005,COUNTIFS('Liste outils'!$E$6:$E22,"&gt;"&amp;(Convertisseur!$C$16-0.0005),'Liste outils'!$E$6:$E22,"&lt;"&amp;(Convertisseur!$C$16+0.0005)),""),"")</f>
        <v/>
      </c>
      <c r="P76" s="58" t="n">
        <f aca="false">IF(AND(OR('Recherche outils'!$B$5="Tous",'Recherche outils'!$B$5='Liste outils'!$C$22),OR(TRIM('Recherche outils'!$B$4&amp;"")="",ISNUMBER(SEARCH(TRIM('Recherche outils'!$B$4&amp;""),'Liste outils'!$B$22&amp;" "&amp;'Liste outils'!$C$22&amp;" "&amp;'Liste outils'!$J$22&amp;" "&amp;'Liste outils'!$O$22&amp;" "&amp;'Liste outils'!$P$22&amp;" "&amp;'Liste outils'!$Q$22&amp;" "&amp;'Liste outils'!$AA$22&amp;" "&amp;'Liste outils'!$AB$22&amp;" "&amp;'Liste outils'!$AC$22&amp;" "&amp;'Liste outils'!$T$22))),OR(NOT(ISNUMBER(Calcul!$L$11)),AND(ISNUMBER('Liste outils'!$E$22),ABS('Liste outils'!$E$22-IF(ISNUMBER(Calcul!$L$11),Calcul!$L$11,0))&lt;0.002)),OR(NOT(ISNUMBER(Calcul!$O$11)),AND(ISNUMBER('Liste outils'!$H$22),'Liste outils'!$H$22+0.000001&gt;=IF(ISNUMBER(Calcul!$O$11),Calcul!$O$11,0)))),IF(ISNUMBER('Liste outils'!$E$22),'Liste outils'!$E$22,99)*100000+IF(ISNUMBER('Liste outils'!$H$22),'Liste outils'!$H$22,99)*100+17/1000,"")</f>
        <v>9900037.417</v>
      </c>
      <c r="R76" s="58" t="s">
        <v>347</v>
      </c>
      <c r="S76" s="58" t="n">
        <v>0.25</v>
      </c>
      <c r="T76" s="58" t="n">
        <v>1.5</v>
      </c>
      <c r="U76" s="58" t="n">
        <v>1</v>
      </c>
      <c r="V76" s="58" t="s">
        <v>724</v>
      </c>
      <c r="W76" s="58" t="s">
        <v>40</v>
      </c>
      <c r="X76" s="58" t="s">
        <v>348</v>
      </c>
      <c r="Y76" s="58" t="s">
        <v>349</v>
      </c>
      <c r="Z76" s="58"/>
      <c r="AA76" s="58" t="s">
        <v>285</v>
      </c>
      <c r="AB76" s="58" t="s">
        <v>727</v>
      </c>
      <c r="AC76" s="58" t="n">
        <v>0.008</v>
      </c>
      <c r="AD76" s="58" t="n">
        <v>0.012</v>
      </c>
      <c r="AE76" s="58" t="n">
        <v>0</v>
      </c>
      <c r="AF76" s="58" t="n">
        <v>0</v>
      </c>
      <c r="AG76" s="58" t="n">
        <v>0</v>
      </c>
      <c r="AH76" s="58" t="n">
        <v>18000</v>
      </c>
      <c r="AI76" s="58" t="s">
        <v>727</v>
      </c>
      <c r="AJ76" s="58" t="n">
        <v>0.008</v>
      </c>
      <c r="AK76" s="58" t="n">
        <v>0.012</v>
      </c>
      <c r="AL76" s="58" t="n">
        <v>3</v>
      </c>
      <c r="AM76" s="58" t="n">
        <v>1</v>
      </c>
      <c r="AN76" s="58" t="n">
        <v>0</v>
      </c>
      <c r="AO76" s="58" t="n">
        <v>18000</v>
      </c>
      <c r="AP76" s="58" t="str">
        <f aca="false">IF(Calcul!$I$5=1,AB76,AI76)</f>
        <v>63-750</v>
      </c>
      <c r="AQ76" s="58" t="n">
        <f aca="false">IF(Calcul!$I$5=1,AC76,AJ76)</f>
        <v>0.008</v>
      </c>
      <c r="AR76" s="58" t="n">
        <f aca="false">IF(Calcul!$I$5=1,AD76,AK76)</f>
        <v>0.012</v>
      </c>
      <c r="AS76" s="58" t="n">
        <f aca="false">IF(Calcul!$I$5=1,AE76,AL76)</f>
        <v>0</v>
      </c>
      <c r="AT76" s="58" t="n">
        <f aca="false">IF(Calcul!$I$5=1,AF76,AM76)</f>
        <v>0</v>
      </c>
      <c r="AU76" s="58" t="n">
        <f aca="false">IF(Calcul!$I$5=1,AG76,AN76)</f>
        <v>0</v>
      </c>
      <c r="AV76" s="58" t="n">
        <f aca="false">IF(Calcul!$I$5=1,AH76,AO76)</f>
        <v>18000</v>
      </c>
      <c r="AW76" s="58" t="n">
        <f aca="false">IF(Calcul!$I$10&gt;0,MAX(1,ROUNDUP(Calcul!$I$10/S76-0.000001,0)),1)</f>
        <v>2</v>
      </c>
      <c r="AX76" s="58" t="n">
        <f aca="false">IF(Calcul!$I$10&gt;0,Calcul!$I$10/AW76,0)</f>
        <v>0.25</v>
      </c>
      <c r="AY76" s="58" t="n">
        <f aca="false">IF(Calcul!$I$10&gt;0,AX76/S76,1)</f>
        <v>1</v>
      </c>
      <c r="AZ76" s="58" t="n">
        <f aca="false">IF(AY76&lt;=1.0001,1,IF(AY76&lt;=2.0001,0.75,0.5))</f>
        <v>1</v>
      </c>
      <c r="BA76" s="58" t="n">
        <f aca="false">(AQ76+AR76)/2*AZ76</f>
        <v>0.01</v>
      </c>
      <c r="BB76" s="58" t="n">
        <f aca="false">IF(Calcul!$I$10&gt;0,IF(ISNUMBER(T76),IF(T76+0.000001&gt;=Calcul!$I$10,1,0),2),2)</f>
        <v>1</v>
      </c>
      <c r="BC76" s="58" t="n">
        <f aca="false">IF(AND(V76=Calcul!$I$8,ISNUMBER(U76),OR(AP76&lt;&gt;"",AT76=1),IF(Calcul!$I$8="straight",IF(Calcul!$I$10&gt;0,BB76=1,TRUE()),BB76&lt;&gt;0)),1,0)</f>
        <v>1</v>
      </c>
      <c r="BD76" s="58" t="n">
        <f aca="false">IF(AND(Calcul!$I$8="straight",ISNUMBER(SEARCH(Calcul!$I$9,W76))),1,0)</f>
        <v>1</v>
      </c>
      <c r="BE76" s="58" t="n">
        <f aca="false">IF(ABS(S76-0.5)&lt;0.0005,IF(Calcul!$I$7=2,18000,20000),IF(AND(Calcul!$I$6=1,Calcul!$I$7=2),17000,23000))</f>
        <v>23000</v>
      </c>
      <c r="BF76" s="58" t="n">
        <f aca="false">IF(ISNUMBER(U76),BE76*U76*BA76,0)</f>
        <v>230</v>
      </c>
      <c r="BG76" s="58" t="n">
        <f aca="false">BF76/AW76</f>
        <v>115</v>
      </c>
      <c r="BH76" s="58" t="n">
        <f aca="false">BD76*1000000000+IF(AP76&lt;&gt;"",100000000,0)+AT76*10000000+(50-MIN(AW76,49))*100000+AS76*10000+MIN(ROUND(BG76,0),9999)+S76/10-IF(ISNUMBER(T76),T76,9)/1000</f>
        <v>1104800115.0235</v>
      </c>
      <c r="BI76" s="58" t="n">
        <f aca="false">IF(AND(Calcul!$I$10&gt;0,ISNUMBER(T76)),T76-Calcul!$I$10,99)</f>
        <v>1</v>
      </c>
      <c r="BJ76" s="58" t="n">
        <f aca="false">IF(BC76=1,BD76*10000000-ROUND(BI76*1000,0)*1000+MIN(BH76/10000000,999),"")</f>
        <v>9000110.4800115</v>
      </c>
      <c r="BK76" s="58" t="n">
        <f aca="false">IF(BC76=1,IF(BJ76=_xlfn.MAXIFS(Calcul!$BJ$60:$BJ$110,Calcul!$S$60:$S$110,S76,Calcul!$BC$60:$BC$110,1),1,0),0)</f>
        <v>0</v>
      </c>
      <c r="BL76" s="58" t="n">
        <f aca="false">IF(BC76=1,_xlfn.MAXIFS(Calcul!$BH$60:$BH$110,Calcul!$S$60:$S$110,S76,Calcul!$BC$60:$BC$110,1),0)</f>
        <v>1114830126.02425</v>
      </c>
      <c r="BM76" s="58" t="n">
        <f aca="false">IF(BC76=1,IF(BK76=1,10000000000+BL76,BH76)-ROW()/10000000,"")</f>
        <v>1104800115.02349</v>
      </c>
      <c r="BN76" s="58"/>
      <c r="BY76" s="59" t="n">
        <f aca="false">IFERROR(MATCH(SMALL(Calcul!$P$60:$P$184,17),Calcul!$P$60:$P$184,0),0)</f>
        <v>73</v>
      </c>
    </row>
    <row r="77" customFormat="false" ht="15" hidden="false" customHeight="false" outlineLevel="0" collapsed="false">
      <c r="M77" s="0" t="str">
        <f aca="false">IF(AND(ISNUMBER('Liste outils'!$E$23),Convertisseur!$C$14&gt;0),IF(ABS('Liste outils'!$E$23-Convertisseur!$C$14)&lt;0.0005,COUNTIFS('Liste outils'!$E$6:$E23,"&gt;"&amp;(Convertisseur!$C$14-0.0005),'Liste outils'!$E$6:$E23,"&lt;"&amp;(Convertisseur!$C$14+0.0005)),""),"")</f>
        <v/>
      </c>
      <c r="N77" s="0" t="str">
        <f aca="false">IF(AND(ISNUMBER('Liste outils'!$E$23),Convertisseur!$C$15&gt;0),IF(ABS('Liste outils'!$E$23-Convertisseur!$C$15)&lt;0.0005,COUNTIFS('Liste outils'!$E$6:$E23,"&gt;"&amp;(Convertisseur!$C$15-0.0005),'Liste outils'!$E$6:$E23,"&lt;"&amp;(Convertisseur!$C$15+0.0005)),""),"")</f>
        <v/>
      </c>
      <c r="O77" s="0" t="str">
        <f aca="false">IF(AND(ISNUMBER('Liste outils'!$E$23),Convertisseur!$C$16&gt;0),IF(ABS('Liste outils'!$E$23-Convertisseur!$C$16)&lt;0.0005,COUNTIFS('Liste outils'!$E$6:$E23,"&gt;"&amp;(Convertisseur!$C$16-0.0005),'Liste outils'!$E$6:$E23,"&lt;"&amp;(Convertisseur!$C$16+0.0005)),""),"")</f>
        <v/>
      </c>
      <c r="P77" s="58" t="n">
        <f aca="false">IF(AND(OR('Recherche outils'!$B$5="Tous",'Recherche outils'!$B$5='Liste outils'!$C$23),OR(TRIM('Recherche outils'!$B$4&amp;"")="",ISNUMBER(SEARCH(TRIM('Recherche outils'!$B$4&amp;""),'Liste outils'!$B$23&amp;" "&amp;'Liste outils'!$C$23&amp;" "&amp;'Liste outils'!$J$23&amp;" "&amp;'Liste outils'!$O$23&amp;" "&amp;'Liste outils'!$P$23&amp;" "&amp;'Liste outils'!$Q$23&amp;" "&amp;'Liste outils'!$AA$23&amp;" "&amp;'Liste outils'!$AB$23&amp;" "&amp;'Liste outils'!$AC$23&amp;" "&amp;'Liste outils'!$T$23))),OR(NOT(ISNUMBER(Calcul!$L$11)),AND(ISNUMBER('Liste outils'!$E$23),ABS('Liste outils'!$E$23-IF(ISNUMBER(Calcul!$L$11),Calcul!$L$11,0))&lt;0.002)),OR(NOT(ISNUMBER(Calcul!$O$11)),AND(ISNUMBER('Liste outils'!$H$23),'Liste outils'!$H$23+0.000001&gt;=IF(ISNUMBER(Calcul!$O$11),Calcul!$O$11,0)))),IF(ISNUMBER('Liste outils'!$E$23),'Liste outils'!$E$23,99)*100000+IF(ISNUMBER('Liste outils'!$H$23),'Liste outils'!$H$23,99)*100+18/1000,"")</f>
        <v>9909900.018</v>
      </c>
      <c r="R77" s="58" t="s">
        <v>350</v>
      </c>
      <c r="S77" s="58" t="n">
        <v>0.125</v>
      </c>
      <c r="T77" s="58" t="n">
        <v>0.75</v>
      </c>
      <c r="U77" s="58" t="n">
        <v>1</v>
      </c>
      <c r="V77" s="58" t="s">
        <v>724</v>
      </c>
      <c r="W77" s="58" t="s">
        <v>40</v>
      </c>
      <c r="X77" s="58" t="s">
        <v>351</v>
      </c>
      <c r="Y77" s="58" t="s">
        <v>352</v>
      </c>
      <c r="Z77" s="58"/>
      <c r="AA77" s="58" t="s">
        <v>285</v>
      </c>
      <c r="AB77" s="58" t="s">
        <v>465</v>
      </c>
      <c r="AC77" s="58" t="n">
        <v>0.006</v>
      </c>
      <c r="AD77" s="58" t="n">
        <v>0.008</v>
      </c>
      <c r="AE77" s="58" t="n">
        <v>3</v>
      </c>
      <c r="AF77" s="58" t="n">
        <v>1</v>
      </c>
      <c r="AG77" s="58" t="n">
        <v>0</v>
      </c>
      <c r="AH77" s="58" t="n">
        <v>18000</v>
      </c>
      <c r="AI77" s="58"/>
      <c r="AJ77" s="58" t="n">
        <v>0.0024</v>
      </c>
      <c r="AK77" s="58" t="n">
        <v>0.0036</v>
      </c>
      <c r="AL77" s="58" t="n">
        <v>0</v>
      </c>
      <c r="AM77" s="58" t="n">
        <v>0</v>
      </c>
      <c r="AN77" s="58" t="n">
        <v>1</v>
      </c>
      <c r="AO77" s="58" t="n">
        <v>0</v>
      </c>
      <c r="AP77" s="58" t="str">
        <f aca="false">IF(Calcul!$I$5=1,AB77,AI77)</f>
        <v>63-700</v>
      </c>
      <c r="AQ77" s="58" t="n">
        <f aca="false">IF(Calcul!$I$5=1,AC77,AJ77)</f>
        <v>0.006</v>
      </c>
      <c r="AR77" s="58" t="n">
        <f aca="false">IF(Calcul!$I$5=1,AD77,AK77)</f>
        <v>0.008</v>
      </c>
      <c r="AS77" s="58" t="n">
        <f aca="false">IF(Calcul!$I$5=1,AE77,AL77)</f>
        <v>3</v>
      </c>
      <c r="AT77" s="58" t="n">
        <f aca="false">IF(Calcul!$I$5=1,AF77,AM77)</f>
        <v>1</v>
      </c>
      <c r="AU77" s="58" t="n">
        <f aca="false">IF(Calcul!$I$5=1,AG77,AN77)</f>
        <v>0</v>
      </c>
      <c r="AV77" s="58" t="n">
        <f aca="false">IF(Calcul!$I$5=1,AH77,AO77)</f>
        <v>18000</v>
      </c>
      <c r="AW77" s="58" t="n">
        <f aca="false">IF(Calcul!$I$10&gt;0,MAX(1,ROUNDUP(Calcul!$I$10/S77-0.000001,0)),1)</f>
        <v>4</v>
      </c>
      <c r="AX77" s="58" t="n">
        <f aca="false">IF(Calcul!$I$10&gt;0,Calcul!$I$10/AW77,0)</f>
        <v>0.125</v>
      </c>
      <c r="AY77" s="58" t="n">
        <f aca="false">IF(Calcul!$I$10&gt;0,AX77/S77,1)</f>
        <v>1</v>
      </c>
      <c r="AZ77" s="58" t="n">
        <f aca="false">IF(AY77&lt;=1.0001,1,IF(AY77&lt;=2.0001,0.75,0.5))</f>
        <v>1</v>
      </c>
      <c r="BA77" s="58" t="n">
        <f aca="false">(AQ77+AR77)/2*AZ77</f>
        <v>0.007</v>
      </c>
      <c r="BB77" s="58" t="n">
        <f aca="false">IF(Calcul!$I$10&gt;0,IF(ISNUMBER(T77),IF(T77+0.000001&gt;=Calcul!$I$10,1,0),2),2)</f>
        <v>1</v>
      </c>
      <c r="BC77" s="58" t="n">
        <f aca="false">IF(AND(V77=Calcul!$I$8,ISNUMBER(U77),OR(AP77&lt;&gt;"",AT77=1),IF(Calcul!$I$8="straight",IF(Calcul!$I$10&gt;0,BB77=1,TRUE()),BB77&lt;&gt;0)),1,0)</f>
        <v>1</v>
      </c>
      <c r="BD77" s="58" t="n">
        <f aca="false">IF(AND(Calcul!$I$8="straight",ISNUMBER(SEARCH(Calcul!$I$9,W77))),1,0)</f>
        <v>1</v>
      </c>
      <c r="BE77" s="58" t="n">
        <f aca="false">IF(ABS(S77-0.5)&lt;0.0005,IF(Calcul!$I$7=2,18000,20000),IF(AND(Calcul!$I$6=1,Calcul!$I$7=2),17000,23000))</f>
        <v>23000</v>
      </c>
      <c r="BF77" s="58" t="n">
        <f aca="false">IF(ISNUMBER(U77),BE77*U77*BA77,0)</f>
        <v>161</v>
      </c>
      <c r="BG77" s="58" t="n">
        <f aca="false">BF77/AW77</f>
        <v>40.25</v>
      </c>
      <c r="BH77" s="58" t="n">
        <f aca="false">BD77*1000000000+IF(AP77&lt;&gt;"",100000000,0)+AT77*10000000+(50-MIN(AW77,49))*100000+AS77*10000+MIN(ROUND(BG77,0),9999)+S77/10-IF(ISNUMBER(T77),T77,9)/1000</f>
        <v>1114630040.01175</v>
      </c>
      <c r="BI77" s="58" t="n">
        <f aca="false">IF(AND(Calcul!$I$10&gt;0,ISNUMBER(T77)),T77-Calcul!$I$10,99)</f>
        <v>0.25</v>
      </c>
      <c r="BJ77" s="58" t="n">
        <f aca="false">IF(BC77=1,BD77*10000000-ROUND(BI77*1000,0)*1000+MIN(BH77/10000000,999),"")</f>
        <v>9750111.463004</v>
      </c>
      <c r="BK77" s="58" t="n">
        <f aca="false">IF(BC77=1,IF(BJ77=_xlfn.MAXIFS(Calcul!$BJ$60:$BJ$110,Calcul!$S$60:$S$110,S77,Calcul!$BC$60:$BC$110,1),1,0),0)</f>
        <v>0</v>
      </c>
      <c r="BL77" s="58" t="n">
        <f aca="false">IF(BC77=1,_xlfn.MAXIFS(Calcul!$BH$60:$BH$110,Calcul!$S$60:$S$110,S77,Calcul!$BC$60:$BC$110,1),0)</f>
        <v>1114630040.012</v>
      </c>
      <c r="BM77" s="58" t="n">
        <f aca="false">IF(BC77=1,IF(BK77=1,10000000000+BL77,BH77)-ROW()/10000000,"")</f>
        <v>1114630040.01174</v>
      </c>
      <c r="BN77" s="58"/>
      <c r="BY77" s="59" t="n">
        <f aca="false">IFERROR(MATCH(SMALL(Calcul!$P$60:$P$184,18),Calcul!$P$60:$P$184,0),0)</f>
        <v>76</v>
      </c>
    </row>
    <row r="78" customFormat="false" ht="15" hidden="false" customHeight="false" outlineLevel="0" collapsed="false">
      <c r="M78" s="0" t="str">
        <f aca="false">IF(AND(ISNUMBER('Liste outils'!$E$24),Convertisseur!$C$14&gt;0),IF(ABS('Liste outils'!$E$24-Convertisseur!$C$14)&lt;0.0005,COUNTIFS('Liste outils'!$E$6:$E24,"&gt;"&amp;(Convertisseur!$C$14-0.0005),'Liste outils'!$E$6:$E24,"&lt;"&amp;(Convertisseur!$C$14+0.0005)),""),"")</f>
        <v/>
      </c>
      <c r="N78" s="0" t="str">
        <f aca="false">IF(AND(ISNUMBER('Liste outils'!$E$24),Convertisseur!$C$15&gt;0),IF(ABS('Liste outils'!$E$24-Convertisseur!$C$15)&lt;0.0005,COUNTIFS('Liste outils'!$E$6:$E24,"&gt;"&amp;(Convertisseur!$C$15-0.0005),'Liste outils'!$E$6:$E24,"&lt;"&amp;(Convertisseur!$C$15+0.0005)),""),"")</f>
        <v/>
      </c>
      <c r="O78" s="0" t="str">
        <f aca="false">IF(AND(ISNUMBER('Liste outils'!$E$24),Convertisseur!$C$16&gt;0),IF(ABS('Liste outils'!$E$24-Convertisseur!$C$16)&lt;0.0005,COUNTIFS('Liste outils'!$E$6:$E24,"&gt;"&amp;(Convertisseur!$C$16-0.0005),'Liste outils'!$E$6:$E24,"&lt;"&amp;(Convertisseur!$C$16+0.0005)),""),"")</f>
        <v/>
      </c>
      <c r="P78" s="58" t="n">
        <f aca="false">IF(AND(OR('Recherche outils'!$B$5="Tous",'Recherche outils'!$B$5='Liste outils'!$C$24),OR(TRIM('Recherche outils'!$B$4&amp;"")="",ISNUMBER(SEARCH(TRIM('Recherche outils'!$B$4&amp;""),'Liste outils'!$B$24&amp;" "&amp;'Liste outils'!$C$24&amp;" "&amp;'Liste outils'!$J$24&amp;" "&amp;'Liste outils'!$O$24&amp;" "&amp;'Liste outils'!$P$24&amp;" "&amp;'Liste outils'!$Q$24&amp;" "&amp;'Liste outils'!$AA$24&amp;" "&amp;'Liste outils'!$AB$24&amp;" "&amp;'Liste outils'!$AC$24&amp;" "&amp;'Liste outils'!$T$24))),OR(NOT(ISNUMBER(Calcul!$L$11)),AND(ISNUMBER('Liste outils'!$E$24),ABS('Liste outils'!$E$24-IF(ISNUMBER(Calcul!$L$11),Calcul!$L$11,0))&lt;0.002)),OR(NOT(ISNUMBER(Calcul!$O$11)),AND(ISNUMBER('Liste outils'!$H$24),'Liste outils'!$H$24+0.000001&gt;=IF(ISNUMBER(Calcul!$O$11),Calcul!$O$11,0)))),IF(ISNUMBER('Liste outils'!$E$24),'Liste outils'!$E$24,99)*100000+IF(ISNUMBER('Liste outils'!$H$24),'Liste outils'!$H$24,99)*100+19/1000,"")</f>
        <v>9909900.019</v>
      </c>
      <c r="R78" s="58" t="s">
        <v>353</v>
      </c>
      <c r="S78" s="58" t="n">
        <v>0.375</v>
      </c>
      <c r="T78" s="58" t="n">
        <v>0.75</v>
      </c>
      <c r="U78" s="58" t="n">
        <v>1</v>
      </c>
      <c r="V78" s="58" t="s">
        <v>724</v>
      </c>
      <c r="W78" s="58" t="s">
        <v>40</v>
      </c>
      <c r="X78" s="58" t="s">
        <v>354</v>
      </c>
      <c r="Y78" s="58" t="s">
        <v>355</v>
      </c>
      <c r="Z78" s="58" t="s">
        <v>356</v>
      </c>
      <c r="AA78" s="58" t="s">
        <v>285</v>
      </c>
      <c r="AB78" s="58" t="s">
        <v>465</v>
      </c>
      <c r="AC78" s="58" t="n">
        <v>0.01</v>
      </c>
      <c r="AD78" s="58" t="n">
        <v>0.012</v>
      </c>
      <c r="AE78" s="58" t="n">
        <v>3</v>
      </c>
      <c r="AF78" s="58" t="n">
        <v>1</v>
      </c>
      <c r="AG78" s="58" t="n">
        <v>0</v>
      </c>
      <c r="AH78" s="58" t="n">
        <v>18000</v>
      </c>
      <c r="AI78" s="58"/>
      <c r="AJ78" s="58" t="n">
        <v>0.0072</v>
      </c>
      <c r="AK78" s="58" t="n">
        <v>0.0108</v>
      </c>
      <c r="AL78" s="58" t="n">
        <v>0</v>
      </c>
      <c r="AM78" s="58" t="n">
        <v>0</v>
      </c>
      <c r="AN78" s="58" t="n">
        <v>1</v>
      </c>
      <c r="AO78" s="58" t="n">
        <v>0</v>
      </c>
      <c r="AP78" s="58" t="str">
        <f aca="false">IF(Calcul!$I$5=1,AB78,AI78)</f>
        <v>63-700</v>
      </c>
      <c r="AQ78" s="58" t="n">
        <f aca="false">IF(Calcul!$I$5=1,AC78,AJ78)</f>
        <v>0.01</v>
      </c>
      <c r="AR78" s="58" t="n">
        <f aca="false">IF(Calcul!$I$5=1,AD78,AK78)</f>
        <v>0.012</v>
      </c>
      <c r="AS78" s="58" t="n">
        <f aca="false">IF(Calcul!$I$5=1,AE78,AL78)</f>
        <v>3</v>
      </c>
      <c r="AT78" s="58" t="n">
        <f aca="false">IF(Calcul!$I$5=1,AF78,AM78)</f>
        <v>1</v>
      </c>
      <c r="AU78" s="58" t="n">
        <f aca="false">IF(Calcul!$I$5=1,AG78,AN78)</f>
        <v>0</v>
      </c>
      <c r="AV78" s="58" t="n">
        <f aca="false">IF(Calcul!$I$5=1,AH78,AO78)</f>
        <v>18000</v>
      </c>
      <c r="AW78" s="58" t="n">
        <f aca="false">IF(Calcul!$I$10&gt;0,MAX(1,ROUNDUP(Calcul!$I$10/S78-0.000001,0)),1)</f>
        <v>2</v>
      </c>
      <c r="AX78" s="58" t="n">
        <f aca="false">IF(Calcul!$I$10&gt;0,Calcul!$I$10/AW78,0)</f>
        <v>0.25</v>
      </c>
      <c r="AY78" s="58" t="n">
        <f aca="false">IF(Calcul!$I$10&gt;0,AX78/S78,1)</f>
        <v>0.666666666666667</v>
      </c>
      <c r="AZ78" s="58" t="n">
        <f aca="false">IF(AY78&lt;=1.0001,1,IF(AY78&lt;=2.0001,0.75,0.5))</f>
        <v>1</v>
      </c>
      <c r="BA78" s="58" t="n">
        <f aca="false">(AQ78+AR78)/2*AZ78</f>
        <v>0.011</v>
      </c>
      <c r="BB78" s="58" t="n">
        <f aca="false">IF(Calcul!$I$10&gt;0,IF(ISNUMBER(T78),IF(T78+0.000001&gt;=Calcul!$I$10,1,0),2),2)</f>
        <v>1</v>
      </c>
      <c r="BC78" s="58" t="n">
        <f aca="false">IF(AND(V78=Calcul!$I$8,ISNUMBER(U78),OR(AP78&lt;&gt;"",AT78=1),IF(Calcul!$I$8="straight",IF(Calcul!$I$10&gt;0,BB78=1,TRUE()),BB78&lt;&gt;0)),1,0)</f>
        <v>1</v>
      </c>
      <c r="BD78" s="58" t="n">
        <f aca="false">IF(AND(Calcul!$I$8="straight",ISNUMBER(SEARCH(Calcul!$I$9,W78))),1,0)</f>
        <v>1</v>
      </c>
      <c r="BE78" s="58" t="n">
        <f aca="false">IF(ABS(S78-0.5)&lt;0.0005,IF(Calcul!$I$7=2,18000,20000),IF(AND(Calcul!$I$6=1,Calcul!$I$7=2),17000,23000))</f>
        <v>23000</v>
      </c>
      <c r="BF78" s="58" t="n">
        <f aca="false">IF(ISNUMBER(U78),BE78*U78*BA78,0)</f>
        <v>253</v>
      </c>
      <c r="BG78" s="58" t="n">
        <f aca="false">BF78/AW78</f>
        <v>126.5</v>
      </c>
      <c r="BH78" s="58" t="n">
        <f aca="false">BD78*1000000000+IF(AP78&lt;&gt;"",100000000,0)+AT78*10000000+(50-MIN(AW78,49))*100000+AS78*10000+MIN(ROUND(BG78,0),9999)+S78/10-IF(ISNUMBER(T78),T78,9)/1000</f>
        <v>1114830126.03675</v>
      </c>
      <c r="BI78" s="58" t="n">
        <f aca="false">IF(AND(Calcul!$I$10&gt;0,ISNUMBER(T78)),T78-Calcul!$I$10,99)</f>
        <v>0.25</v>
      </c>
      <c r="BJ78" s="58" t="n">
        <f aca="false">IF(BC78=1,BD78*10000000-ROUND(BI78*1000,0)*1000+MIN(BH78/10000000,999),"")</f>
        <v>9750111.4830126</v>
      </c>
      <c r="BK78" s="58" t="n">
        <f aca="false">IF(BC78=1,IF(BJ78=_xlfn.MAXIFS(Calcul!$BJ$60:$BJ$110,Calcul!$S$60:$S$110,S78,Calcul!$BC$60:$BC$110,1),1,0),0)</f>
        <v>0</v>
      </c>
      <c r="BL78" s="58" t="n">
        <f aca="false">IF(BC78=1,_xlfn.MAXIFS(Calcul!$BH$60:$BH$110,Calcul!$S$60:$S$110,S78,Calcul!$BC$60:$BC$110,1),0)</f>
        <v>1114830126.03675</v>
      </c>
      <c r="BM78" s="58" t="n">
        <f aca="false">IF(BC78=1,IF(BK78=1,10000000000+BL78,BH78)-ROW()/10000000,"")</f>
        <v>1114830126.03674</v>
      </c>
      <c r="BN78" s="58"/>
      <c r="BY78" s="59" t="n">
        <f aca="false">IFERROR(MATCH(SMALL(Calcul!$P$60:$P$184,19),Calcul!$P$60:$P$184,0),0)</f>
        <v>56</v>
      </c>
    </row>
    <row r="79" customFormat="false" ht="15" hidden="false" customHeight="false" outlineLevel="0" collapsed="false">
      <c r="M79" s="0" t="str">
        <f aca="false">IF(AND(ISNUMBER('Liste outils'!$E$25),Convertisseur!$C$14&gt;0),IF(ABS('Liste outils'!$E$25-Convertisseur!$C$14)&lt;0.0005,COUNTIFS('Liste outils'!$E$6:$E25,"&gt;"&amp;(Convertisseur!$C$14-0.0005),'Liste outils'!$E$6:$E25,"&lt;"&amp;(Convertisseur!$C$14+0.0005)),""),"")</f>
        <v/>
      </c>
      <c r="N79" s="0" t="str">
        <f aca="false">IF(AND(ISNUMBER('Liste outils'!$E$25),Convertisseur!$C$15&gt;0),IF(ABS('Liste outils'!$E$25-Convertisseur!$C$15)&lt;0.0005,COUNTIFS('Liste outils'!$E$6:$E25,"&gt;"&amp;(Convertisseur!$C$15-0.0005),'Liste outils'!$E$6:$E25,"&lt;"&amp;(Convertisseur!$C$15+0.0005)),""),"")</f>
        <v/>
      </c>
      <c r="O79" s="0" t="str">
        <f aca="false">IF(AND(ISNUMBER('Liste outils'!$E$25),Convertisseur!$C$16&gt;0),IF(ABS('Liste outils'!$E$25-Convertisseur!$C$16)&lt;0.0005,COUNTIFS('Liste outils'!$E$6:$E25,"&gt;"&amp;(Convertisseur!$C$16-0.0005),'Liste outils'!$E$6:$E25,"&lt;"&amp;(Convertisseur!$C$16+0.0005)),""),"")</f>
        <v/>
      </c>
      <c r="P79" s="58" t="n">
        <f aca="false">IF(AND(OR('Recherche outils'!$B$5="Tous",'Recherche outils'!$B$5='Liste outils'!$C$25),OR(TRIM('Recherche outils'!$B$4&amp;"")="",ISNUMBER(SEARCH(TRIM('Recherche outils'!$B$4&amp;""),'Liste outils'!$B$25&amp;" "&amp;'Liste outils'!$C$25&amp;" "&amp;'Liste outils'!$J$25&amp;" "&amp;'Liste outils'!$O$25&amp;" "&amp;'Liste outils'!$P$25&amp;" "&amp;'Liste outils'!$Q$25&amp;" "&amp;'Liste outils'!$AA$25&amp;" "&amp;'Liste outils'!$AB$25&amp;" "&amp;'Liste outils'!$AC$25&amp;" "&amp;'Liste outils'!$T$25))),OR(NOT(ISNUMBER(Calcul!$L$11)),AND(ISNUMBER('Liste outils'!$E$25),ABS('Liste outils'!$E$25-IF(ISNUMBER(Calcul!$L$11),Calcul!$L$11,0))&lt;0.002)),OR(NOT(ISNUMBER(Calcul!$O$11)),AND(ISNUMBER('Liste outils'!$H$25),'Liste outils'!$H$25+0.000001&gt;=IF(ISNUMBER(Calcul!$O$11),Calcul!$O$11,0)))),IF(ISNUMBER('Liste outils'!$E$25),'Liste outils'!$E$25,99)*100000+IF(ISNUMBER('Liste outils'!$H$25),'Liste outils'!$H$25,99)*100+20/1000,"")</f>
        <v>97400.02</v>
      </c>
      <c r="R79" s="58" t="s">
        <v>357</v>
      </c>
      <c r="S79" s="58" t="n">
        <v>0.5</v>
      </c>
      <c r="T79" s="58" t="n">
        <v>1.625</v>
      </c>
      <c r="U79" s="58" t="n">
        <v>1</v>
      </c>
      <c r="V79" s="58" t="s">
        <v>724</v>
      </c>
      <c r="W79" s="58" t="s">
        <v>40</v>
      </c>
      <c r="X79" s="58" t="s">
        <v>358</v>
      </c>
      <c r="Y79" s="58" t="s">
        <v>359</v>
      </c>
      <c r="Z79" s="58"/>
      <c r="AA79" s="58" t="s">
        <v>285</v>
      </c>
      <c r="AB79" s="58" t="s">
        <v>465</v>
      </c>
      <c r="AC79" s="58" t="n">
        <v>0.012</v>
      </c>
      <c r="AD79" s="58" t="n">
        <v>0.016</v>
      </c>
      <c r="AE79" s="58" t="n">
        <v>0</v>
      </c>
      <c r="AF79" s="58" t="n">
        <v>1</v>
      </c>
      <c r="AG79" s="58" t="n">
        <v>0</v>
      </c>
      <c r="AH79" s="58" t="n">
        <v>18000</v>
      </c>
      <c r="AI79" s="58"/>
      <c r="AJ79" s="58" t="n">
        <v>0.0096</v>
      </c>
      <c r="AK79" s="58" t="n">
        <v>0.0144</v>
      </c>
      <c r="AL79" s="58" t="n">
        <v>0</v>
      </c>
      <c r="AM79" s="58" t="n">
        <v>0</v>
      </c>
      <c r="AN79" s="58" t="n">
        <v>1</v>
      </c>
      <c r="AO79" s="58" t="n">
        <v>0</v>
      </c>
      <c r="AP79" s="58" t="str">
        <f aca="false">IF(Calcul!$I$5=1,AB79,AI79)</f>
        <v>63-700</v>
      </c>
      <c r="AQ79" s="58" t="n">
        <f aca="false">IF(Calcul!$I$5=1,AC79,AJ79)</f>
        <v>0.012</v>
      </c>
      <c r="AR79" s="58" t="n">
        <f aca="false">IF(Calcul!$I$5=1,AD79,AK79)</f>
        <v>0.016</v>
      </c>
      <c r="AS79" s="58" t="n">
        <f aca="false">IF(Calcul!$I$5=1,AE79,AL79)</f>
        <v>0</v>
      </c>
      <c r="AT79" s="58" t="n">
        <f aca="false">IF(Calcul!$I$5=1,AF79,AM79)</f>
        <v>1</v>
      </c>
      <c r="AU79" s="58" t="n">
        <f aca="false">IF(Calcul!$I$5=1,AG79,AN79)</f>
        <v>0</v>
      </c>
      <c r="AV79" s="58" t="n">
        <f aca="false">IF(Calcul!$I$5=1,AH79,AO79)</f>
        <v>18000</v>
      </c>
      <c r="AW79" s="58" t="n">
        <f aca="false">IF(Calcul!$I$10&gt;0,MAX(1,ROUNDUP(Calcul!$I$10/S79-0.000001,0)),1)</f>
        <v>1</v>
      </c>
      <c r="AX79" s="58" t="n">
        <f aca="false">IF(Calcul!$I$10&gt;0,Calcul!$I$10/AW79,0)</f>
        <v>0.5</v>
      </c>
      <c r="AY79" s="58" t="n">
        <f aca="false">IF(Calcul!$I$10&gt;0,AX79/S79,1)</f>
        <v>1</v>
      </c>
      <c r="AZ79" s="58" t="n">
        <f aca="false">IF(AY79&lt;=1.0001,1,IF(AY79&lt;=2.0001,0.75,0.5))</f>
        <v>1</v>
      </c>
      <c r="BA79" s="58" t="n">
        <f aca="false">(AQ79+AR79)/2*AZ79</f>
        <v>0.014</v>
      </c>
      <c r="BB79" s="58" t="n">
        <f aca="false">IF(Calcul!$I$10&gt;0,IF(ISNUMBER(T79),IF(T79+0.000001&gt;=Calcul!$I$10,1,0),2),2)</f>
        <v>1</v>
      </c>
      <c r="BC79" s="58" t="n">
        <f aca="false">IF(AND(V79=Calcul!$I$8,ISNUMBER(U79),OR(AP79&lt;&gt;"",AT79=1),IF(Calcul!$I$8="straight",IF(Calcul!$I$10&gt;0,BB79=1,TRUE()),BB79&lt;&gt;0)),1,0)</f>
        <v>1</v>
      </c>
      <c r="BD79" s="58" t="n">
        <f aca="false">IF(AND(Calcul!$I$8="straight",ISNUMBER(SEARCH(Calcul!$I$9,W79))),1,0)</f>
        <v>1</v>
      </c>
      <c r="BE79" s="58" t="n">
        <f aca="false">IF(ABS(S79-0.5)&lt;0.0005,IF(Calcul!$I$7=2,18000,20000),IF(AND(Calcul!$I$6=1,Calcul!$I$7=2),17000,23000))</f>
        <v>20000</v>
      </c>
      <c r="BF79" s="58" t="n">
        <f aca="false">IF(ISNUMBER(U79),BE79*U79*BA79,0)</f>
        <v>280</v>
      </c>
      <c r="BG79" s="58" t="n">
        <f aca="false">BF79/AW79</f>
        <v>280</v>
      </c>
      <c r="BH79" s="58" t="n">
        <f aca="false">BD79*1000000000+IF(AP79&lt;&gt;"",100000000,0)+AT79*10000000+(50-MIN(AW79,49))*100000+AS79*10000+MIN(ROUND(BG79,0),9999)+S79/10-IF(ISNUMBER(T79),T79,9)/1000</f>
        <v>1114900280.04838</v>
      </c>
      <c r="BI79" s="58" t="n">
        <f aca="false">IF(AND(Calcul!$I$10&gt;0,ISNUMBER(T79)),T79-Calcul!$I$10,99)</f>
        <v>1.125</v>
      </c>
      <c r="BJ79" s="58" t="n">
        <f aca="false">IF(BC79=1,BD79*10000000-ROUND(BI79*1000,0)*1000+MIN(BH79/10000000,999),"")</f>
        <v>8875111.49002801</v>
      </c>
      <c r="BK79" s="58" t="n">
        <f aca="false">IF(BC79=1,IF(BJ79=_xlfn.MAXIFS(Calcul!$BJ$60:$BJ$110,Calcul!$S$60:$S$110,S79,Calcul!$BC$60:$BC$110,1),1,0),0)</f>
        <v>0</v>
      </c>
      <c r="BL79" s="58" t="n">
        <f aca="false">IF(BC79=1,_xlfn.MAXIFS(Calcul!$BH$60:$BH$110,Calcul!$S$60:$S$110,S79,Calcul!$BC$60:$BC$110,1),0)</f>
        <v>1114900280.04913</v>
      </c>
      <c r="BM79" s="58" t="n">
        <f aca="false">IF(BC79=1,IF(BK79=1,10000000000+BL79,BH79)-ROW()/10000000,"")</f>
        <v>1114900280.04837</v>
      </c>
      <c r="BN79" s="58"/>
      <c r="BY79" s="59" t="n">
        <f aca="false">IFERROR(MATCH(SMALL(Calcul!$P$60:$P$184,20),Calcul!$P$60:$P$184,0),0)</f>
        <v>57</v>
      </c>
    </row>
    <row r="80" customFormat="false" ht="15" hidden="false" customHeight="false" outlineLevel="0" collapsed="false">
      <c r="M80" s="0" t="str">
        <f aca="false">IF(AND(ISNUMBER('Liste outils'!$E$26),Convertisseur!$C$14&gt;0),IF(ABS('Liste outils'!$E$26-Convertisseur!$C$14)&lt;0.0005,COUNTIFS('Liste outils'!$E$6:$E26,"&gt;"&amp;(Convertisseur!$C$14-0.0005),'Liste outils'!$E$6:$E26,"&lt;"&amp;(Convertisseur!$C$14+0.0005)),""),"")</f>
        <v/>
      </c>
      <c r="N80" s="0" t="str">
        <f aca="false">IF(AND(ISNUMBER('Liste outils'!$E$26),Convertisseur!$C$15&gt;0),IF(ABS('Liste outils'!$E$26-Convertisseur!$C$15)&lt;0.0005,COUNTIFS('Liste outils'!$E$6:$E26,"&gt;"&amp;(Convertisseur!$C$15-0.0005),'Liste outils'!$E$6:$E26,"&lt;"&amp;(Convertisseur!$C$15+0.0005)),""),"")</f>
        <v/>
      </c>
      <c r="O80" s="0" t="str">
        <f aca="false">IF(AND(ISNUMBER('Liste outils'!$E$26),Convertisseur!$C$16&gt;0),IF(ABS('Liste outils'!$E$26-Convertisseur!$C$16)&lt;0.0005,COUNTIFS('Liste outils'!$E$6:$E26,"&gt;"&amp;(Convertisseur!$C$16-0.0005),'Liste outils'!$E$6:$E26,"&lt;"&amp;(Convertisseur!$C$16+0.0005)),""),"")</f>
        <v/>
      </c>
      <c r="P80" s="58" t="n">
        <f aca="false">IF(AND(OR('Recherche outils'!$B$5="Tous",'Recherche outils'!$B$5='Liste outils'!$C$26),OR(TRIM('Recherche outils'!$B$4&amp;"")="",ISNUMBER(SEARCH(TRIM('Recherche outils'!$B$4&amp;""),'Liste outils'!$B$26&amp;" "&amp;'Liste outils'!$C$26&amp;" "&amp;'Liste outils'!$J$26&amp;" "&amp;'Liste outils'!$O$26&amp;" "&amp;'Liste outils'!$P$26&amp;" "&amp;'Liste outils'!$Q$26&amp;" "&amp;'Liste outils'!$AA$26&amp;" "&amp;'Liste outils'!$AB$26&amp;" "&amp;'Liste outils'!$AC$26&amp;" "&amp;'Liste outils'!$T$26))),OR(NOT(ISNUMBER(Calcul!$L$11)),AND(ISNUMBER('Liste outils'!$E$26),ABS('Liste outils'!$E$26-IF(ISNUMBER(Calcul!$L$11),Calcul!$L$11,0))&lt;0.002)),OR(NOT(ISNUMBER(Calcul!$O$11)),AND(ISNUMBER('Liste outils'!$H$26),'Liste outils'!$H$26+0.000001&gt;=IF(ISNUMBER(Calcul!$O$11),Calcul!$O$11,0)))),IF(ISNUMBER('Liste outils'!$E$26),'Liste outils'!$E$26,99)*100000+IF(ISNUMBER('Liste outils'!$H$26),'Liste outils'!$H$26,99)*100+21/1000,"")</f>
        <v>9909900.021</v>
      </c>
      <c r="R80" s="58" t="s">
        <v>360</v>
      </c>
      <c r="S80" s="58" t="n">
        <v>0.375</v>
      </c>
      <c r="T80" s="58" t="n">
        <v>1.5</v>
      </c>
      <c r="U80" s="58" t="n">
        <v>1</v>
      </c>
      <c r="V80" s="58" t="s">
        <v>724</v>
      </c>
      <c r="W80" s="58" t="s">
        <v>40</v>
      </c>
      <c r="X80" s="58" t="s">
        <v>733</v>
      </c>
      <c r="Y80" s="58" t="s">
        <v>362</v>
      </c>
      <c r="Z80" s="58"/>
      <c r="AA80" s="58" t="s">
        <v>285</v>
      </c>
      <c r="AB80" s="58"/>
      <c r="AC80" s="58" t="n">
        <v>0.006</v>
      </c>
      <c r="AD80" s="58" t="n">
        <v>0.009</v>
      </c>
      <c r="AE80" s="58" t="n">
        <v>0</v>
      </c>
      <c r="AF80" s="58" t="n">
        <v>1</v>
      </c>
      <c r="AG80" s="58" t="n">
        <v>1</v>
      </c>
      <c r="AH80" s="58" t="n">
        <v>0</v>
      </c>
      <c r="AI80" s="58"/>
      <c r="AJ80" s="58" t="n">
        <v>0.0072</v>
      </c>
      <c r="AK80" s="58" t="n">
        <v>0.0108</v>
      </c>
      <c r="AL80" s="58" t="n">
        <v>0</v>
      </c>
      <c r="AM80" s="58" t="n">
        <v>0</v>
      </c>
      <c r="AN80" s="58" t="n">
        <v>1</v>
      </c>
      <c r="AO80" s="58" t="n">
        <v>0</v>
      </c>
      <c r="AP80" s="58" t="n">
        <f aca="false">IF(Calcul!$I$5=1,AB80,AI80)</f>
        <v>0</v>
      </c>
      <c r="AQ80" s="58" t="n">
        <f aca="false">IF(Calcul!$I$5=1,AC80,AJ80)</f>
        <v>0.006</v>
      </c>
      <c r="AR80" s="58" t="n">
        <f aca="false">IF(Calcul!$I$5=1,AD80,AK80)</f>
        <v>0.009</v>
      </c>
      <c r="AS80" s="58" t="n">
        <f aca="false">IF(Calcul!$I$5=1,AE80,AL80)</f>
        <v>0</v>
      </c>
      <c r="AT80" s="58" t="n">
        <f aca="false">IF(Calcul!$I$5=1,AF80,AM80)</f>
        <v>1</v>
      </c>
      <c r="AU80" s="58" t="n">
        <f aca="false">IF(Calcul!$I$5=1,AG80,AN80)</f>
        <v>1</v>
      </c>
      <c r="AV80" s="58" t="n">
        <f aca="false">IF(Calcul!$I$5=1,AH80,AO80)</f>
        <v>0</v>
      </c>
      <c r="AW80" s="58" t="n">
        <f aca="false">IF(Calcul!$I$10&gt;0,MAX(1,ROUNDUP(Calcul!$I$10/S80-0.000001,0)),1)</f>
        <v>2</v>
      </c>
      <c r="AX80" s="58" t="n">
        <f aca="false">IF(Calcul!$I$10&gt;0,Calcul!$I$10/AW80,0)</f>
        <v>0.25</v>
      </c>
      <c r="AY80" s="58" t="n">
        <f aca="false">IF(Calcul!$I$10&gt;0,AX80/S80,1)</f>
        <v>0.666666666666667</v>
      </c>
      <c r="AZ80" s="58" t="n">
        <f aca="false">IF(AY80&lt;=1.0001,1,IF(AY80&lt;=2.0001,0.75,0.5))</f>
        <v>1</v>
      </c>
      <c r="BA80" s="58" t="n">
        <f aca="false">(AQ80+AR80)/2*AZ80</f>
        <v>0.0075</v>
      </c>
      <c r="BB80" s="58" t="n">
        <f aca="false">IF(Calcul!$I$10&gt;0,IF(ISNUMBER(T80),IF(T80+0.000001&gt;=Calcul!$I$10,1,0),2),2)</f>
        <v>1</v>
      </c>
      <c r="BC80" s="58" t="n">
        <f aca="false">IF(AND(V80=Calcul!$I$8,ISNUMBER(U80),OR(AP80&lt;&gt;"",AT80=1),IF(Calcul!$I$8="straight",IF(Calcul!$I$10&gt;0,BB80=1,TRUE()),BB80&lt;&gt;0)),1,0)</f>
        <v>1</v>
      </c>
      <c r="BD80" s="58" t="n">
        <f aca="false">IF(AND(Calcul!$I$8="straight",ISNUMBER(SEARCH(Calcul!$I$9,W80))),1,0)</f>
        <v>1</v>
      </c>
      <c r="BE80" s="58" t="n">
        <f aca="false">IF(ABS(S80-0.5)&lt;0.0005,IF(Calcul!$I$7=2,18000,20000),IF(AND(Calcul!$I$6=1,Calcul!$I$7=2),17000,23000))</f>
        <v>23000</v>
      </c>
      <c r="BF80" s="58" t="n">
        <f aca="false">IF(ISNUMBER(U80),BE80*U80*BA80,0)</f>
        <v>172.5</v>
      </c>
      <c r="BG80" s="58" t="n">
        <f aca="false">BF80/AW80</f>
        <v>86.25</v>
      </c>
      <c r="BH80" s="58" t="n">
        <f aca="false">BD80*1000000000+IF(AP80&lt;&gt;"",100000000,0)+AT80*10000000+(50-MIN(AW80,49))*100000+AS80*10000+MIN(ROUND(BG80,0),9999)+S80/10-IF(ISNUMBER(T80),T80,9)/1000</f>
        <v>1014800086.036</v>
      </c>
      <c r="BI80" s="58" t="n">
        <f aca="false">IF(AND(Calcul!$I$10&gt;0,ISNUMBER(T80)),T80-Calcul!$I$10,99)</f>
        <v>1</v>
      </c>
      <c r="BJ80" s="58" t="n">
        <f aca="false">IF(BC80=1,BD80*10000000-ROUND(BI80*1000,0)*1000+MIN(BH80/10000000,999),"")</f>
        <v>9000101.4800086</v>
      </c>
      <c r="BK80" s="58" t="n">
        <f aca="false">IF(BC80=1,IF(BJ80=_xlfn.MAXIFS(Calcul!$BJ$60:$BJ$110,Calcul!$S$60:$S$110,S80,Calcul!$BC$60:$BC$110,1),1,0),0)</f>
        <v>0</v>
      </c>
      <c r="BL80" s="58" t="n">
        <f aca="false">IF(BC80=1,_xlfn.MAXIFS(Calcul!$BH$60:$BH$110,Calcul!$S$60:$S$110,S80,Calcul!$BC$60:$BC$110,1),0)</f>
        <v>1114830126.03675</v>
      </c>
      <c r="BM80" s="58" t="n">
        <f aca="false">IF(BC80=1,IF(BK80=1,10000000000+BL80,BH80)-ROW()/10000000,"")</f>
        <v>1014800086.03599</v>
      </c>
      <c r="BN80" s="58"/>
      <c r="BY80" s="59" t="n">
        <f aca="false">IFERROR(MATCH(SMALL(Calcul!$P$60:$P$184,21),Calcul!$P$60:$P$184,0),0)</f>
        <v>55</v>
      </c>
    </row>
    <row r="81" customFormat="false" ht="15" hidden="false" customHeight="false" outlineLevel="0" collapsed="false">
      <c r="M81" s="0" t="str">
        <f aca="false">IF(AND(ISNUMBER('Liste outils'!$E$27),Convertisseur!$C$14&gt;0),IF(ABS('Liste outils'!$E$27-Convertisseur!$C$14)&lt;0.0005,COUNTIFS('Liste outils'!$E$6:$E27,"&gt;"&amp;(Convertisseur!$C$14-0.0005),'Liste outils'!$E$6:$E27,"&lt;"&amp;(Convertisseur!$C$14+0.0005)),""),"")</f>
        <v/>
      </c>
      <c r="N81" s="0" t="str">
        <f aca="false">IF(AND(ISNUMBER('Liste outils'!$E$27),Convertisseur!$C$15&gt;0),IF(ABS('Liste outils'!$E$27-Convertisseur!$C$15)&lt;0.0005,COUNTIFS('Liste outils'!$E$6:$E27,"&gt;"&amp;(Convertisseur!$C$15-0.0005),'Liste outils'!$E$6:$E27,"&lt;"&amp;(Convertisseur!$C$15+0.0005)),""),"")</f>
        <v/>
      </c>
      <c r="O81" s="0" t="str">
        <f aca="false">IF(AND(ISNUMBER('Liste outils'!$E$27),Convertisseur!$C$16&gt;0),IF(ABS('Liste outils'!$E$27-Convertisseur!$C$16)&lt;0.0005,COUNTIFS('Liste outils'!$E$6:$E27,"&gt;"&amp;(Convertisseur!$C$16-0.0005),'Liste outils'!$E$6:$E27,"&lt;"&amp;(Convertisseur!$C$16+0.0005)),""),"")</f>
        <v/>
      </c>
      <c r="P81" s="58" t="n">
        <f aca="false">IF(AND(OR('Recherche outils'!$B$5="Tous",'Recherche outils'!$B$5='Liste outils'!$C$27),OR(TRIM('Recherche outils'!$B$4&amp;"")="",ISNUMBER(SEARCH(TRIM('Recherche outils'!$B$4&amp;""),'Liste outils'!$B$27&amp;" "&amp;'Liste outils'!$C$27&amp;" "&amp;'Liste outils'!$J$27&amp;" "&amp;'Liste outils'!$O$27&amp;" "&amp;'Liste outils'!$P$27&amp;" "&amp;'Liste outils'!$Q$27&amp;" "&amp;'Liste outils'!$AA$27&amp;" "&amp;'Liste outils'!$AB$27&amp;" "&amp;'Liste outils'!$AC$27&amp;" "&amp;'Liste outils'!$T$27))),OR(NOT(ISNUMBER(Calcul!$L$11)),AND(ISNUMBER('Liste outils'!$E$27),ABS('Liste outils'!$E$27-IF(ISNUMBER(Calcul!$L$11),Calcul!$L$11,0))&lt;0.002)),OR(NOT(ISNUMBER(Calcul!$O$11)),AND(ISNUMBER('Liste outils'!$H$27),'Liste outils'!$H$27+0.000001&gt;=IF(ISNUMBER(Calcul!$O$11),Calcul!$O$11,0)))),IF(ISNUMBER('Liste outils'!$E$27),'Liste outils'!$E$27,99)*100000+IF(ISNUMBER('Liste outils'!$H$27),'Liste outils'!$H$27,99)*100+22/1000,"")</f>
        <v>9909900.022</v>
      </c>
      <c r="R81" s="58" t="s">
        <v>363</v>
      </c>
      <c r="S81" s="58" t="n">
        <v>0.375</v>
      </c>
      <c r="T81" s="58" t="n">
        <v>0.875</v>
      </c>
      <c r="U81" s="58" t="n">
        <v>3</v>
      </c>
      <c r="V81" s="58" t="s">
        <v>724</v>
      </c>
      <c r="W81" s="58" t="s">
        <v>40</v>
      </c>
      <c r="X81" s="58" t="s">
        <v>734</v>
      </c>
      <c r="Y81" s="58" t="s">
        <v>366</v>
      </c>
      <c r="Z81" s="58"/>
      <c r="AA81" s="58" t="s">
        <v>285</v>
      </c>
      <c r="AB81" s="58"/>
      <c r="AC81" s="58" t="n">
        <v>0.006</v>
      </c>
      <c r="AD81" s="58" t="n">
        <v>0.009</v>
      </c>
      <c r="AE81" s="58" t="n">
        <v>0</v>
      </c>
      <c r="AF81" s="58" t="n">
        <v>0</v>
      </c>
      <c r="AG81" s="58" t="n">
        <v>1</v>
      </c>
      <c r="AH81" s="58" t="n">
        <v>0</v>
      </c>
      <c r="AI81" s="58"/>
      <c r="AJ81" s="58" t="n">
        <v>0.0072</v>
      </c>
      <c r="AK81" s="58" t="n">
        <v>0.0108</v>
      </c>
      <c r="AL81" s="58" t="n">
        <v>0</v>
      </c>
      <c r="AM81" s="58" t="n">
        <v>0</v>
      </c>
      <c r="AN81" s="58" t="n">
        <v>1</v>
      </c>
      <c r="AO81" s="58" t="n">
        <v>0</v>
      </c>
      <c r="AP81" s="58" t="n">
        <f aca="false">IF(Calcul!$I$5=1,AB81,AI81)</f>
        <v>0</v>
      </c>
      <c r="AQ81" s="58" t="n">
        <f aca="false">IF(Calcul!$I$5=1,AC81,AJ81)</f>
        <v>0.006</v>
      </c>
      <c r="AR81" s="58" t="n">
        <f aca="false">IF(Calcul!$I$5=1,AD81,AK81)</f>
        <v>0.009</v>
      </c>
      <c r="AS81" s="58" t="n">
        <f aca="false">IF(Calcul!$I$5=1,AE81,AL81)</f>
        <v>0</v>
      </c>
      <c r="AT81" s="58" t="n">
        <f aca="false">IF(Calcul!$I$5=1,AF81,AM81)</f>
        <v>0</v>
      </c>
      <c r="AU81" s="58" t="n">
        <f aca="false">IF(Calcul!$I$5=1,AG81,AN81)</f>
        <v>1</v>
      </c>
      <c r="AV81" s="58" t="n">
        <f aca="false">IF(Calcul!$I$5=1,AH81,AO81)</f>
        <v>0</v>
      </c>
      <c r="AW81" s="58" t="n">
        <f aca="false">IF(Calcul!$I$10&gt;0,MAX(1,ROUNDUP(Calcul!$I$10/S81-0.000001,0)),1)</f>
        <v>2</v>
      </c>
      <c r="AX81" s="58" t="n">
        <f aca="false">IF(Calcul!$I$10&gt;0,Calcul!$I$10/AW81,0)</f>
        <v>0.25</v>
      </c>
      <c r="AY81" s="58" t="n">
        <f aca="false">IF(Calcul!$I$10&gt;0,AX81/S81,1)</f>
        <v>0.666666666666667</v>
      </c>
      <c r="AZ81" s="58" t="n">
        <f aca="false">IF(AY81&lt;=1.0001,1,IF(AY81&lt;=2.0001,0.75,0.5))</f>
        <v>1</v>
      </c>
      <c r="BA81" s="58" t="n">
        <f aca="false">(AQ81+AR81)/2*AZ81</f>
        <v>0.0075</v>
      </c>
      <c r="BB81" s="58" t="n">
        <f aca="false">IF(Calcul!$I$10&gt;0,IF(ISNUMBER(T81),IF(T81+0.000001&gt;=Calcul!$I$10,1,0),2),2)</f>
        <v>1</v>
      </c>
      <c r="BC81" s="58" t="n">
        <f aca="false">IF(AND(V81=Calcul!$I$8,ISNUMBER(U81),OR(AP81&lt;&gt;"",AT81=1),IF(Calcul!$I$8="straight",IF(Calcul!$I$10&gt;0,BB81=1,TRUE()),BB81&lt;&gt;0)),1,0)</f>
        <v>0</v>
      </c>
      <c r="BD81" s="58" t="n">
        <f aca="false">IF(AND(Calcul!$I$8="straight",ISNUMBER(SEARCH(Calcul!$I$9,W81))),1,0)</f>
        <v>1</v>
      </c>
      <c r="BE81" s="58" t="n">
        <f aca="false">IF(ABS(S81-0.5)&lt;0.0005,IF(Calcul!$I$7=2,18000,20000),IF(AND(Calcul!$I$6=1,Calcul!$I$7=2),17000,23000))</f>
        <v>23000</v>
      </c>
      <c r="BF81" s="58" t="n">
        <f aca="false">IF(ISNUMBER(U81),BE81*U81*BA81,0)</f>
        <v>517.5</v>
      </c>
      <c r="BG81" s="58" t="n">
        <f aca="false">BF81/AW81</f>
        <v>258.75</v>
      </c>
      <c r="BH81" s="58" t="n">
        <f aca="false">BD81*1000000000+IF(AP81&lt;&gt;"",100000000,0)+AT81*10000000+(50-MIN(AW81,49))*100000+AS81*10000+MIN(ROUND(BG81,0),9999)+S81/10-IF(ISNUMBER(T81),T81,9)/1000</f>
        <v>1004800259.03663</v>
      </c>
      <c r="BI81" s="58" t="n">
        <f aca="false">IF(AND(Calcul!$I$10&gt;0,ISNUMBER(T81)),T81-Calcul!$I$10,99)</f>
        <v>0.375</v>
      </c>
      <c r="BJ81" s="58" t="str">
        <f aca="false">IF(BC81=1,BD81*10000000-ROUND(BI81*1000,0)*1000+MIN(BH81/10000000,999),"")</f>
        <v/>
      </c>
      <c r="BK81" s="58" t="n">
        <f aca="false">IF(BC81=1,IF(BJ81=_xlfn.MAXIFS(Calcul!$BJ$60:$BJ$110,Calcul!$S$60:$S$110,S81,Calcul!$BC$60:$BC$110,1),1,0),0)</f>
        <v>0</v>
      </c>
      <c r="BL81" s="58" t="n">
        <f aca="false">IF(BC81=1,_xlfn.MAXIFS(Calcul!$BH$60:$BH$110,Calcul!$S$60:$S$110,S81,Calcul!$BC$60:$BC$110,1),0)</f>
        <v>0</v>
      </c>
      <c r="BM81" s="58" t="str">
        <f aca="false">IF(BC81=1,IF(BK81=1,10000000000+BL81,BH81)-ROW()/10000000,"")</f>
        <v/>
      </c>
      <c r="BN81" s="58"/>
      <c r="BY81" s="59" t="n">
        <f aca="false">IFERROR(MATCH(SMALL(Calcul!$P$60:$P$184,22),Calcul!$P$60:$P$184,0),0)</f>
        <v>23</v>
      </c>
    </row>
    <row r="82" customFormat="false" ht="15" hidden="false" customHeight="false" outlineLevel="0" collapsed="false">
      <c r="M82" s="0" t="str">
        <f aca="false">IF(AND(ISNUMBER('Liste outils'!$E$28),Convertisseur!$C$14&gt;0),IF(ABS('Liste outils'!$E$28-Convertisseur!$C$14)&lt;0.0005,COUNTIFS('Liste outils'!$E$6:$E28,"&gt;"&amp;(Convertisseur!$C$14-0.0005),'Liste outils'!$E$6:$E28,"&lt;"&amp;(Convertisseur!$C$14+0.0005)),""),"")</f>
        <v/>
      </c>
      <c r="N82" s="0" t="n">
        <f aca="false">IF(AND(ISNUMBER('Liste outils'!$E$28),Convertisseur!$C$15&gt;0),IF(ABS('Liste outils'!$E$28-Convertisseur!$C$15)&lt;0.0005,COUNTIFS('Liste outils'!$E$6:$E28,"&gt;"&amp;(Convertisseur!$C$15-0.0005),'Liste outils'!$E$6:$E28,"&lt;"&amp;(Convertisseur!$C$15+0.0005)),""),"")</f>
        <v>1</v>
      </c>
      <c r="O82" s="0" t="str">
        <f aca="false">IF(AND(ISNUMBER('Liste outils'!$E$28),Convertisseur!$C$16&gt;0),IF(ABS('Liste outils'!$E$28-Convertisseur!$C$16)&lt;0.0005,COUNTIFS('Liste outils'!$E$6:$E28,"&gt;"&amp;(Convertisseur!$C$16-0.0005),'Liste outils'!$E$6:$E28,"&lt;"&amp;(Convertisseur!$C$16+0.0005)),""),"")</f>
        <v/>
      </c>
      <c r="P82" s="58" t="n">
        <f aca="false">IF(AND(OR('Recherche outils'!$B$5="Tous",'Recherche outils'!$B$5='Liste outils'!$C$28),OR(TRIM('Recherche outils'!$B$4&amp;"")="",ISNUMBER(SEARCH(TRIM('Recherche outils'!$B$4&amp;""),'Liste outils'!$B$28&amp;" "&amp;'Liste outils'!$C$28&amp;" "&amp;'Liste outils'!$J$28&amp;" "&amp;'Liste outils'!$O$28&amp;" "&amp;'Liste outils'!$P$28&amp;" "&amp;'Liste outils'!$Q$28&amp;" "&amp;'Liste outils'!$AA$28&amp;" "&amp;'Liste outils'!$AB$28&amp;" "&amp;'Liste outils'!$AC$28&amp;" "&amp;'Liste outils'!$T$28))),OR(NOT(ISNUMBER(Calcul!$L$11)),AND(ISNUMBER('Liste outils'!$E$28),ABS('Liste outils'!$E$28-IF(ISNUMBER(Calcul!$L$11),Calcul!$L$11,0))&lt;0.002)),OR(NOT(ISNUMBER(Calcul!$O$11)),AND(ISNUMBER('Liste outils'!$H$28),'Liste outils'!$H$28+0.000001&gt;=IF(ISNUMBER(Calcul!$O$11),Calcul!$O$11,0)))),IF(ISNUMBER('Liste outils'!$E$28),'Liste outils'!$E$28,99)*100000+IF(ISNUMBER('Liste outils'!$H$28),'Liste outils'!$H$28,99)*100+23/1000,"")</f>
        <v>25025.413</v>
      </c>
      <c r="R82" s="58" t="s">
        <v>367</v>
      </c>
      <c r="S82" s="58" t="n">
        <v>0.375</v>
      </c>
      <c r="T82" s="58" t="n">
        <v>1.5</v>
      </c>
      <c r="U82" s="58" t="n">
        <v>3</v>
      </c>
      <c r="V82" s="58" t="s">
        <v>724</v>
      </c>
      <c r="W82" s="58" t="s">
        <v>40</v>
      </c>
      <c r="X82" s="58" t="s">
        <v>735</v>
      </c>
      <c r="Y82" s="58" t="s">
        <v>368</v>
      </c>
      <c r="Z82" s="58" t="s">
        <v>369</v>
      </c>
      <c r="AA82" s="58" t="s">
        <v>285</v>
      </c>
      <c r="AB82" s="58"/>
      <c r="AC82" s="58" t="n">
        <v>0.006</v>
      </c>
      <c r="AD82" s="58" t="n">
        <v>0.009</v>
      </c>
      <c r="AE82" s="58" t="n">
        <v>0</v>
      </c>
      <c r="AF82" s="58" t="n">
        <v>0</v>
      </c>
      <c r="AG82" s="58" t="n">
        <v>1</v>
      </c>
      <c r="AH82" s="58" t="n">
        <v>0</v>
      </c>
      <c r="AI82" s="58"/>
      <c r="AJ82" s="58" t="n">
        <v>0.0072</v>
      </c>
      <c r="AK82" s="58" t="n">
        <v>0.0108</v>
      </c>
      <c r="AL82" s="58" t="n">
        <v>0</v>
      </c>
      <c r="AM82" s="58" t="n">
        <v>0</v>
      </c>
      <c r="AN82" s="58" t="n">
        <v>1</v>
      </c>
      <c r="AO82" s="58" t="n">
        <v>0</v>
      </c>
      <c r="AP82" s="58" t="n">
        <f aca="false">IF(Calcul!$I$5=1,AB82,AI82)</f>
        <v>0</v>
      </c>
      <c r="AQ82" s="58" t="n">
        <f aca="false">IF(Calcul!$I$5=1,AC82,AJ82)</f>
        <v>0.006</v>
      </c>
      <c r="AR82" s="58" t="n">
        <f aca="false">IF(Calcul!$I$5=1,AD82,AK82)</f>
        <v>0.009</v>
      </c>
      <c r="AS82" s="58" t="n">
        <f aca="false">IF(Calcul!$I$5=1,AE82,AL82)</f>
        <v>0</v>
      </c>
      <c r="AT82" s="58" t="n">
        <f aca="false">IF(Calcul!$I$5=1,AF82,AM82)</f>
        <v>0</v>
      </c>
      <c r="AU82" s="58" t="n">
        <f aca="false">IF(Calcul!$I$5=1,AG82,AN82)</f>
        <v>1</v>
      </c>
      <c r="AV82" s="58" t="n">
        <f aca="false">IF(Calcul!$I$5=1,AH82,AO82)</f>
        <v>0</v>
      </c>
      <c r="AW82" s="58" t="n">
        <f aca="false">IF(Calcul!$I$10&gt;0,MAX(1,ROUNDUP(Calcul!$I$10/S82-0.000001,0)),1)</f>
        <v>2</v>
      </c>
      <c r="AX82" s="58" t="n">
        <f aca="false">IF(Calcul!$I$10&gt;0,Calcul!$I$10/AW82,0)</f>
        <v>0.25</v>
      </c>
      <c r="AY82" s="58" t="n">
        <f aca="false">IF(Calcul!$I$10&gt;0,AX82/S82,1)</f>
        <v>0.666666666666667</v>
      </c>
      <c r="AZ82" s="58" t="n">
        <f aca="false">IF(AY82&lt;=1.0001,1,IF(AY82&lt;=2.0001,0.75,0.5))</f>
        <v>1</v>
      </c>
      <c r="BA82" s="58" t="n">
        <f aca="false">(AQ82+AR82)/2*AZ82</f>
        <v>0.0075</v>
      </c>
      <c r="BB82" s="58" t="n">
        <f aca="false">IF(Calcul!$I$10&gt;0,IF(ISNUMBER(T82),IF(T82+0.000001&gt;=Calcul!$I$10,1,0),2),2)</f>
        <v>1</v>
      </c>
      <c r="BC82" s="58" t="n">
        <f aca="false">IF(AND(V82=Calcul!$I$8,ISNUMBER(U82),OR(AP82&lt;&gt;"",AT82=1),IF(Calcul!$I$8="straight",IF(Calcul!$I$10&gt;0,BB82=1,TRUE()),BB82&lt;&gt;0)),1,0)</f>
        <v>0</v>
      </c>
      <c r="BD82" s="58" t="n">
        <f aca="false">IF(AND(Calcul!$I$8="straight",ISNUMBER(SEARCH(Calcul!$I$9,W82))),1,0)</f>
        <v>1</v>
      </c>
      <c r="BE82" s="58" t="n">
        <f aca="false">IF(ABS(S82-0.5)&lt;0.0005,IF(Calcul!$I$7=2,18000,20000),IF(AND(Calcul!$I$6=1,Calcul!$I$7=2),17000,23000))</f>
        <v>23000</v>
      </c>
      <c r="BF82" s="58" t="n">
        <f aca="false">IF(ISNUMBER(U82),BE82*U82*BA82,0)</f>
        <v>517.5</v>
      </c>
      <c r="BG82" s="58" t="n">
        <f aca="false">BF82/AW82</f>
        <v>258.75</v>
      </c>
      <c r="BH82" s="58" t="n">
        <f aca="false">BD82*1000000000+IF(AP82&lt;&gt;"",100000000,0)+AT82*10000000+(50-MIN(AW82,49))*100000+AS82*10000+MIN(ROUND(BG82,0),9999)+S82/10-IF(ISNUMBER(T82),T82,9)/1000</f>
        <v>1004800259.036</v>
      </c>
      <c r="BI82" s="58" t="n">
        <f aca="false">IF(AND(Calcul!$I$10&gt;0,ISNUMBER(T82)),T82-Calcul!$I$10,99)</f>
        <v>1</v>
      </c>
      <c r="BJ82" s="58" t="str">
        <f aca="false">IF(BC82=1,BD82*10000000-ROUND(BI82*1000,0)*1000+MIN(BH82/10000000,999),"")</f>
        <v/>
      </c>
      <c r="BK82" s="58" t="n">
        <f aca="false">IF(BC82=1,IF(BJ82=_xlfn.MAXIFS(Calcul!$BJ$60:$BJ$110,Calcul!$S$60:$S$110,S82,Calcul!$BC$60:$BC$110,1),1,0),0)</f>
        <v>0</v>
      </c>
      <c r="BL82" s="58" t="n">
        <f aca="false">IF(BC82=1,_xlfn.MAXIFS(Calcul!$BH$60:$BH$110,Calcul!$S$60:$S$110,S82,Calcul!$BC$60:$BC$110,1),0)</f>
        <v>0</v>
      </c>
      <c r="BM82" s="58" t="str">
        <f aca="false">IF(BC82=1,IF(BK82=1,10000000000+BL82,BH82)-ROW()/10000000,"")</f>
        <v/>
      </c>
      <c r="BN82" s="58"/>
      <c r="BY82" s="59" t="n">
        <f aca="false">IFERROR(MATCH(SMALL(Calcul!$P$60:$P$184,23),Calcul!$P$60:$P$184,0),0)</f>
        <v>24</v>
      </c>
    </row>
    <row r="83" customFormat="false" ht="15" hidden="false" customHeight="false" outlineLevel="0" collapsed="false">
      <c r="M83" s="0" t="str">
        <f aca="false">IF(AND(ISNUMBER('Liste outils'!$E$29),Convertisseur!$C$14&gt;0),IF(ABS('Liste outils'!$E$29-Convertisseur!$C$14)&lt;0.0005,COUNTIFS('Liste outils'!$E$6:$E29,"&gt;"&amp;(Convertisseur!$C$14-0.0005),'Liste outils'!$E$6:$E29,"&lt;"&amp;(Convertisseur!$C$14+0.0005)),""),"")</f>
        <v/>
      </c>
      <c r="N83" s="0" t="n">
        <f aca="false">IF(AND(ISNUMBER('Liste outils'!$E$29),Convertisseur!$C$15&gt;0),IF(ABS('Liste outils'!$E$29-Convertisseur!$C$15)&lt;0.0005,COUNTIFS('Liste outils'!$E$6:$E29,"&gt;"&amp;(Convertisseur!$C$15-0.0005),'Liste outils'!$E$6:$E29,"&lt;"&amp;(Convertisseur!$C$15+0.0005)),""),"")</f>
        <v>2</v>
      </c>
      <c r="O83" s="0" t="str">
        <f aca="false">IF(AND(ISNUMBER('Liste outils'!$E$29),Convertisseur!$C$16&gt;0),IF(ABS('Liste outils'!$E$29-Convertisseur!$C$16)&lt;0.0005,COUNTIFS('Liste outils'!$E$6:$E29,"&gt;"&amp;(Convertisseur!$C$16-0.0005),'Liste outils'!$E$6:$E29,"&lt;"&amp;(Convertisseur!$C$16+0.0005)),""),"")</f>
        <v/>
      </c>
      <c r="P83" s="58" t="n">
        <f aca="false">IF(AND(OR('Recherche outils'!$B$5="Tous",'Recherche outils'!$B$5='Liste outils'!$C$29),OR(TRIM('Recherche outils'!$B$4&amp;"")="",ISNUMBER(SEARCH(TRIM('Recherche outils'!$B$4&amp;""),'Liste outils'!$B$29&amp;" "&amp;'Liste outils'!$C$29&amp;" "&amp;'Liste outils'!$J$29&amp;" "&amp;'Liste outils'!$O$29&amp;" "&amp;'Liste outils'!$P$29&amp;" "&amp;'Liste outils'!$Q$29&amp;" "&amp;'Liste outils'!$AA$29&amp;" "&amp;'Liste outils'!$AB$29&amp;" "&amp;'Liste outils'!$AC$29&amp;" "&amp;'Liste outils'!$T$29))),OR(NOT(ISNUMBER(Calcul!$L$11)),AND(ISNUMBER('Liste outils'!$E$29),ABS('Liste outils'!$E$29-IF(ISNUMBER(Calcul!$L$11),Calcul!$L$11,0))&lt;0.002)),OR(NOT(ISNUMBER(Calcul!$O$11)),AND(ISNUMBER('Liste outils'!$H$29),'Liste outils'!$H$29+0.000001&gt;=IF(ISNUMBER(Calcul!$O$11),Calcul!$O$11,0)))),IF(ISNUMBER('Liste outils'!$E$29),'Liste outils'!$E$29,99)*100000+IF(ISNUMBER('Liste outils'!$H$29),'Liste outils'!$H$29,99)*100+24/1000,"")</f>
        <v>25025.414</v>
      </c>
      <c r="R83" s="58" t="s">
        <v>370</v>
      </c>
      <c r="S83" s="58" t="n">
        <v>0.5</v>
      </c>
      <c r="T83" s="58" t="n">
        <v>2</v>
      </c>
      <c r="U83" s="58" t="n">
        <v>3</v>
      </c>
      <c r="V83" s="58" t="s">
        <v>724</v>
      </c>
      <c r="W83" s="58" t="s">
        <v>40</v>
      </c>
      <c r="X83" s="58" t="s">
        <v>736</v>
      </c>
      <c r="Y83" s="58" t="s">
        <v>371</v>
      </c>
      <c r="Z83" s="58"/>
      <c r="AA83" s="58" t="s">
        <v>285</v>
      </c>
      <c r="AB83" s="58"/>
      <c r="AC83" s="58" t="n">
        <v>0.008</v>
      </c>
      <c r="AD83" s="58" t="n">
        <v>0.012</v>
      </c>
      <c r="AE83" s="58" t="n">
        <v>0</v>
      </c>
      <c r="AF83" s="58" t="n">
        <v>0</v>
      </c>
      <c r="AG83" s="58" t="n">
        <v>1</v>
      </c>
      <c r="AH83" s="58" t="n">
        <v>0</v>
      </c>
      <c r="AI83" s="58"/>
      <c r="AJ83" s="58" t="n">
        <v>0.0096</v>
      </c>
      <c r="AK83" s="58" t="n">
        <v>0.0144</v>
      </c>
      <c r="AL83" s="58" t="n">
        <v>0</v>
      </c>
      <c r="AM83" s="58" t="n">
        <v>0</v>
      </c>
      <c r="AN83" s="58" t="n">
        <v>1</v>
      </c>
      <c r="AO83" s="58" t="n">
        <v>0</v>
      </c>
      <c r="AP83" s="58" t="n">
        <f aca="false">IF(Calcul!$I$5=1,AB83,AI83)</f>
        <v>0</v>
      </c>
      <c r="AQ83" s="58" t="n">
        <f aca="false">IF(Calcul!$I$5=1,AC83,AJ83)</f>
        <v>0.008</v>
      </c>
      <c r="AR83" s="58" t="n">
        <f aca="false">IF(Calcul!$I$5=1,AD83,AK83)</f>
        <v>0.012</v>
      </c>
      <c r="AS83" s="58" t="n">
        <f aca="false">IF(Calcul!$I$5=1,AE83,AL83)</f>
        <v>0</v>
      </c>
      <c r="AT83" s="58" t="n">
        <f aca="false">IF(Calcul!$I$5=1,AF83,AM83)</f>
        <v>0</v>
      </c>
      <c r="AU83" s="58" t="n">
        <f aca="false">IF(Calcul!$I$5=1,AG83,AN83)</f>
        <v>1</v>
      </c>
      <c r="AV83" s="58" t="n">
        <f aca="false">IF(Calcul!$I$5=1,AH83,AO83)</f>
        <v>0</v>
      </c>
      <c r="AW83" s="58" t="n">
        <f aca="false">IF(Calcul!$I$10&gt;0,MAX(1,ROUNDUP(Calcul!$I$10/S83-0.000001,0)),1)</f>
        <v>1</v>
      </c>
      <c r="AX83" s="58" t="n">
        <f aca="false">IF(Calcul!$I$10&gt;0,Calcul!$I$10/AW83,0)</f>
        <v>0.5</v>
      </c>
      <c r="AY83" s="58" t="n">
        <f aca="false">IF(Calcul!$I$10&gt;0,AX83/S83,1)</f>
        <v>1</v>
      </c>
      <c r="AZ83" s="58" t="n">
        <f aca="false">IF(AY83&lt;=1.0001,1,IF(AY83&lt;=2.0001,0.75,0.5))</f>
        <v>1</v>
      </c>
      <c r="BA83" s="58" t="n">
        <f aca="false">(AQ83+AR83)/2*AZ83</f>
        <v>0.01</v>
      </c>
      <c r="BB83" s="58" t="n">
        <f aca="false">IF(Calcul!$I$10&gt;0,IF(ISNUMBER(T83),IF(T83+0.000001&gt;=Calcul!$I$10,1,0),2),2)</f>
        <v>1</v>
      </c>
      <c r="BC83" s="58" t="n">
        <f aca="false">IF(AND(V83=Calcul!$I$8,ISNUMBER(U83),OR(AP83&lt;&gt;"",AT83=1),IF(Calcul!$I$8="straight",IF(Calcul!$I$10&gt;0,BB83=1,TRUE()),BB83&lt;&gt;0)),1,0)</f>
        <v>0</v>
      </c>
      <c r="BD83" s="58" t="n">
        <f aca="false">IF(AND(Calcul!$I$8="straight",ISNUMBER(SEARCH(Calcul!$I$9,W83))),1,0)</f>
        <v>1</v>
      </c>
      <c r="BE83" s="58" t="n">
        <f aca="false">IF(ABS(S83-0.5)&lt;0.0005,IF(Calcul!$I$7=2,18000,20000),IF(AND(Calcul!$I$6=1,Calcul!$I$7=2),17000,23000))</f>
        <v>20000</v>
      </c>
      <c r="BF83" s="58" t="n">
        <f aca="false">IF(ISNUMBER(U83),BE83*U83*BA83,0)</f>
        <v>600</v>
      </c>
      <c r="BG83" s="58" t="n">
        <f aca="false">BF83/AW83</f>
        <v>600</v>
      </c>
      <c r="BH83" s="58" t="n">
        <f aca="false">BD83*1000000000+IF(AP83&lt;&gt;"",100000000,0)+AT83*10000000+(50-MIN(AW83,49))*100000+AS83*10000+MIN(ROUND(BG83,0),9999)+S83/10-IF(ISNUMBER(T83),T83,9)/1000</f>
        <v>1004900600.048</v>
      </c>
      <c r="BI83" s="58" t="n">
        <f aca="false">IF(AND(Calcul!$I$10&gt;0,ISNUMBER(T83)),T83-Calcul!$I$10,99)</f>
        <v>1.5</v>
      </c>
      <c r="BJ83" s="58" t="str">
        <f aca="false">IF(BC83=1,BD83*10000000-ROUND(BI83*1000,0)*1000+MIN(BH83/10000000,999),"")</f>
        <v/>
      </c>
      <c r="BK83" s="58" t="n">
        <f aca="false">IF(BC83=1,IF(BJ83=_xlfn.MAXIFS(Calcul!$BJ$60:$BJ$110,Calcul!$S$60:$S$110,S83,Calcul!$BC$60:$BC$110,1),1,0),0)</f>
        <v>0</v>
      </c>
      <c r="BL83" s="58" t="n">
        <f aca="false">IF(BC83=1,_xlfn.MAXIFS(Calcul!$BH$60:$BH$110,Calcul!$S$60:$S$110,S83,Calcul!$BC$60:$BC$110,1),0)</f>
        <v>0</v>
      </c>
      <c r="BM83" s="58" t="str">
        <f aca="false">IF(BC83=1,IF(BK83=1,10000000000+BL83,BH83)-ROW()/10000000,"")</f>
        <v/>
      </c>
      <c r="BN83" s="58"/>
      <c r="BY83" s="59" t="n">
        <f aca="false">IFERROR(MATCH(SMALL(Calcul!$P$60:$P$184,24),Calcul!$P$60:$P$184,0),0)</f>
        <v>25</v>
      </c>
    </row>
    <row r="84" customFormat="false" ht="15" hidden="false" customHeight="false" outlineLevel="0" collapsed="false">
      <c r="M84" s="0" t="str">
        <f aca="false">IF(AND(ISNUMBER('Liste outils'!$E$30),Convertisseur!$C$14&gt;0),IF(ABS('Liste outils'!$E$30-Convertisseur!$C$14)&lt;0.0005,COUNTIFS('Liste outils'!$E$6:$E30,"&gt;"&amp;(Convertisseur!$C$14-0.0005),'Liste outils'!$E$6:$E30,"&lt;"&amp;(Convertisseur!$C$14+0.0005)),""),"")</f>
        <v/>
      </c>
      <c r="N84" s="0" t="n">
        <f aca="false">IF(AND(ISNUMBER('Liste outils'!$E$30),Convertisseur!$C$15&gt;0),IF(ABS('Liste outils'!$E$30-Convertisseur!$C$15)&lt;0.0005,COUNTIFS('Liste outils'!$E$6:$E30,"&gt;"&amp;(Convertisseur!$C$15-0.0005),'Liste outils'!$E$6:$E30,"&lt;"&amp;(Convertisseur!$C$15+0.0005)),""),"")</f>
        <v>3</v>
      </c>
      <c r="O84" s="0" t="str">
        <f aca="false">IF(AND(ISNUMBER('Liste outils'!$E$30),Convertisseur!$C$16&gt;0),IF(ABS('Liste outils'!$E$30-Convertisseur!$C$16)&lt;0.0005,COUNTIFS('Liste outils'!$E$6:$E30,"&gt;"&amp;(Convertisseur!$C$16-0.0005),'Liste outils'!$E$6:$E30,"&lt;"&amp;(Convertisseur!$C$16+0.0005)),""),"")</f>
        <v/>
      </c>
      <c r="P84" s="58" t="n">
        <f aca="false">IF(AND(OR('Recherche outils'!$B$5="Tous",'Recherche outils'!$B$5='Liste outils'!$C$30),OR(TRIM('Recherche outils'!$B$4&amp;"")="",ISNUMBER(SEARCH(TRIM('Recherche outils'!$B$4&amp;""),'Liste outils'!$B$30&amp;" "&amp;'Liste outils'!$C$30&amp;" "&amp;'Liste outils'!$J$30&amp;" "&amp;'Liste outils'!$O$30&amp;" "&amp;'Liste outils'!$P$30&amp;" "&amp;'Liste outils'!$Q$30&amp;" "&amp;'Liste outils'!$AA$30&amp;" "&amp;'Liste outils'!$AB$30&amp;" "&amp;'Liste outils'!$AC$30&amp;" "&amp;'Liste outils'!$T$30))),OR(NOT(ISNUMBER(Calcul!$L$11)),AND(ISNUMBER('Liste outils'!$E$30),ABS('Liste outils'!$E$30-IF(ISNUMBER(Calcul!$L$11),Calcul!$L$11,0))&lt;0.002)),OR(NOT(ISNUMBER(Calcul!$O$11)),AND(ISNUMBER('Liste outils'!$H$30),'Liste outils'!$H$30+0.000001&gt;=IF(ISNUMBER(Calcul!$O$11),Calcul!$O$11,0)))),IF(ISNUMBER('Liste outils'!$E$30),'Liste outils'!$E$30,99)*100000+IF(ISNUMBER('Liste outils'!$H$30),'Liste outils'!$H$30,99)*100+25/1000,"")</f>
        <v>25037.525</v>
      </c>
      <c r="R84" s="58" t="s">
        <v>372</v>
      </c>
      <c r="S84" s="58" t="n">
        <v>0.25</v>
      </c>
      <c r="T84" s="58" t="n">
        <v>0.5</v>
      </c>
      <c r="U84" s="58" t="n">
        <v>3</v>
      </c>
      <c r="V84" s="58" t="s">
        <v>724</v>
      </c>
      <c r="W84" s="58" t="s">
        <v>40</v>
      </c>
      <c r="X84" s="58" t="s">
        <v>737</v>
      </c>
      <c r="Y84" s="58" t="s">
        <v>374</v>
      </c>
      <c r="Z84" s="58" t="s">
        <v>375</v>
      </c>
      <c r="AA84" s="58" t="s">
        <v>285</v>
      </c>
      <c r="AB84" s="58"/>
      <c r="AC84" s="58" t="n">
        <v>0.004</v>
      </c>
      <c r="AD84" s="58" t="n">
        <v>0.006</v>
      </c>
      <c r="AE84" s="58" t="n">
        <v>0</v>
      </c>
      <c r="AF84" s="58" t="n">
        <v>0</v>
      </c>
      <c r="AG84" s="58" t="n">
        <v>1</v>
      </c>
      <c r="AH84" s="58" t="n">
        <v>0</v>
      </c>
      <c r="AI84" s="58"/>
      <c r="AJ84" s="58" t="n">
        <v>0.0048</v>
      </c>
      <c r="AK84" s="58" t="n">
        <v>0.0072</v>
      </c>
      <c r="AL84" s="58" t="n">
        <v>0</v>
      </c>
      <c r="AM84" s="58" t="n">
        <v>0</v>
      </c>
      <c r="AN84" s="58" t="n">
        <v>1</v>
      </c>
      <c r="AO84" s="58" t="n">
        <v>0</v>
      </c>
      <c r="AP84" s="58" t="n">
        <f aca="false">IF(Calcul!$I$5=1,AB84,AI84)</f>
        <v>0</v>
      </c>
      <c r="AQ84" s="58" t="n">
        <f aca="false">IF(Calcul!$I$5=1,AC84,AJ84)</f>
        <v>0.004</v>
      </c>
      <c r="AR84" s="58" t="n">
        <f aca="false">IF(Calcul!$I$5=1,AD84,AK84)</f>
        <v>0.006</v>
      </c>
      <c r="AS84" s="58" t="n">
        <f aca="false">IF(Calcul!$I$5=1,AE84,AL84)</f>
        <v>0</v>
      </c>
      <c r="AT84" s="58" t="n">
        <f aca="false">IF(Calcul!$I$5=1,AF84,AM84)</f>
        <v>0</v>
      </c>
      <c r="AU84" s="58" t="n">
        <f aca="false">IF(Calcul!$I$5=1,AG84,AN84)</f>
        <v>1</v>
      </c>
      <c r="AV84" s="58" t="n">
        <f aca="false">IF(Calcul!$I$5=1,AH84,AO84)</f>
        <v>0</v>
      </c>
      <c r="AW84" s="58" t="n">
        <f aca="false">IF(Calcul!$I$10&gt;0,MAX(1,ROUNDUP(Calcul!$I$10/S84-0.000001,0)),1)</f>
        <v>2</v>
      </c>
      <c r="AX84" s="58" t="n">
        <f aca="false">IF(Calcul!$I$10&gt;0,Calcul!$I$10/AW84,0)</f>
        <v>0.25</v>
      </c>
      <c r="AY84" s="58" t="n">
        <f aca="false">IF(Calcul!$I$10&gt;0,AX84/S84,1)</f>
        <v>1</v>
      </c>
      <c r="AZ84" s="58" t="n">
        <f aca="false">IF(AY84&lt;=1.0001,1,IF(AY84&lt;=2.0001,0.75,0.5))</f>
        <v>1</v>
      </c>
      <c r="BA84" s="58" t="n">
        <f aca="false">(AQ84+AR84)/2*AZ84</f>
        <v>0.005</v>
      </c>
      <c r="BB84" s="58" t="n">
        <f aca="false">IF(Calcul!$I$10&gt;0,IF(ISNUMBER(T84),IF(T84+0.000001&gt;=Calcul!$I$10,1,0),2),2)</f>
        <v>1</v>
      </c>
      <c r="BC84" s="58" t="n">
        <f aca="false">IF(AND(V84=Calcul!$I$8,ISNUMBER(U84),OR(AP84&lt;&gt;"",AT84=1),IF(Calcul!$I$8="straight",IF(Calcul!$I$10&gt;0,BB84=1,TRUE()),BB84&lt;&gt;0)),1,0)</f>
        <v>0</v>
      </c>
      <c r="BD84" s="58" t="n">
        <f aca="false">IF(AND(Calcul!$I$8="straight",ISNUMBER(SEARCH(Calcul!$I$9,W84))),1,0)</f>
        <v>1</v>
      </c>
      <c r="BE84" s="58" t="n">
        <f aca="false">IF(ABS(S84-0.5)&lt;0.0005,IF(Calcul!$I$7=2,18000,20000),IF(AND(Calcul!$I$6=1,Calcul!$I$7=2),17000,23000))</f>
        <v>23000</v>
      </c>
      <c r="BF84" s="58" t="n">
        <f aca="false">IF(ISNUMBER(U84),BE84*U84*BA84,0)</f>
        <v>345</v>
      </c>
      <c r="BG84" s="58" t="n">
        <f aca="false">BF84/AW84</f>
        <v>172.5</v>
      </c>
      <c r="BH84" s="58" t="n">
        <f aca="false">BD84*1000000000+IF(AP84&lt;&gt;"",100000000,0)+AT84*10000000+(50-MIN(AW84,49))*100000+AS84*10000+MIN(ROUND(BG84,0),9999)+S84/10-IF(ISNUMBER(T84),T84,9)/1000</f>
        <v>1004800173.0245</v>
      </c>
      <c r="BI84" s="58" t="n">
        <f aca="false">IF(AND(Calcul!$I$10&gt;0,ISNUMBER(T84)),T84-Calcul!$I$10,99)</f>
        <v>0</v>
      </c>
      <c r="BJ84" s="58" t="str">
        <f aca="false">IF(BC84=1,BD84*10000000-ROUND(BI84*1000,0)*1000+MIN(BH84/10000000,999),"")</f>
        <v/>
      </c>
      <c r="BK84" s="58" t="n">
        <f aca="false">IF(BC84=1,IF(BJ84=_xlfn.MAXIFS(Calcul!$BJ$60:$BJ$110,Calcul!$S$60:$S$110,S84,Calcul!$BC$60:$BC$110,1),1,0),0)</f>
        <v>0</v>
      </c>
      <c r="BL84" s="58" t="n">
        <f aca="false">IF(BC84=1,_xlfn.MAXIFS(Calcul!$BH$60:$BH$110,Calcul!$S$60:$S$110,S84,Calcul!$BC$60:$BC$110,1),0)</f>
        <v>0</v>
      </c>
      <c r="BM84" s="58" t="str">
        <f aca="false">IF(BC84=1,IF(BK84=1,10000000000+BL84,BH84)-ROW()/10000000,"")</f>
        <v/>
      </c>
      <c r="BN84" s="58"/>
      <c r="BY84" s="59" t="n">
        <f aca="false">IFERROR(MATCH(SMALL(Calcul!$P$60:$P$184,25),Calcul!$P$60:$P$184,0),0)</f>
        <v>28</v>
      </c>
    </row>
    <row r="85" customFormat="false" ht="15" hidden="false" customHeight="false" outlineLevel="0" collapsed="false">
      <c r="M85" s="0" t="str">
        <f aca="false">IF(AND(ISNUMBER('Liste outils'!$E$31),Convertisseur!$C$14&gt;0),IF(ABS('Liste outils'!$E$31-Convertisseur!$C$14)&lt;0.0005,COUNTIFS('Liste outils'!$E$6:$E31,"&gt;"&amp;(Convertisseur!$C$14-0.0005),'Liste outils'!$E$6:$E31,"&lt;"&amp;(Convertisseur!$C$14+0.0005)),""),"")</f>
        <v/>
      </c>
      <c r="N85" s="0" t="str">
        <f aca="false">IF(AND(ISNUMBER('Liste outils'!$E$31),Convertisseur!$C$15&gt;0),IF(ABS('Liste outils'!$E$31-Convertisseur!$C$15)&lt;0.0005,COUNTIFS('Liste outils'!$E$6:$E31,"&gt;"&amp;(Convertisseur!$C$15-0.0005),'Liste outils'!$E$6:$E31,"&lt;"&amp;(Convertisseur!$C$15+0.0005)),""),"")</f>
        <v/>
      </c>
      <c r="O85" s="0" t="str">
        <f aca="false">IF(AND(ISNUMBER('Liste outils'!$E$31),Convertisseur!$C$16&gt;0),IF(ABS('Liste outils'!$E$31-Convertisseur!$C$16)&lt;0.0005,COUNTIFS('Liste outils'!$E$6:$E31,"&gt;"&amp;(Convertisseur!$C$16-0.0005),'Liste outils'!$E$6:$E31,"&lt;"&amp;(Convertisseur!$C$16+0.0005)),""),"")</f>
        <v/>
      </c>
      <c r="P85" s="58" t="n">
        <f aca="false">IF(AND(OR('Recherche outils'!$B$5="Tous",'Recherche outils'!$B$5='Liste outils'!$C$31),OR(TRIM('Recherche outils'!$B$4&amp;"")="",ISNUMBER(SEARCH(TRIM('Recherche outils'!$B$4&amp;""),'Liste outils'!$B$31&amp;" "&amp;'Liste outils'!$C$31&amp;" "&amp;'Liste outils'!$J$31&amp;" "&amp;'Liste outils'!$O$31&amp;" "&amp;'Liste outils'!$P$31&amp;" "&amp;'Liste outils'!$Q$31&amp;" "&amp;'Liste outils'!$AA$31&amp;" "&amp;'Liste outils'!$AB$31&amp;" "&amp;'Liste outils'!$AC$31&amp;" "&amp;'Liste outils'!$T$31))),OR(NOT(ISNUMBER(Calcul!$L$11)),AND(ISNUMBER('Liste outils'!$E$31),ABS('Liste outils'!$E$31-IF(ISNUMBER(Calcul!$L$11),Calcul!$L$11,0))&lt;0.002)),OR(NOT(ISNUMBER(Calcul!$O$11)),AND(ISNUMBER('Liste outils'!$H$31),'Liste outils'!$H$31+0.000001&gt;=IF(ISNUMBER(Calcul!$O$11),Calcul!$O$11,0)))),IF(ISNUMBER('Liste outils'!$E$31),'Liste outils'!$E$31,99)*100000+IF(ISNUMBER('Liste outils'!$H$31),'Liste outils'!$H$31,99)*100+26/1000,"")</f>
        <v>3920.3385</v>
      </c>
      <c r="R85" s="58" t="s">
        <v>376</v>
      </c>
      <c r="S85" s="58" t="n">
        <v>0.125</v>
      </c>
      <c r="T85" s="58" t="n">
        <v>0.375</v>
      </c>
      <c r="U85" s="58" t="n">
        <v>1</v>
      </c>
      <c r="V85" s="58" t="s">
        <v>724</v>
      </c>
      <c r="W85" s="58" t="s">
        <v>200</v>
      </c>
      <c r="X85" s="58" t="s">
        <v>738</v>
      </c>
      <c r="Y85" s="58" t="s">
        <v>374</v>
      </c>
      <c r="Z85" s="58"/>
      <c r="AA85" s="58" t="s">
        <v>285</v>
      </c>
      <c r="AB85" s="58"/>
      <c r="AC85" s="58" t="n">
        <v>0.002</v>
      </c>
      <c r="AD85" s="58" t="n">
        <v>0.003</v>
      </c>
      <c r="AE85" s="58" t="n">
        <v>0</v>
      </c>
      <c r="AF85" s="58" t="n">
        <v>1</v>
      </c>
      <c r="AG85" s="58" t="n">
        <v>1</v>
      </c>
      <c r="AH85" s="58" t="n">
        <v>0</v>
      </c>
      <c r="AI85" s="58"/>
      <c r="AJ85" s="58" t="n">
        <v>0.0024</v>
      </c>
      <c r="AK85" s="58" t="n">
        <v>0.0036</v>
      </c>
      <c r="AL85" s="58" t="n">
        <v>0</v>
      </c>
      <c r="AM85" s="58" t="n">
        <v>1</v>
      </c>
      <c r="AN85" s="58" t="n">
        <v>1</v>
      </c>
      <c r="AO85" s="58" t="n">
        <v>0</v>
      </c>
      <c r="AP85" s="58" t="n">
        <f aca="false">IF(Calcul!$I$5=1,AB85,AI85)</f>
        <v>0</v>
      </c>
      <c r="AQ85" s="58" t="n">
        <f aca="false">IF(Calcul!$I$5=1,AC85,AJ85)</f>
        <v>0.002</v>
      </c>
      <c r="AR85" s="58" t="n">
        <f aca="false">IF(Calcul!$I$5=1,AD85,AK85)</f>
        <v>0.003</v>
      </c>
      <c r="AS85" s="58" t="n">
        <f aca="false">IF(Calcul!$I$5=1,AE85,AL85)</f>
        <v>0</v>
      </c>
      <c r="AT85" s="58" t="n">
        <f aca="false">IF(Calcul!$I$5=1,AF85,AM85)</f>
        <v>1</v>
      </c>
      <c r="AU85" s="58" t="n">
        <f aca="false">IF(Calcul!$I$5=1,AG85,AN85)</f>
        <v>1</v>
      </c>
      <c r="AV85" s="58" t="n">
        <f aca="false">IF(Calcul!$I$5=1,AH85,AO85)</f>
        <v>0</v>
      </c>
      <c r="AW85" s="58" t="n">
        <f aca="false">IF(Calcul!$I$10&gt;0,MAX(1,ROUNDUP(Calcul!$I$10/S85-0.000001,0)),1)</f>
        <v>4</v>
      </c>
      <c r="AX85" s="58" t="n">
        <f aca="false">IF(Calcul!$I$10&gt;0,Calcul!$I$10/AW85,0)</f>
        <v>0.125</v>
      </c>
      <c r="AY85" s="58" t="n">
        <f aca="false">IF(Calcul!$I$10&gt;0,AX85/S85,1)</f>
        <v>1</v>
      </c>
      <c r="AZ85" s="58" t="n">
        <f aca="false">IF(AY85&lt;=1.0001,1,IF(AY85&lt;=2.0001,0.75,0.5))</f>
        <v>1</v>
      </c>
      <c r="BA85" s="58" t="n">
        <f aca="false">(AQ85+AR85)/2*AZ85</f>
        <v>0.0025</v>
      </c>
      <c r="BB85" s="58" t="n">
        <f aca="false">IF(Calcul!$I$10&gt;0,IF(ISNUMBER(T85),IF(T85+0.000001&gt;=Calcul!$I$10,1,0),2),2)</f>
        <v>0</v>
      </c>
      <c r="BC85" s="58" t="n">
        <f aca="false">IF(AND(V85=Calcul!$I$8,ISNUMBER(U85),OR(AP85&lt;&gt;"",AT85=1),IF(Calcul!$I$8="straight",IF(Calcul!$I$10&gt;0,BB85=1,TRUE()),BB85&lt;&gt;0)),1,0)</f>
        <v>0</v>
      </c>
      <c r="BD85" s="58" t="n">
        <f aca="false">IF(AND(Calcul!$I$8="straight",ISNUMBER(SEARCH(Calcul!$I$9,W85))),1,0)</f>
        <v>0</v>
      </c>
      <c r="BE85" s="58" t="n">
        <f aca="false">IF(ABS(S85-0.5)&lt;0.0005,IF(Calcul!$I$7=2,18000,20000),IF(AND(Calcul!$I$6=1,Calcul!$I$7=2),17000,23000))</f>
        <v>23000</v>
      </c>
      <c r="BF85" s="58" t="n">
        <f aca="false">IF(ISNUMBER(U85),BE85*U85*BA85,0)</f>
        <v>57.5</v>
      </c>
      <c r="BG85" s="58" t="n">
        <f aca="false">BF85/AW85</f>
        <v>14.375</v>
      </c>
      <c r="BH85" s="58" t="n">
        <f aca="false">BD85*1000000000+IF(AP85&lt;&gt;"",100000000,0)+AT85*10000000+(50-MIN(AW85,49))*100000+AS85*10000+MIN(ROUND(BG85,0),9999)+S85/10-IF(ISNUMBER(T85),T85,9)/1000</f>
        <v>14600014.012125</v>
      </c>
      <c r="BI85" s="58" t="n">
        <f aca="false">IF(AND(Calcul!$I$10&gt;0,ISNUMBER(T85)),T85-Calcul!$I$10,99)</f>
        <v>-0.125</v>
      </c>
      <c r="BJ85" s="58" t="str">
        <f aca="false">IF(BC85=1,BD85*10000000-ROUND(BI85*1000,0)*1000+MIN(BH85/10000000,999),"")</f>
        <v/>
      </c>
      <c r="BK85" s="58" t="n">
        <f aca="false">IF(BC85=1,IF(BJ85=_xlfn.MAXIFS(Calcul!$BJ$60:$BJ$110,Calcul!$S$60:$S$110,S85,Calcul!$BC$60:$BC$110,1),1,0),0)</f>
        <v>0</v>
      </c>
      <c r="BL85" s="58" t="n">
        <f aca="false">IF(BC85=1,_xlfn.MAXIFS(Calcul!$BH$60:$BH$110,Calcul!$S$60:$S$110,S85,Calcul!$BC$60:$BC$110,1),0)</f>
        <v>0</v>
      </c>
      <c r="BM85" s="58" t="str">
        <f aca="false">IF(BC85=1,IF(BK85=1,10000000000+BL85,BH85)-ROW()/10000000,"")</f>
        <v/>
      </c>
      <c r="BN85" s="58"/>
      <c r="BY85" s="59" t="n">
        <f aca="false">IFERROR(MATCH(SMALL(Calcul!$P$60:$P$184,26),Calcul!$P$60:$P$184,0),0)</f>
        <v>49</v>
      </c>
    </row>
    <row r="86" customFormat="false" ht="15" hidden="false" customHeight="false" outlineLevel="0" collapsed="false">
      <c r="M86" s="0" t="str">
        <f aca="false">IF(AND(ISNUMBER('Liste outils'!$E$32),Convertisseur!$C$14&gt;0),IF(ABS('Liste outils'!$E$32-Convertisseur!$C$14)&lt;0.0005,COUNTIFS('Liste outils'!$E$6:$E32,"&gt;"&amp;(Convertisseur!$C$14-0.0005),'Liste outils'!$E$6:$E32,"&lt;"&amp;(Convertisseur!$C$14+0.0005)),""),"")</f>
        <v/>
      </c>
      <c r="N86" s="0" t="str">
        <f aca="false">IF(AND(ISNUMBER('Liste outils'!$E$32),Convertisseur!$C$15&gt;0),IF(ABS('Liste outils'!$E$32-Convertisseur!$C$15)&lt;0.0005,COUNTIFS('Liste outils'!$E$6:$E32,"&gt;"&amp;(Convertisseur!$C$15-0.0005),'Liste outils'!$E$6:$E32,"&lt;"&amp;(Convertisseur!$C$15+0.0005)),""),"")</f>
        <v/>
      </c>
      <c r="O86" s="0" t="str">
        <f aca="false">IF(AND(ISNUMBER('Liste outils'!$E$32),Convertisseur!$C$16&gt;0),IF(ABS('Liste outils'!$E$32-Convertisseur!$C$16)&lt;0.0005,COUNTIFS('Liste outils'!$E$6:$E32,"&gt;"&amp;(Convertisseur!$C$16-0.0005),'Liste outils'!$E$6:$E32,"&lt;"&amp;(Convertisseur!$C$16+0.0005)),""),"")</f>
        <v/>
      </c>
      <c r="P86" s="58" t="n">
        <f aca="false">IF(AND(OR('Recherche outils'!$B$5="Tous",'Recherche outils'!$B$5='Liste outils'!$C$32),OR(TRIM('Recherche outils'!$B$4&amp;"")="",ISNUMBER(SEARCH(TRIM('Recherche outils'!$B$4&amp;""),'Liste outils'!$B$32&amp;" "&amp;'Liste outils'!$C$32&amp;" "&amp;'Liste outils'!$J$32&amp;" "&amp;'Liste outils'!$O$32&amp;" "&amp;'Liste outils'!$P$32&amp;" "&amp;'Liste outils'!$Q$32&amp;" "&amp;'Liste outils'!$AA$32&amp;" "&amp;'Liste outils'!$AB$32&amp;" "&amp;'Liste outils'!$AC$32&amp;" "&amp;'Liste outils'!$T$32))),OR(NOT(ISNUMBER(Calcul!$L$11)),AND(ISNUMBER('Liste outils'!$E$32),ABS('Liste outils'!$E$32-IF(ISNUMBER(Calcul!$L$11),Calcul!$L$11,0))&lt;0.002)),OR(NOT(ISNUMBER(Calcul!$O$11)),AND(ISNUMBER('Liste outils'!$H$32),'Liste outils'!$H$32+0.000001&gt;=IF(ISNUMBER(Calcul!$O$11),Calcul!$O$11,0)))),IF(ISNUMBER('Liste outils'!$E$32),'Liste outils'!$E$32,99)*100000+IF(ISNUMBER('Liste outils'!$H$32),'Liste outils'!$H$32,99)*100+27/1000,"")</f>
        <v>12550.027</v>
      </c>
      <c r="R86" s="58" t="s">
        <v>379</v>
      </c>
      <c r="S86" s="58" t="n">
        <v>0.5</v>
      </c>
      <c r="T86" s="58" t="n">
        <v>2.125</v>
      </c>
      <c r="U86" s="58" t="n">
        <v>2</v>
      </c>
      <c r="V86" s="58" t="s">
        <v>724</v>
      </c>
      <c r="W86" s="58" t="s">
        <v>40</v>
      </c>
      <c r="X86" s="58" t="s">
        <v>380</v>
      </c>
      <c r="Y86" s="58" t="s">
        <v>382</v>
      </c>
      <c r="Z86" s="58" t="s">
        <v>383</v>
      </c>
      <c r="AA86" s="58" t="s">
        <v>285</v>
      </c>
      <c r="AB86" s="58"/>
      <c r="AC86" s="58" t="n">
        <v>0.008</v>
      </c>
      <c r="AD86" s="58" t="n">
        <v>0.012</v>
      </c>
      <c r="AE86" s="58" t="n">
        <v>0</v>
      </c>
      <c r="AF86" s="58" t="n">
        <v>0</v>
      </c>
      <c r="AG86" s="58" t="n">
        <v>1</v>
      </c>
      <c r="AH86" s="58" t="n">
        <v>0</v>
      </c>
      <c r="AI86" s="58" t="s">
        <v>739</v>
      </c>
      <c r="AJ86" s="58" t="n">
        <v>0.012</v>
      </c>
      <c r="AK86" s="58" t="n">
        <v>0.014</v>
      </c>
      <c r="AL86" s="58" t="n">
        <v>3</v>
      </c>
      <c r="AM86" s="58" t="n">
        <v>1</v>
      </c>
      <c r="AN86" s="58" t="n">
        <v>0</v>
      </c>
      <c r="AO86" s="58" t="n">
        <v>18000</v>
      </c>
      <c r="AP86" s="58" t="n">
        <f aca="false">IF(Calcul!$I$5=1,AB86,AI86)</f>
        <v>0</v>
      </c>
      <c r="AQ86" s="58" t="n">
        <f aca="false">IF(Calcul!$I$5=1,AC86,AJ86)</f>
        <v>0.008</v>
      </c>
      <c r="AR86" s="58" t="n">
        <f aca="false">IF(Calcul!$I$5=1,AD86,AK86)</f>
        <v>0.012</v>
      </c>
      <c r="AS86" s="58" t="n">
        <f aca="false">IF(Calcul!$I$5=1,AE86,AL86)</f>
        <v>0</v>
      </c>
      <c r="AT86" s="58" t="n">
        <f aca="false">IF(Calcul!$I$5=1,AF86,AM86)</f>
        <v>0</v>
      </c>
      <c r="AU86" s="58" t="n">
        <f aca="false">IF(Calcul!$I$5=1,AG86,AN86)</f>
        <v>1</v>
      </c>
      <c r="AV86" s="58" t="n">
        <f aca="false">IF(Calcul!$I$5=1,AH86,AO86)</f>
        <v>0</v>
      </c>
      <c r="AW86" s="58" t="n">
        <f aca="false">IF(Calcul!$I$10&gt;0,MAX(1,ROUNDUP(Calcul!$I$10/S86-0.000001,0)),1)</f>
        <v>1</v>
      </c>
      <c r="AX86" s="58" t="n">
        <f aca="false">IF(Calcul!$I$10&gt;0,Calcul!$I$10/AW86,0)</f>
        <v>0.5</v>
      </c>
      <c r="AY86" s="58" t="n">
        <f aca="false">IF(Calcul!$I$10&gt;0,AX86/S86,1)</f>
        <v>1</v>
      </c>
      <c r="AZ86" s="58" t="n">
        <f aca="false">IF(AY86&lt;=1.0001,1,IF(AY86&lt;=2.0001,0.75,0.5))</f>
        <v>1</v>
      </c>
      <c r="BA86" s="58" t="n">
        <f aca="false">(AQ86+AR86)/2*AZ86</f>
        <v>0.01</v>
      </c>
      <c r="BB86" s="58" t="n">
        <f aca="false">IF(Calcul!$I$10&gt;0,IF(ISNUMBER(T86),IF(T86+0.000001&gt;=Calcul!$I$10,1,0),2),2)</f>
        <v>1</v>
      </c>
      <c r="BC86" s="58" t="n">
        <f aca="false">IF(AND(V86=Calcul!$I$8,ISNUMBER(U86),OR(AP86&lt;&gt;"",AT86=1),IF(Calcul!$I$8="straight",IF(Calcul!$I$10&gt;0,BB86=1,TRUE()),BB86&lt;&gt;0)),1,0)</f>
        <v>0</v>
      </c>
      <c r="BD86" s="58" t="n">
        <f aca="false">IF(AND(Calcul!$I$8="straight",ISNUMBER(SEARCH(Calcul!$I$9,W86))),1,0)</f>
        <v>1</v>
      </c>
      <c r="BE86" s="58" t="n">
        <f aca="false">IF(ABS(S86-0.5)&lt;0.0005,IF(Calcul!$I$7=2,18000,20000),IF(AND(Calcul!$I$6=1,Calcul!$I$7=2),17000,23000))</f>
        <v>20000</v>
      </c>
      <c r="BF86" s="58" t="n">
        <f aca="false">IF(ISNUMBER(U86),BE86*U86*BA86,0)</f>
        <v>400</v>
      </c>
      <c r="BG86" s="58" t="n">
        <f aca="false">BF86/AW86</f>
        <v>400</v>
      </c>
      <c r="BH86" s="58" t="n">
        <f aca="false">BD86*1000000000+IF(AP86&lt;&gt;"",100000000,0)+AT86*10000000+(50-MIN(AW86,49))*100000+AS86*10000+MIN(ROUND(BG86,0),9999)+S86/10-IF(ISNUMBER(T86),T86,9)/1000</f>
        <v>1004900400.04787</v>
      </c>
      <c r="BI86" s="58" t="n">
        <f aca="false">IF(AND(Calcul!$I$10&gt;0,ISNUMBER(T86)),T86-Calcul!$I$10,99)</f>
        <v>1.625</v>
      </c>
      <c r="BJ86" s="58" t="str">
        <f aca="false">IF(BC86=1,BD86*10000000-ROUND(BI86*1000,0)*1000+MIN(BH86/10000000,999),"")</f>
        <v/>
      </c>
      <c r="BK86" s="58" t="n">
        <f aca="false">IF(BC86=1,IF(BJ86=_xlfn.MAXIFS(Calcul!$BJ$60:$BJ$110,Calcul!$S$60:$S$110,S86,Calcul!$BC$60:$BC$110,1),1,0),0)</f>
        <v>0</v>
      </c>
      <c r="BL86" s="58" t="n">
        <f aca="false">IF(BC86=1,_xlfn.MAXIFS(Calcul!$BH$60:$BH$110,Calcul!$S$60:$S$110,S86,Calcul!$BC$60:$BC$110,1),0)</f>
        <v>0</v>
      </c>
      <c r="BM86" s="58" t="str">
        <f aca="false">IF(BC86=1,IF(BK86=1,10000000000+BL86,BH86)-ROW()/10000000,"")</f>
        <v/>
      </c>
      <c r="BN86" s="58"/>
      <c r="BY86" s="59" t="n">
        <f aca="false">IFERROR(MATCH(SMALL(Calcul!$P$60:$P$184,27),Calcul!$P$60:$P$184,0),0)</f>
        <v>32</v>
      </c>
    </row>
    <row r="87" customFormat="false" ht="15" hidden="false" customHeight="false" outlineLevel="0" collapsed="false">
      <c r="M87" s="0" t="str">
        <f aca="false">IF(AND(ISNUMBER('Liste outils'!$E$33),Convertisseur!$C$14&gt;0),IF(ABS('Liste outils'!$E$33-Convertisseur!$C$14)&lt;0.0005,COUNTIFS('Liste outils'!$E$6:$E33,"&gt;"&amp;(Convertisseur!$C$14-0.0005),'Liste outils'!$E$6:$E33,"&lt;"&amp;(Convertisseur!$C$14+0.0005)),""),"")</f>
        <v/>
      </c>
      <c r="N87" s="0" t="n">
        <f aca="false">IF(AND(ISNUMBER('Liste outils'!$E$33),Convertisseur!$C$15&gt;0),IF(ABS('Liste outils'!$E$33-Convertisseur!$C$15)&lt;0.0005,COUNTIFS('Liste outils'!$E$6:$E33,"&gt;"&amp;(Convertisseur!$C$15-0.0005),'Liste outils'!$E$6:$E33,"&lt;"&amp;(Convertisseur!$C$15+0.0005)),""),"")</f>
        <v>4</v>
      </c>
      <c r="O87" s="0" t="str">
        <f aca="false">IF(AND(ISNUMBER('Liste outils'!$E$33),Convertisseur!$C$16&gt;0),IF(ABS('Liste outils'!$E$33-Convertisseur!$C$16)&lt;0.0005,COUNTIFS('Liste outils'!$E$6:$E33,"&gt;"&amp;(Convertisseur!$C$16-0.0005),'Liste outils'!$E$6:$E33,"&lt;"&amp;(Convertisseur!$C$16+0.0005)),""),"")</f>
        <v/>
      </c>
      <c r="P87" s="58" t="n">
        <f aca="false">IF(AND(OR('Recherche outils'!$B$5="Tous",'Recherche outils'!$B$5='Liste outils'!$C$33),OR(TRIM('Recherche outils'!$B$4&amp;"")="",ISNUMBER(SEARCH(TRIM('Recherche outils'!$B$4&amp;""),'Liste outils'!$B$33&amp;" "&amp;'Liste outils'!$C$33&amp;" "&amp;'Liste outils'!$J$33&amp;" "&amp;'Liste outils'!$O$33&amp;" "&amp;'Liste outils'!$P$33&amp;" "&amp;'Liste outils'!$Q$33&amp;" "&amp;'Liste outils'!$AA$33&amp;" "&amp;'Liste outils'!$AB$33&amp;" "&amp;'Liste outils'!$AC$33&amp;" "&amp;'Liste outils'!$T$33))),OR(NOT(ISNUMBER(Calcul!$L$11)),AND(ISNUMBER('Liste outils'!$E$33),ABS('Liste outils'!$E$33-IF(ISNUMBER(Calcul!$L$11),Calcul!$L$11,0))&lt;0.002)),OR(NOT(ISNUMBER(Calcul!$O$11)),AND(ISNUMBER('Liste outils'!$H$33),'Liste outils'!$H$33+0.000001&gt;=IF(ISNUMBER(Calcul!$O$11),Calcul!$O$11,0)))),IF(ISNUMBER('Liste outils'!$E$33),'Liste outils'!$E$33,99)*100000+IF(ISNUMBER('Liste outils'!$H$33),'Liste outils'!$H$33,99)*100+28/1000,"")</f>
        <v>25037.528</v>
      </c>
      <c r="R87" s="58" t="s">
        <v>384</v>
      </c>
      <c r="S87" s="58" t="n">
        <v>0.5</v>
      </c>
      <c r="T87" s="58" t="n">
        <v>0.406</v>
      </c>
      <c r="U87" s="58" t="n">
        <v>2</v>
      </c>
      <c r="V87" s="58" t="s">
        <v>722</v>
      </c>
      <c r="W87" s="58"/>
      <c r="X87" s="58" t="s">
        <v>385</v>
      </c>
      <c r="Y87" s="58" t="s">
        <v>387</v>
      </c>
      <c r="Z87" s="58" t="s">
        <v>388</v>
      </c>
      <c r="AA87" s="58" t="s">
        <v>285</v>
      </c>
      <c r="AB87" s="58"/>
      <c r="AC87" s="58" t="n">
        <v>0.008</v>
      </c>
      <c r="AD87" s="58" t="n">
        <v>0.012</v>
      </c>
      <c r="AE87" s="58" t="n">
        <v>0</v>
      </c>
      <c r="AF87" s="58" t="n">
        <v>1</v>
      </c>
      <c r="AG87" s="58" t="n">
        <v>1</v>
      </c>
      <c r="AH87" s="58" t="n">
        <v>0</v>
      </c>
      <c r="AI87" s="58"/>
      <c r="AJ87" s="58" t="n">
        <v>0.0096</v>
      </c>
      <c r="AK87" s="58" t="n">
        <v>0.0144</v>
      </c>
      <c r="AL87" s="58" t="n">
        <v>0</v>
      </c>
      <c r="AM87" s="58" t="n">
        <v>1</v>
      </c>
      <c r="AN87" s="58" t="n">
        <v>1</v>
      </c>
      <c r="AO87" s="58" t="n">
        <v>0</v>
      </c>
      <c r="AP87" s="58" t="n">
        <f aca="false">IF(Calcul!$I$5=1,AB87,AI87)</f>
        <v>0</v>
      </c>
      <c r="AQ87" s="58" t="n">
        <f aca="false">IF(Calcul!$I$5=1,AC87,AJ87)</f>
        <v>0.008</v>
      </c>
      <c r="AR87" s="58" t="n">
        <f aca="false">IF(Calcul!$I$5=1,AD87,AK87)</f>
        <v>0.012</v>
      </c>
      <c r="AS87" s="58" t="n">
        <f aca="false">IF(Calcul!$I$5=1,AE87,AL87)</f>
        <v>0</v>
      </c>
      <c r="AT87" s="58" t="n">
        <f aca="false">IF(Calcul!$I$5=1,AF87,AM87)</f>
        <v>1</v>
      </c>
      <c r="AU87" s="58" t="n">
        <f aca="false">IF(Calcul!$I$5=1,AG87,AN87)</f>
        <v>1</v>
      </c>
      <c r="AV87" s="58" t="n">
        <f aca="false">IF(Calcul!$I$5=1,AH87,AO87)</f>
        <v>0</v>
      </c>
      <c r="AW87" s="58" t="n">
        <f aca="false">IF(Calcul!$I$10&gt;0,MAX(1,ROUNDUP(Calcul!$I$10/S87-0.000001,0)),1)</f>
        <v>1</v>
      </c>
      <c r="AX87" s="58" t="n">
        <f aca="false">IF(Calcul!$I$10&gt;0,Calcul!$I$10/AW87,0)</f>
        <v>0.5</v>
      </c>
      <c r="AY87" s="58" t="n">
        <f aca="false">IF(Calcul!$I$10&gt;0,AX87/S87,1)</f>
        <v>1</v>
      </c>
      <c r="AZ87" s="58" t="n">
        <f aca="false">IF(AY87&lt;=1.0001,1,IF(AY87&lt;=2.0001,0.75,0.5))</f>
        <v>1</v>
      </c>
      <c r="BA87" s="58" t="n">
        <f aca="false">(AQ87+AR87)/2*AZ87</f>
        <v>0.01</v>
      </c>
      <c r="BB87" s="58" t="n">
        <f aca="false">IF(Calcul!$I$10&gt;0,IF(ISNUMBER(T87),IF(T87+0.000001&gt;=Calcul!$I$10,1,0),2),2)</f>
        <v>0</v>
      </c>
      <c r="BC87" s="58" t="n">
        <f aca="false">IF(AND(V87=Calcul!$I$8,ISNUMBER(U87),OR(AP87&lt;&gt;"",AT87=1),IF(Calcul!$I$8="straight",IF(Calcul!$I$10&gt;0,BB87=1,TRUE()),BB87&lt;&gt;0)),1,0)</f>
        <v>0</v>
      </c>
      <c r="BD87" s="58" t="n">
        <f aca="false">IF(AND(Calcul!$I$8="straight",ISNUMBER(SEARCH(Calcul!$I$9,W87))),1,0)</f>
        <v>0</v>
      </c>
      <c r="BE87" s="58" t="n">
        <f aca="false">IF(ABS(S87-0.5)&lt;0.0005,IF(Calcul!$I$7=2,18000,20000),IF(AND(Calcul!$I$6=1,Calcul!$I$7=2),17000,23000))</f>
        <v>20000</v>
      </c>
      <c r="BF87" s="58" t="n">
        <f aca="false">IF(ISNUMBER(U87),BE87*U87*BA87,0)</f>
        <v>400</v>
      </c>
      <c r="BG87" s="58" t="n">
        <f aca="false">BF87/AW87</f>
        <v>400</v>
      </c>
      <c r="BH87" s="58" t="n">
        <f aca="false">BD87*1000000000+IF(AP87&lt;&gt;"",100000000,0)+AT87*10000000+(50-MIN(AW87,49))*100000+AS87*10000+MIN(ROUND(BG87,0),9999)+S87/10-IF(ISNUMBER(T87),T87,9)/1000</f>
        <v>14900400.049594</v>
      </c>
      <c r="BI87" s="58" t="n">
        <f aca="false">IF(AND(Calcul!$I$10&gt;0,ISNUMBER(T87)),T87-Calcul!$I$10,99)</f>
        <v>-0.094</v>
      </c>
      <c r="BJ87" s="58" t="str">
        <f aca="false">IF(BC87=1,BD87*10000000-ROUND(BI87*1000,0)*1000+MIN(BH87/10000000,999),"")</f>
        <v/>
      </c>
      <c r="BK87" s="58" t="n">
        <f aca="false">IF(BC87=1,IF(BJ87=_xlfn.MAXIFS(Calcul!$BJ$60:$BJ$110,Calcul!$S$60:$S$110,S87,Calcul!$BC$60:$BC$110,1),1,0),0)</f>
        <v>0</v>
      </c>
      <c r="BL87" s="58" t="n">
        <f aca="false">IF(BC87=1,_xlfn.MAXIFS(Calcul!$BH$60:$BH$110,Calcul!$S$60:$S$110,S87,Calcul!$BC$60:$BC$110,1),0)</f>
        <v>0</v>
      </c>
      <c r="BM87" s="58" t="str">
        <f aca="false">IF(BC87=1,IF(BK87=1,10000000000+BL87,BH87)-ROW()/10000000,"")</f>
        <v/>
      </c>
      <c r="BN87" s="58"/>
      <c r="BY87" s="59" t="n">
        <f aca="false">IFERROR(MATCH(SMALL(Calcul!$P$60:$P$184,28),Calcul!$P$60:$P$184,0),0)</f>
        <v>39</v>
      </c>
    </row>
    <row r="88" customFormat="false" ht="15" hidden="false" customHeight="false" outlineLevel="0" collapsed="false">
      <c r="M88" s="0" t="str">
        <f aca="false">IF(AND(ISNUMBER('Liste outils'!$E$34),Convertisseur!$C$14&gt;0),IF(ABS('Liste outils'!$E$34-Convertisseur!$C$14)&lt;0.0005,COUNTIFS('Liste outils'!$E$6:$E34,"&gt;"&amp;(Convertisseur!$C$14-0.0005),'Liste outils'!$E$6:$E34,"&lt;"&amp;(Convertisseur!$C$14+0.0005)),""),"")</f>
        <v/>
      </c>
      <c r="N88" s="0" t="str">
        <f aca="false">IF(AND(ISNUMBER('Liste outils'!$E$34),Convertisseur!$C$15&gt;0),IF(ABS('Liste outils'!$E$34-Convertisseur!$C$15)&lt;0.0005,COUNTIFS('Liste outils'!$E$6:$E34,"&gt;"&amp;(Convertisseur!$C$15-0.0005),'Liste outils'!$E$6:$E34,"&lt;"&amp;(Convertisseur!$C$15+0.0005)),""),"")</f>
        <v/>
      </c>
      <c r="O88" s="0" t="str">
        <f aca="false">IF(AND(ISNUMBER('Liste outils'!$E$34),Convertisseur!$C$16&gt;0),IF(ABS('Liste outils'!$E$34-Convertisseur!$C$16)&lt;0.0005,COUNTIFS('Liste outils'!$E$6:$E34,"&gt;"&amp;(Convertisseur!$C$16-0.0005),'Liste outils'!$E$6:$E34,"&lt;"&amp;(Convertisseur!$C$16+0.0005)),""),"")</f>
        <v/>
      </c>
      <c r="P88" s="58" t="n">
        <f aca="false">IF(AND(OR('Recherche outils'!$B$5="Tous",'Recherche outils'!$B$5='Liste outils'!$C$34),OR(TRIM('Recherche outils'!$B$4&amp;"")="",ISNUMBER(SEARCH(TRIM('Recherche outils'!$B$4&amp;""),'Liste outils'!$B$34&amp;" "&amp;'Liste outils'!$C$34&amp;" "&amp;'Liste outils'!$J$34&amp;" "&amp;'Liste outils'!$O$34&amp;" "&amp;'Liste outils'!$P$34&amp;" "&amp;'Liste outils'!$Q$34&amp;" "&amp;'Liste outils'!$AA$34&amp;" "&amp;'Liste outils'!$AB$34&amp;" "&amp;'Liste outils'!$AC$34&amp;" "&amp;'Liste outils'!$T$34))),OR(NOT(ISNUMBER(Calcul!$L$11)),AND(ISNUMBER('Liste outils'!$E$34),ABS('Liste outils'!$E$34-IF(ISNUMBER(Calcul!$L$11),Calcul!$L$11,0))&lt;0.002)),OR(NOT(ISNUMBER(Calcul!$O$11)),AND(ISNUMBER('Liste outils'!$H$34),'Liste outils'!$H$34+0.000001&gt;=IF(ISNUMBER(Calcul!$O$11),Calcul!$O$11,0)))),IF(ISNUMBER('Liste outils'!$E$34),'Liste outils'!$E$34,99)*100000+IF(ISNUMBER('Liste outils'!$H$34),'Liste outils'!$H$34,99)*100+29/1000,"")</f>
        <v>12550.029</v>
      </c>
      <c r="R88" s="58" t="s">
        <v>389</v>
      </c>
      <c r="S88" s="58" t="n">
        <v>0.25</v>
      </c>
      <c r="T88" s="58" t="n">
        <v>0.875</v>
      </c>
      <c r="U88" s="58" t="n">
        <v>2</v>
      </c>
      <c r="V88" s="58" t="s">
        <v>740</v>
      </c>
      <c r="W88" s="58" t="s">
        <v>40</v>
      </c>
      <c r="X88" s="58" t="s">
        <v>390</v>
      </c>
      <c r="Y88" s="58" t="s">
        <v>392</v>
      </c>
      <c r="Z88" s="58" t="s">
        <v>393</v>
      </c>
      <c r="AA88" s="58" t="s">
        <v>285</v>
      </c>
      <c r="AB88" s="58" t="s">
        <v>741</v>
      </c>
      <c r="AC88" s="58" t="n">
        <v>0.004</v>
      </c>
      <c r="AD88" s="58" t="n">
        <v>0.006</v>
      </c>
      <c r="AE88" s="58" t="n">
        <v>0</v>
      </c>
      <c r="AF88" s="58" t="n">
        <v>1</v>
      </c>
      <c r="AG88" s="58" t="n">
        <v>0</v>
      </c>
      <c r="AH88" s="58" t="n">
        <v>18000</v>
      </c>
      <c r="AI88" s="58" t="s">
        <v>741</v>
      </c>
      <c r="AJ88" s="58" t="n">
        <v>0.004</v>
      </c>
      <c r="AK88" s="58" t="n">
        <v>0.006</v>
      </c>
      <c r="AL88" s="58" t="n">
        <v>0</v>
      </c>
      <c r="AM88" s="58" t="n">
        <v>1</v>
      </c>
      <c r="AN88" s="58" t="n">
        <v>0</v>
      </c>
      <c r="AO88" s="58" t="n">
        <v>18000</v>
      </c>
      <c r="AP88" s="58" t="str">
        <f aca="false">IF(Calcul!$I$5=1,AB88,AI88)</f>
        <v>52-200B/BL</v>
      </c>
      <c r="AQ88" s="58" t="n">
        <f aca="false">IF(Calcul!$I$5=1,AC88,AJ88)</f>
        <v>0.004</v>
      </c>
      <c r="AR88" s="58" t="n">
        <f aca="false">IF(Calcul!$I$5=1,AD88,AK88)</f>
        <v>0.006</v>
      </c>
      <c r="AS88" s="58" t="n">
        <f aca="false">IF(Calcul!$I$5=1,AE88,AL88)</f>
        <v>0</v>
      </c>
      <c r="AT88" s="58" t="n">
        <f aca="false">IF(Calcul!$I$5=1,AF88,AM88)</f>
        <v>1</v>
      </c>
      <c r="AU88" s="58" t="n">
        <f aca="false">IF(Calcul!$I$5=1,AG88,AN88)</f>
        <v>0</v>
      </c>
      <c r="AV88" s="58" t="n">
        <f aca="false">IF(Calcul!$I$5=1,AH88,AO88)</f>
        <v>18000</v>
      </c>
      <c r="AW88" s="58" t="n">
        <f aca="false">IF(Calcul!$I$10&gt;0,MAX(1,ROUNDUP(Calcul!$I$10/S88-0.000001,0)),1)</f>
        <v>2</v>
      </c>
      <c r="AX88" s="58" t="n">
        <f aca="false">IF(Calcul!$I$10&gt;0,Calcul!$I$10/AW88,0)</f>
        <v>0.25</v>
      </c>
      <c r="AY88" s="58" t="n">
        <f aca="false">IF(Calcul!$I$10&gt;0,AX88/S88,1)</f>
        <v>1</v>
      </c>
      <c r="AZ88" s="58" t="n">
        <f aca="false">IF(AY88&lt;=1.0001,1,IF(AY88&lt;=2.0001,0.75,0.5))</f>
        <v>1</v>
      </c>
      <c r="BA88" s="58" t="n">
        <f aca="false">(AQ88+AR88)/2*AZ88</f>
        <v>0.005</v>
      </c>
      <c r="BB88" s="58" t="n">
        <f aca="false">IF(Calcul!$I$10&gt;0,IF(ISNUMBER(T88),IF(T88+0.000001&gt;=Calcul!$I$10,1,0),2),2)</f>
        <v>1</v>
      </c>
      <c r="BC88" s="58" t="n">
        <f aca="false">IF(AND(V88=Calcul!$I$8,ISNUMBER(U88),OR(AP88&lt;&gt;"",AT88=1),IF(Calcul!$I$8="straight",IF(Calcul!$I$10&gt;0,BB88=1,TRUE()),BB88&lt;&gt;0)),1,0)</f>
        <v>0</v>
      </c>
      <c r="BD88" s="58" t="n">
        <f aca="false">IF(AND(Calcul!$I$8="straight",ISNUMBER(SEARCH(Calcul!$I$9,W88))),1,0)</f>
        <v>1</v>
      </c>
      <c r="BE88" s="58" t="n">
        <f aca="false">IF(ABS(S88-0.5)&lt;0.0005,IF(Calcul!$I$7=2,18000,20000),IF(AND(Calcul!$I$6=1,Calcul!$I$7=2),17000,23000))</f>
        <v>23000</v>
      </c>
      <c r="BF88" s="58" t="n">
        <f aca="false">IF(ISNUMBER(U88),BE88*U88*BA88,0)</f>
        <v>230</v>
      </c>
      <c r="BG88" s="58" t="n">
        <f aca="false">BF88/AW88</f>
        <v>115</v>
      </c>
      <c r="BH88" s="58" t="n">
        <f aca="false">BD88*1000000000+IF(AP88&lt;&gt;"",100000000,0)+AT88*10000000+(50-MIN(AW88,49))*100000+AS88*10000+MIN(ROUND(BG88,0),9999)+S88/10-IF(ISNUMBER(T88),T88,9)/1000</f>
        <v>1114800115.02413</v>
      </c>
      <c r="BI88" s="58" t="n">
        <f aca="false">IF(AND(Calcul!$I$10&gt;0,ISNUMBER(T88)),T88-Calcul!$I$10,99)</f>
        <v>0.375</v>
      </c>
      <c r="BJ88" s="58" t="str">
        <f aca="false">IF(BC88=1,BD88*10000000-ROUND(BI88*1000,0)*1000+MIN(BH88/10000000,999),"")</f>
        <v/>
      </c>
      <c r="BK88" s="58" t="n">
        <f aca="false">IF(BC88=1,IF(BJ88=_xlfn.MAXIFS(Calcul!$BJ$60:$BJ$110,Calcul!$S$60:$S$110,S88,Calcul!$BC$60:$BC$110,1),1,0),0)</f>
        <v>0</v>
      </c>
      <c r="BL88" s="58" t="n">
        <f aca="false">IF(BC88=1,_xlfn.MAXIFS(Calcul!$BH$60:$BH$110,Calcul!$S$60:$S$110,S88,Calcul!$BC$60:$BC$110,1),0)</f>
        <v>0</v>
      </c>
      <c r="BM88" s="58" t="str">
        <f aca="false">IF(BC88=1,IF(BK88=1,10000000000+BL88,BH88)-ROW()/10000000,"")</f>
        <v/>
      </c>
      <c r="BN88" s="58"/>
      <c r="BY88" s="59" t="n">
        <f aca="false">IFERROR(MATCH(SMALL(Calcul!$P$60:$P$184,29),Calcul!$P$60:$P$184,0),0)</f>
        <v>74</v>
      </c>
    </row>
    <row r="89" customFormat="false" ht="15" hidden="false" customHeight="false" outlineLevel="0" collapsed="false">
      <c r="M89" s="0" t="str">
        <f aca="false">IF(AND(ISNUMBER('Liste outils'!$E$35),Convertisseur!$C$14&gt;0),IF(ABS('Liste outils'!$E$35-Convertisseur!$C$14)&lt;0.0005,COUNTIFS('Liste outils'!$E$6:$E35,"&gt;"&amp;(Convertisseur!$C$14-0.0005),'Liste outils'!$E$6:$E35,"&lt;"&amp;(Convertisseur!$C$14+0.0005)),""),"")</f>
        <v/>
      </c>
      <c r="N89" s="0" t="str">
        <f aca="false">IF(AND(ISNUMBER('Liste outils'!$E$35),Convertisseur!$C$15&gt;0),IF(ABS('Liste outils'!$E$35-Convertisseur!$C$15)&lt;0.0005,COUNTIFS('Liste outils'!$E$6:$E35,"&gt;"&amp;(Convertisseur!$C$15-0.0005),'Liste outils'!$E$6:$E35,"&lt;"&amp;(Convertisseur!$C$15+0.0005)),""),"")</f>
        <v/>
      </c>
      <c r="O89" s="0" t="n">
        <f aca="false">IF(AND(ISNUMBER('Liste outils'!$E$35),Convertisseur!$C$16&gt;0),IF(ABS('Liste outils'!$E$35-Convertisseur!$C$16)&lt;0.0005,COUNTIFS('Liste outils'!$E$6:$E35,"&gt;"&amp;(Convertisseur!$C$16-0.0005),'Liste outils'!$E$6:$E35,"&lt;"&amp;(Convertisseur!$C$16+0.0005)),""),"")</f>
        <v>1</v>
      </c>
      <c r="P89" s="58" t="n">
        <f aca="false">IF(AND(OR('Recherche outils'!$B$5="Tous",'Recherche outils'!$B$5='Liste outils'!$C$35),OR(TRIM('Recherche outils'!$B$4&amp;"")="",ISNUMBER(SEARCH(TRIM('Recherche outils'!$B$4&amp;""),'Liste outils'!$B$35&amp;" "&amp;'Liste outils'!$C$35&amp;" "&amp;'Liste outils'!$J$35&amp;" "&amp;'Liste outils'!$O$35&amp;" "&amp;'Liste outils'!$P$35&amp;" "&amp;'Liste outils'!$Q$35&amp;" "&amp;'Liste outils'!$AA$35&amp;" "&amp;'Liste outils'!$AB$35&amp;" "&amp;'Liste outils'!$AC$35&amp;" "&amp;'Liste outils'!$T$35))),OR(NOT(ISNUMBER(Calcul!$L$11)),AND(ISNUMBER('Liste outils'!$E$35),ABS('Liste outils'!$E$35-IF(ISNUMBER(Calcul!$L$11),Calcul!$L$11,0))&lt;0.002)),OR(NOT(ISNUMBER(Calcul!$O$11)),AND(ISNUMBER('Liste outils'!$H$35),'Liste outils'!$H$35+0.000001&gt;=IF(ISNUMBER(Calcul!$O$11),Calcul!$O$11,0)))),IF(ISNUMBER('Liste outils'!$E$35),'Liste outils'!$E$35,99)*100000+IF(ISNUMBER('Liste outils'!$H$35),'Liste outils'!$H$35,99)*100+30/1000,"")</f>
        <v>18787.53</v>
      </c>
      <c r="R89" s="58" t="s">
        <v>394</v>
      </c>
      <c r="S89" s="58" t="n">
        <v>0.125</v>
      </c>
      <c r="T89" s="58" t="n">
        <v>0.5</v>
      </c>
      <c r="U89" s="58" t="n">
        <v>2</v>
      </c>
      <c r="V89" s="58" t="s">
        <v>740</v>
      </c>
      <c r="W89" s="58" t="s">
        <v>40</v>
      </c>
      <c r="X89" s="58" t="s">
        <v>395</v>
      </c>
      <c r="Y89" s="58" t="s">
        <v>392</v>
      </c>
      <c r="Z89" s="58" t="s">
        <v>393</v>
      </c>
      <c r="AA89" s="58" t="s">
        <v>285</v>
      </c>
      <c r="AB89" s="58" t="s">
        <v>741</v>
      </c>
      <c r="AC89" s="58" t="n">
        <v>0.002</v>
      </c>
      <c r="AD89" s="58" t="n">
        <v>0.004</v>
      </c>
      <c r="AE89" s="58" t="n">
        <v>0</v>
      </c>
      <c r="AF89" s="58" t="n">
        <v>1</v>
      </c>
      <c r="AG89" s="58" t="n">
        <v>0</v>
      </c>
      <c r="AH89" s="58" t="n">
        <v>18000</v>
      </c>
      <c r="AI89" s="58" t="s">
        <v>741</v>
      </c>
      <c r="AJ89" s="58" t="n">
        <v>0.002</v>
      </c>
      <c r="AK89" s="58" t="n">
        <v>0.004</v>
      </c>
      <c r="AL89" s="58" t="n">
        <v>0</v>
      </c>
      <c r="AM89" s="58" t="n">
        <v>1</v>
      </c>
      <c r="AN89" s="58" t="n">
        <v>0</v>
      </c>
      <c r="AO89" s="58" t="n">
        <v>18000</v>
      </c>
      <c r="AP89" s="58" t="str">
        <f aca="false">IF(Calcul!$I$5=1,AB89,AI89)</f>
        <v>52-200B/BL</v>
      </c>
      <c r="AQ89" s="58" t="n">
        <f aca="false">IF(Calcul!$I$5=1,AC89,AJ89)</f>
        <v>0.002</v>
      </c>
      <c r="AR89" s="58" t="n">
        <f aca="false">IF(Calcul!$I$5=1,AD89,AK89)</f>
        <v>0.004</v>
      </c>
      <c r="AS89" s="58" t="n">
        <f aca="false">IF(Calcul!$I$5=1,AE89,AL89)</f>
        <v>0</v>
      </c>
      <c r="AT89" s="58" t="n">
        <f aca="false">IF(Calcul!$I$5=1,AF89,AM89)</f>
        <v>1</v>
      </c>
      <c r="AU89" s="58" t="n">
        <f aca="false">IF(Calcul!$I$5=1,AG89,AN89)</f>
        <v>0</v>
      </c>
      <c r="AV89" s="58" t="n">
        <f aca="false">IF(Calcul!$I$5=1,AH89,AO89)</f>
        <v>18000</v>
      </c>
      <c r="AW89" s="58" t="n">
        <f aca="false">IF(Calcul!$I$10&gt;0,MAX(1,ROUNDUP(Calcul!$I$10/S89-0.000001,0)),1)</f>
        <v>4</v>
      </c>
      <c r="AX89" s="58" t="n">
        <f aca="false">IF(Calcul!$I$10&gt;0,Calcul!$I$10/AW89,0)</f>
        <v>0.125</v>
      </c>
      <c r="AY89" s="58" t="n">
        <f aca="false">IF(Calcul!$I$10&gt;0,AX89/S89,1)</f>
        <v>1</v>
      </c>
      <c r="AZ89" s="58" t="n">
        <f aca="false">IF(AY89&lt;=1.0001,1,IF(AY89&lt;=2.0001,0.75,0.5))</f>
        <v>1</v>
      </c>
      <c r="BA89" s="58" t="n">
        <f aca="false">(AQ89+AR89)/2*AZ89</f>
        <v>0.003</v>
      </c>
      <c r="BB89" s="58" t="n">
        <f aca="false">IF(Calcul!$I$10&gt;0,IF(ISNUMBER(T89),IF(T89+0.000001&gt;=Calcul!$I$10,1,0),2),2)</f>
        <v>1</v>
      </c>
      <c r="BC89" s="58" t="n">
        <f aca="false">IF(AND(V89=Calcul!$I$8,ISNUMBER(U89),OR(AP89&lt;&gt;"",AT89=1),IF(Calcul!$I$8="straight",IF(Calcul!$I$10&gt;0,BB89=1,TRUE()),BB89&lt;&gt;0)),1,0)</f>
        <v>0</v>
      </c>
      <c r="BD89" s="58" t="n">
        <f aca="false">IF(AND(Calcul!$I$8="straight",ISNUMBER(SEARCH(Calcul!$I$9,W89))),1,0)</f>
        <v>1</v>
      </c>
      <c r="BE89" s="58" t="n">
        <f aca="false">IF(ABS(S89-0.5)&lt;0.0005,IF(Calcul!$I$7=2,18000,20000),IF(AND(Calcul!$I$6=1,Calcul!$I$7=2),17000,23000))</f>
        <v>23000</v>
      </c>
      <c r="BF89" s="58" t="n">
        <f aca="false">IF(ISNUMBER(U89),BE89*U89*BA89,0)</f>
        <v>138</v>
      </c>
      <c r="BG89" s="58" t="n">
        <f aca="false">BF89/AW89</f>
        <v>34.5</v>
      </c>
      <c r="BH89" s="58" t="n">
        <f aca="false">BD89*1000000000+IF(AP89&lt;&gt;"",100000000,0)+AT89*10000000+(50-MIN(AW89,49))*100000+AS89*10000+MIN(ROUND(BG89,0),9999)+S89/10-IF(ISNUMBER(T89),T89,9)/1000</f>
        <v>1114600035.012</v>
      </c>
      <c r="BI89" s="58" t="n">
        <f aca="false">IF(AND(Calcul!$I$10&gt;0,ISNUMBER(T89)),T89-Calcul!$I$10,99)</f>
        <v>0</v>
      </c>
      <c r="BJ89" s="58" t="str">
        <f aca="false">IF(BC89=1,BD89*10000000-ROUND(BI89*1000,0)*1000+MIN(BH89/10000000,999),"")</f>
        <v/>
      </c>
      <c r="BK89" s="58" t="n">
        <f aca="false">IF(BC89=1,IF(BJ89=_xlfn.MAXIFS(Calcul!$BJ$60:$BJ$110,Calcul!$S$60:$S$110,S89,Calcul!$BC$60:$BC$110,1),1,0),0)</f>
        <v>0</v>
      </c>
      <c r="BL89" s="58" t="n">
        <f aca="false">IF(BC89=1,_xlfn.MAXIFS(Calcul!$BH$60:$BH$110,Calcul!$S$60:$S$110,S89,Calcul!$BC$60:$BC$110,1),0)</f>
        <v>0</v>
      </c>
      <c r="BM89" s="58" t="str">
        <f aca="false">IF(BC89=1,IF(BK89=1,10000000000+BL89,BH89)-ROW()/10000000,"")</f>
        <v/>
      </c>
      <c r="BN89" s="58"/>
      <c r="BY89" s="59" t="n">
        <f aca="false">IFERROR(MATCH(SMALL(Calcul!$P$60:$P$184,30),Calcul!$P$60:$P$184,0),0)</f>
        <v>53</v>
      </c>
    </row>
    <row r="90" customFormat="false" ht="15" hidden="false" customHeight="false" outlineLevel="0" collapsed="false">
      <c r="M90" s="0" t="str">
        <f aca="false">IF(AND(ISNUMBER('Liste outils'!$E$36),Convertisseur!$C$14&gt;0),IF(ABS('Liste outils'!$E$36-Convertisseur!$C$14)&lt;0.0005,COUNTIFS('Liste outils'!$E$6:$E36,"&gt;"&amp;(Convertisseur!$C$14-0.0005),'Liste outils'!$E$6:$E36,"&lt;"&amp;(Convertisseur!$C$14+0.0005)),""),"")</f>
        <v/>
      </c>
      <c r="N90" s="0" t="str">
        <f aca="false">IF(AND(ISNUMBER('Liste outils'!$E$36),Convertisseur!$C$15&gt;0),IF(ABS('Liste outils'!$E$36-Convertisseur!$C$15)&lt;0.0005,COUNTIFS('Liste outils'!$E$6:$E36,"&gt;"&amp;(Convertisseur!$C$15-0.0005),'Liste outils'!$E$6:$E36,"&lt;"&amp;(Convertisseur!$C$15+0.0005)),""),"")</f>
        <v/>
      </c>
      <c r="O90" s="0" t="n">
        <f aca="false">IF(AND(ISNUMBER('Liste outils'!$E$36),Convertisseur!$C$16&gt;0),IF(ABS('Liste outils'!$E$36-Convertisseur!$C$16)&lt;0.0005,COUNTIFS('Liste outils'!$E$6:$E36,"&gt;"&amp;(Convertisseur!$C$16-0.0005),'Liste outils'!$E$6:$E36,"&lt;"&amp;(Convertisseur!$C$16+0.0005)),""),"")</f>
        <v>2</v>
      </c>
      <c r="P90" s="58" t="n">
        <f aca="false">IF(AND(OR('Recherche outils'!$B$5="Tous",'Recherche outils'!$B$5='Liste outils'!$C$36),OR(TRIM('Recherche outils'!$B$4&amp;"")="",ISNUMBER(SEARCH(TRIM('Recherche outils'!$B$4&amp;""),'Liste outils'!$B$36&amp;" "&amp;'Liste outils'!$C$36&amp;" "&amp;'Liste outils'!$J$36&amp;" "&amp;'Liste outils'!$O$36&amp;" "&amp;'Liste outils'!$P$36&amp;" "&amp;'Liste outils'!$Q$36&amp;" "&amp;'Liste outils'!$AA$36&amp;" "&amp;'Liste outils'!$AB$36&amp;" "&amp;'Liste outils'!$AC$36&amp;" "&amp;'Liste outils'!$T$36))),OR(NOT(ISNUMBER(Calcul!$L$11)),AND(ISNUMBER('Liste outils'!$E$36),ABS('Liste outils'!$E$36-IF(ISNUMBER(Calcul!$L$11),Calcul!$L$11,0))&lt;0.002)),OR(NOT(ISNUMBER(Calcul!$O$11)),AND(ISNUMBER('Liste outils'!$H$36),'Liste outils'!$H$36+0.000001&gt;=IF(ISNUMBER(Calcul!$O$11),Calcul!$O$11,0)))),IF(ISNUMBER('Liste outils'!$E$36),'Liste outils'!$E$36,99)*100000+IF(ISNUMBER('Liste outils'!$H$36),'Liste outils'!$H$36,99)*100+31/1000,"")</f>
        <v>18787.531</v>
      </c>
      <c r="R90" s="58" t="s">
        <v>396</v>
      </c>
      <c r="S90" s="58" t="n">
        <v>0.25</v>
      </c>
      <c r="T90" s="58" t="n">
        <v>0.125</v>
      </c>
      <c r="U90" s="58" t="n">
        <v>1</v>
      </c>
      <c r="V90" s="58" t="s">
        <v>722</v>
      </c>
      <c r="W90" s="58"/>
      <c r="X90" s="58" t="s">
        <v>742</v>
      </c>
      <c r="Y90" s="58" t="s">
        <v>392</v>
      </c>
      <c r="Z90" s="58" t="s">
        <v>400</v>
      </c>
      <c r="AA90" s="58" t="s">
        <v>285</v>
      </c>
      <c r="AB90" s="58"/>
      <c r="AC90" s="58" t="n">
        <v>0.004</v>
      </c>
      <c r="AD90" s="58" t="n">
        <v>0.006</v>
      </c>
      <c r="AE90" s="58" t="n">
        <v>0</v>
      </c>
      <c r="AF90" s="58" t="n">
        <v>0</v>
      </c>
      <c r="AG90" s="58" t="n">
        <v>1</v>
      </c>
      <c r="AH90" s="58" t="n">
        <v>0</v>
      </c>
      <c r="AI90" s="58"/>
      <c r="AJ90" s="58" t="n">
        <v>0.0048</v>
      </c>
      <c r="AK90" s="58" t="n">
        <v>0.0072</v>
      </c>
      <c r="AL90" s="58" t="n">
        <v>0</v>
      </c>
      <c r="AM90" s="58" t="n">
        <v>0</v>
      </c>
      <c r="AN90" s="58" t="n">
        <v>1</v>
      </c>
      <c r="AO90" s="58" t="n">
        <v>0</v>
      </c>
      <c r="AP90" s="58" t="n">
        <f aca="false">IF(Calcul!$I$5=1,AB90,AI90)</f>
        <v>0</v>
      </c>
      <c r="AQ90" s="58" t="n">
        <f aca="false">IF(Calcul!$I$5=1,AC90,AJ90)</f>
        <v>0.004</v>
      </c>
      <c r="AR90" s="58" t="n">
        <f aca="false">IF(Calcul!$I$5=1,AD90,AK90)</f>
        <v>0.006</v>
      </c>
      <c r="AS90" s="58" t="n">
        <f aca="false">IF(Calcul!$I$5=1,AE90,AL90)</f>
        <v>0</v>
      </c>
      <c r="AT90" s="58" t="n">
        <f aca="false">IF(Calcul!$I$5=1,AF90,AM90)</f>
        <v>0</v>
      </c>
      <c r="AU90" s="58" t="n">
        <f aca="false">IF(Calcul!$I$5=1,AG90,AN90)</f>
        <v>1</v>
      </c>
      <c r="AV90" s="58" t="n">
        <f aca="false">IF(Calcul!$I$5=1,AH90,AO90)</f>
        <v>0</v>
      </c>
      <c r="AW90" s="58" t="n">
        <f aca="false">IF(Calcul!$I$10&gt;0,MAX(1,ROUNDUP(Calcul!$I$10/S90-0.000001,0)),1)</f>
        <v>2</v>
      </c>
      <c r="AX90" s="58" t="n">
        <f aca="false">IF(Calcul!$I$10&gt;0,Calcul!$I$10/AW90,0)</f>
        <v>0.25</v>
      </c>
      <c r="AY90" s="58" t="n">
        <f aca="false">IF(Calcul!$I$10&gt;0,AX90/S90,1)</f>
        <v>1</v>
      </c>
      <c r="AZ90" s="58" t="n">
        <f aca="false">IF(AY90&lt;=1.0001,1,IF(AY90&lt;=2.0001,0.75,0.5))</f>
        <v>1</v>
      </c>
      <c r="BA90" s="58" t="n">
        <f aca="false">(AQ90+AR90)/2*AZ90</f>
        <v>0.005</v>
      </c>
      <c r="BB90" s="58" t="n">
        <f aca="false">IF(Calcul!$I$10&gt;0,IF(ISNUMBER(T90),IF(T90+0.000001&gt;=Calcul!$I$10,1,0),2),2)</f>
        <v>0</v>
      </c>
      <c r="BC90" s="58" t="n">
        <f aca="false">IF(AND(V90=Calcul!$I$8,ISNUMBER(U90),OR(AP90&lt;&gt;"",AT90=1),IF(Calcul!$I$8="straight",IF(Calcul!$I$10&gt;0,BB90=1,TRUE()),BB90&lt;&gt;0)),1,0)</f>
        <v>0</v>
      </c>
      <c r="BD90" s="58" t="n">
        <f aca="false">IF(AND(Calcul!$I$8="straight",ISNUMBER(SEARCH(Calcul!$I$9,W90))),1,0)</f>
        <v>0</v>
      </c>
      <c r="BE90" s="58" t="n">
        <f aca="false">IF(ABS(S90-0.5)&lt;0.0005,IF(Calcul!$I$7=2,18000,20000),IF(AND(Calcul!$I$6=1,Calcul!$I$7=2),17000,23000))</f>
        <v>23000</v>
      </c>
      <c r="BF90" s="58" t="n">
        <f aca="false">IF(ISNUMBER(U90),BE90*U90*BA90,0)</f>
        <v>115</v>
      </c>
      <c r="BG90" s="58" t="n">
        <f aca="false">BF90/AW90</f>
        <v>57.5</v>
      </c>
      <c r="BH90" s="58" t="n">
        <f aca="false">BD90*1000000000+IF(AP90&lt;&gt;"",100000000,0)+AT90*10000000+(50-MIN(AW90,49))*100000+AS90*10000+MIN(ROUND(BG90,0),9999)+S90/10-IF(ISNUMBER(T90),T90,9)/1000</f>
        <v>4800058.024875</v>
      </c>
      <c r="BI90" s="58" t="n">
        <f aca="false">IF(AND(Calcul!$I$10&gt;0,ISNUMBER(T90)),T90-Calcul!$I$10,99)</f>
        <v>-0.375</v>
      </c>
      <c r="BJ90" s="58" t="str">
        <f aca="false">IF(BC90=1,BD90*10000000-ROUND(BI90*1000,0)*1000+MIN(BH90/10000000,999),"")</f>
        <v/>
      </c>
      <c r="BK90" s="58" t="n">
        <f aca="false">IF(BC90=1,IF(BJ90=_xlfn.MAXIFS(Calcul!$BJ$60:$BJ$110,Calcul!$S$60:$S$110,S90,Calcul!$BC$60:$BC$110,1),1,0),0)</f>
        <v>0</v>
      </c>
      <c r="BL90" s="58" t="n">
        <f aca="false">IF(BC90=1,_xlfn.MAXIFS(Calcul!$BH$60:$BH$110,Calcul!$S$60:$S$110,S90,Calcul!$BC$60:$BC$110,1),0)</f>
        <v>0</v>
      </c>
      <c r="BM90" s="58" t="str">
        <f aca="false">IF(BC90=1,IF(BK90=1,10000000000+BL90,BH90)-ROW()/10000000,"")</f>
        <v/>
      </c>
      <c r="BN90" s="58"/>
      <c r="BY90" s="59" t="n">
        <f aca="false">IFERROR(MATCH(SMALL(Calcul!$P$60:$P$184,31),Calcul!$P$60:$P$184,0),0)</f>
        <v>40</v>
      </c>
    </row>
    <row r="91" customFormat="false" ht="15" hidden="false" customHeight="false" outlineLevel="0" collapsed="false">
      <c r="M91" s="0" t="str">
        <f aca="false">IF(AND(ISNUMBER('Liste outils'!$E$37),Convertisseur!$C$14&gt;0),IF(ABS('Liste outils'!$E$37-Convertisseur!$C$14)&lt;0.0005,COUNTIFS('Liste outils'!$E$6:$E37,"&gt;"&amp;(Convertisseur!$C$14-0.0005),'Liste outils'!$E$6:$E37,"&lt;"&amp;(Convertisseur!$C$14+0.0005)),""),"")</f>
        <v/>
      </c>
      <c r="N91" s="0" t="n">
        <f aca="false">IF(AND(ISNUMBER('Liste outils'!$E$37),Convertisseur!$C$15&gt;0),IF(ABS('Liste outils'!$E$37-Convertisseur!$C$15)&lt;0.0005,COUNTIFS('Liste outils'!$E$6:$E37,"&gt;"&amp;(Convertisseur!$C$15-0.0005),'Liste outils'!$E$6:$E37,"&lt;"&amp;(Convertisseur!$C$15+0.0005)),""),"")</f>
        <v>5</v>
      </c>
      <c r="O91" s="0" t="str">
        <f aca="false">IF(AND(ISNUMBER('Liste outils'!$E$37),Convertisseur!$C$16&gt;0),IF(ABS('Liste outils'!$E$37-Convertisseur!$C$16)&lt;0.0005,COUNTIFS('Liste outils'!$E$6:$E37,"&gt;"&amp;(Convertisseur!$C$16-0.0005),'Liste outils'!$E$6:$E37,"&lt;"&amp;(Convertisseur!$C$16+0.0005)),""),"")</f>
        <v/>
      </c>
      <c r="P91" s="58" t="n">
        <f aca="false">IF(AND(OR('Recherche outils'!$B$5="Tous",'Recherche outils'!$B$5='Liste outils'!$C$37),OR(TRIM('Recherche outils'!$B$4&amp;"")="",ISNUMBER(SEARCH(TRIM('Recherche outils'!$B$4&amp;""),'Liste outils'!$B$37&amp;" "&amp;'Liste outils'!$C$37&amp;" "&amp;'Liste outils'!$J$37&amp;" "&amp;'Liste outils'!$O$37&amp;" "&amp;'Liste outils'!$P$37&amp;" "&amp;'Liste outils'!$Q$37&amp;" "&amp;'Liste outils'!$AA$37&amp;" "&amp;'Liste outils'!$AB$37&amp;" "&amp;'Liste outils'!$AC$37&amp;" "&amp;'Liste outils'!$T$37))),OR(NOT(ISNUMBER(Calcul!$L$11)),AND(ISNUMBER('Liste outils'!$E$37),ABS('Liste outils'!$E$37-IF(ISNUMBER(Calcul!$L$11),Calcul!$L$11,0))&lt;0.002)),OR(NOT(ISNUMBER(Calcul!$O$11)),AND(ISNUMBER('Liste outils'!$H$37),'Liste outils'!$H$37+0.000001&gt;=IF(ISNUMBER(Calcul!$O$11),Calcul!$O$11,0)))),IF(ISNUMBER('Liste outils'!$E$37),'Liste outils'!$E$37,99)*100000+IF(ISNUMBER('Liste outils'!$H$37),'Liste outils'!$H$37,99)*100+32/1000,"")</f>
        <v>25075.032</v>
      </c>
      <c r="R91" s="58" t="s">
        <v>401</v>
      </c>
      <c r="S91" s="58" t="n">
        <v>0.125</v>
      </c>
      <c r="T91" s="58"/>
      <c r="U91" s="58" t="n">
        <v>1</v>
      </c>
      <c r="V91" s="58" t="s">
        <v>722</v>
      </c>
      <c r="W91" s="58"/>
      <c r="X91" s="58" t="s">
        <v>402</v>
      </c>
      <c r="Y91" s="58" t="s">
        <v>392</v>
      </c>
      <c r="Z91" s="58" t="s">
        <v>404</v>
      </c>
      <c r="AA91" s="58" t="s">
        <v>285</v>
      </c>
      <c r="AB91" s="58"/>
      <c r="AC91" s="58" t="n">
        <v>0.002</v>
      </c>
      <c r="AD91" s="58" t="n">
        <v>0.003</v>
      </c>
      <c r="AE91" s="58" t="n">
        <v>0</v>
      </c>
      <c r="AF91" s="58" t="n">
        <v>1</v>
      </c>
      <c r="AG91" s="58" t="n">
        <v>1</v>
      </c>
      <c r="AH91" s="58" t="n">
        <v>0</v>
      </c>
      <c r="AI91" s="58"/>
      <c r="AJ91" s="58" t="n">
        <v>0.0024</v>
      </c>
      <c r="AK91" s="58" t="n">
        <v>0.0036</v>
      </c>
      <c r="AL91" s="58" t="n">
        <v>0</v>
      </c>
      <c r="AM91" s="58" t="n">
        <v>1</v>
      </c>
      <c r="AN91" s="58" t="n">
        <v>1</v>
      </c>
      <c r="AO91" s="58" t="n">
        <v>0</v>
      </c>
      <c r="AP91" s="58" t="n">
        <f aca="false">IF(Calcul!$I$5=1,AB91,AI91)</f>
        <v>0</v>
      </c>
      <c r="AQ91" s="58" t="n">
        <f aca="false">IF(Calcul!$I$5=1,AC91,AJ91)</f>
        <v>0.002</v>
      </c>
      <c r="AR91" s="58" t="n">
        <f aca="false">IF(Calcul!$I$5=1,AD91,AK91)</f>
        <v>0.003</v>
      </c>
      <c r="AS91" s="58" t="n">
        <f aca="false">IF(Calcul!$I$5=1,AE91,AL91)</f>
        <v>0</v>
      </c>
      <c r="AT91" s="58" t="n">
        <f aca="false">IF(Calcul!$I$5=1,AF91,AM91)</f>
        <v>1</v>
      </c>
      <c r="AU91" s="58" t="n">
        <f aca="false">IF(Calcul!$I$5=1,AG91,AN91)</f>
        <v>1</v>
      </c>
      <c r="AV91" s="58" t="n">
        <f aca="false">IF(Calcul!$I$5=1,AH91,AO91)</f>
        <v>0</v>
      </c>
      <c r="AW91" s="58" t="n">
        <f aca="false">IF(Calcul!$I$10&gt;0,MAX(1,ROUNDUP(Calcul!$I$10/S91-0.000001,0)),1)</f>
        <v>4</v>
      </c>
      <c r="AX91" s="58" t="n">
        <f aca="false">IF(Calcul!$I$10&gt;0,Calcul!$I$10/AW91,0)</f>
        <v>0.125</v>
      </c>
      <c r="AY91" s="58" t="n">
        <f aca="false">IF(Calcul!$I$10&gt;0,AX91/S91,1)</f>
        <v>1</v>
      </c>
      <c r="AZ91" s="58" t="n">
        <f aca="false">IF(AY91&lt;=1.0001,1,IF(AY91&lt;=2.0001,0.75,0.5))</f>
        <v>1</v>
      </c>
      <c r="BA91" s="58" t="n">
        <f aca="false">(AQ91+AR91)/2*AZ91</f>
        <v>0.0025</v>
      </c>
      <c r="BB91" s="58" t="n">
        <f aca="false">IF(Calcul!$I$10&gt;0,IF(ISNUMBER(T91),IF(T91+0.000001&gt;=Calcul!$I$10,1,0),2),2)</f>
        <v>2</v>
      </c>
      <c r="BC91" s="58" t="n">
        <f aca="false">IF(AND(V91=Calcul!$I$8,ISNUMBER(U91),OR(AP91&lt;&gt;"",AT91=1),IF(Calcul!$I$8="straight",IF(Calcul!$I$10&gt;0,BB91=1,TRUE()),BB91&lt;&gt;0)),1,0)</f>
        <v>0</v>
      </c>
      <c r="BD91" s="58" t="n">
        <f aca="false">IF(AND(Calcul!$I$8="straight",ISNUMBER(SEARCH(Calcul!$I$9,W91))),1,0)</f>
        <v>0</v>
      </c>
      <c r="BE91" s="58" t="n">
        <f aca="false">IF(ABS(S91-0.5)&lt;0.0005,IF(Calcul!$I$7=2,18000,20000),IF(AND(Calcul!$I$6=1,Calcul!$I$7=2),17000,23000))</f>
        <v>23000</v>
      </c>
      <c r="BF91" s="58" t="n">
        <f aca="false">IF(ISNUMBER(U91),BE91*U91*BA91,0)</f>
        <v>57.5</v>
      </c>
      <c r="BG91" s="58" t="n">
        <f aca="false">BF91/AW91</f>
        <v>14.375</v>
      </c>
      <c r="BH91" s="58" t="n">
        <f aca="false">BD91*1000000000+IF(AP91&lt;&gt;"",100000000,0)+AT91*10000000+(50-MIN(AW91,49))*100000+AS91*10000+MIN(ROUND(BG91,0),9999)+S91/10-IF(ISNUMBER(T91),T91,9)/1000</f>
        <v>14600014.0035</v>
      </c>
      <c r="BI91" s="58" t="n">
        <f aca="false">IF(AND(Calcul!$I$10&gt;0,ISNUMBER(T91)),T91-Calcul!$I$10,99)</f>
        <v>99</v>
      </c>
      <c r="BJ91" s="58" t="str">
        <f aca="false">IF(BC91=1,BD91*10000000-ROUND(BI91*1000,0)*1000+MIN(BH91/10000000,999),"")</f>
        <v/>
      </c>
      <c r="BK91" s="58" t="n">
        <f aca="false">IF(BC91=1,IF(BJ91=_xlfn.MAXIFS(Calcul!$BJ$60:$BJ$110,Calcul!$S$60:$S$110,S91,Calcul!$BC$60:$BC$110,1),1,0),0)</f>
        <v>0</v>
      </c>
      <c r="BL91" s="58" t="n">
        <f aca="false">IF(BC91=1,_xlfn.MAXIFS(Calcul!$BH$60:$BH$110,Calcul!$S$60:$S$110,S91,Calcul!$BC$60:$BC$110,1),0)</f>
        <v>0</v>
      </c>
      <c r="BM91" s="58" t="str">
        <f aca="false">IF(BC91=1,IF(BK91=1,10000000000+BL91,BH91)-ROW()/10000000,"")</f>
        <v/>
      </c>
      <c r="BN91" s="58"/>
      <c r="BY91" s="59" t="n">
        <f aca="false">IFERROR(MATCH(SMALL(Calcul!$P$60:$P$184,32),Calcul!$P$60:$P$184,0),0)</f>
        <v>36</v>
      </c>
    </row>
    <row r="92" customFormat="false" ht="15" hidden="false" customHeight="false" outlineLevel="0" collapsed="false">
      <c r="M92" s="0" t="str">
        <f aca="false">IF(AND(ISNUMBER('Liste outils'!$E$38),Convertisseur!$C$14&gt;0),IF(ABS('Liste outils'!$E$38-Convertisseur!$C$14)&lt;0.0005,COUNTIFS('Liste outils'!$E$6:$E38,"&gt;"&amp;(Convertisseur!$C$14-0.0005),'Liste outils'!$E$6:$E38,"&lt;"&amp;(Convertisseur!$C$14+0.0005)),""),"")</f>
        <v/>
      </c>
      <c r="N92" s="0" t="str">
        <f aca="false">IF(AND(ISNUMBER('Liste outils'!$E$38),Convertisseur!$C$15&gt;0),IF(ABS('Liste outils'!$E$38-Convertisseur!$C$15)&lt;0.0005,COUNTIFS('Liste outils'!$E$6:$E38,"&gt;"&amp;(Convertisseur!$C$15-0.0005),'Liste outils'!$E$6:$E38,"&lt;"&amp;(Convertisseur!$C$15+0.0005)),""),"")</f>
        <v/>
      </c>
      <c r="O92" s="0" t="n">
        <f aca="false">IF(AND(ISNUMBER('Liste outils'!$E$38),Convertisseur!$C$16&gt;0),IF(ABS('Liste outils'!$E$38-Convertisseur!$C$16)&lt;0.0005,COUNTIFS('Liste outils'!$E$6:$E38,"&gt;"&amp;(Convertisseur!$C$16-0.0005),'Liste outils'!$E$6:$E38,"&lt;"&amp;(Convertisseur!$C$16+0.0005)),""),"")</f>
        <v>3</v>
      </c>
      <c r="P92" s="58" t="n">
        <f aca="false">IF(AND(OR('Recherche outils'!$B$5="Tous",'Recherche outils'!$B$5='Liste outils'!$C$38),OR(TRIM('Recherche outils'!$B$4&amp;"")="",ISNUMBER(SEARCH(TRIM('Recherche outils'!$B$4&amp;""),'Liste outils'!$B$38&amp;" "&amp;'Liste outils'!$C$38&amp;" "&amp;'Liste outils'!$J$38&amp;" "&amp;'Liste outils'!$O$38&amp;" "&amp;'Liste outils'!$P$38&amp;" "&amp;'Liste outils'!$Q$38&amp;" "&amp;'Liste outils'!$AA$38&amp;" "&amp;'Liste outils'!$AB$38&amp;" "&amp;'Liste outils'!$AC$38&amp;" "&amp;'Liste outils'!$T$38))),OR(NOT(ISNUMBER(Calcul!$L$11)),AND(ISNUMBER('Liste outils'!$E$38),ABS('Liste outils'!$E$38-IF(ISNUMBER(Calcul!$L$11),Calcul!$L$11,0))&lt;0.002)),OR(NOT(ISNUMBER(Calcul!$O$11)),AND(ISNUMBER('Liste outils'!$H$38),'Liste outils'!$H$38+0.000001&gt;=IF(ISNUMBER(Calcul!$O$11),Calcul!$O$11,0)))),IF(ISNUMBER('Liste outils'!$E$38),'Liste outils'!$E$38,99)*100000+IF(ISNUMBER('Liste outils'!$H$38),'Liste outils'!$H$38,99)*100+33/1000,"")</f>
        <v>18812.533</v>
      </c>
      <c r="R92" s="58" t="s">
        <v>405</v>
      </c>
      <c r="S92" s="58" t="n">
        <v>0.125</v>
      </c>
      <c r="T92" s="58"/>
      <c r="U92" s="58" t="n">
        <v>1</v>
      </c>
      <c r="V92" s="58" t="s">
        <v>722</v>
      </c>
      <c r="W92" s="58" t="s">
        <v>40</v>
      </c>
      <c r="X92" s="58" t="s">
        <v>406</v>
      </c>
      <c r="Y92" s="58" t="s">
        <v>392</v>
      </c>
      <c r="Z92" s="58" t="s">
        <v>400</v>
      </c>
      <c r="AA92" s="58" t="s">
        <v>285</v>
      </c>
      <c r="AB92" s="58"/>
      <c r="AC92" s="58" t="n">
        <v>0.002</v>
      </c>
      <c r="AD92" s="58" t="n">
        <v>0.003</v>
      </c>
      <c r="AE92" s="58" t="n">
        <v>0</v>
      </c>
      <c r="AF92" s="58" t="n">
        <v>0</v>
      </c>
      <c r="AG92" s="58" t="n">
        <v>1</v>
      </c>
      <c r="AH92" s="58" t="n">
        <v>0</v>
      </c>
      <c r="AI92" s="58"/>
      <c r="AJ92" s="58" t="n">
        <v>0.0024</v>
      </c>
      <c r="AK92" s="58" t="n">
        <v>0.0036</v>
      </c>
      <c r="AL92" s="58" t="n">
        <v>0</v>
      </c>
      <c r="AM92" s="58" t="n">
        <v>0</v>
      </c>
      <c r="AN92" s="58" t="n">
        <v>1</v>
      </c>
      <c r="AO92" s="58" t="n">
        <v>0</v>
      </c>
      <c r="AP92" s="58" t="n">
        <f aca="false">IF(Calcul!$I$5=1,AB92,AI92)</f>
        <v>0</v>
      </c>
      <c r="AQ92" s="58" t="n">
        <f aca="false">IF(Calcul!$I$5=1,AC92,AJ92)</f>
        <v>0.002</v>
      </c>
      <c r="AR92" s="58" t="n">
        <f aca="false">IF(Calcul!$I$5=1,AD92,AK92)</f>
        <v>0.003</v>
      </c>
      <c r="AS92" s="58" t="n">
        <f aca="false">IF(Calcul!$I$5=1,AE92,AL92)</f>
        <v>0</v>
      </c>
      <c r="AT92" s="58" t="n">
        <f aca="false">IF(Calcul!$I$5=1,AF92,AM92)</f>
        <v>0</v>
      </c>
      <c r="AU92" s="58" t="n">
        <f aca="false">IF(Calcul!$I$5=1,AG92,AN92)</f>
        <v>1</v>
      </c>
      <c r="AV92" s="58" t="n">
        <f aca="false">IF(Calcul!$I$5=1,AH92,AO92)</f>
        <v>0</v>
      </c>
      <c r="AW92" s="58" t="n">
        <f aca="false">IF(Calcul!$I$10&gt;0,MAX(1,ROUNDUP(Calcul!$I$10/S92-0.000001,0)),1)</f>
        <v>4</v>
      </c>
      <c r="AX92" s="58" t="n">
        <f aca="false">IF(Calcul!$I$10&gt;0,Calcul!$I$10/AW92,0)</f>
        <v>0.125</v>
      </c>
      <c r="AY92" s="58" t="n">
        <f aca="false">IF(Calcul!$I$10&gt;0,AX92/S92,1)</f>
        <v>1</v>
      </c>
      <c r="AZ92" s="58" t="n">
        <f aca="false">IF(AY92&lt;=1.0001,1,IF(AY92&lt;=2.0001,0.75,0.5))</f>
        <v>1</v>
      </c>
      <c r="BA92" s="58" t="n">
        <f aca="false">(AQ92+AR92)/2*AZ92</f>
        <v>0.0025</v>
      </c>
      <c r="BB92" s="58" t="n">
        <f aca="false">IF(Calcul!$I$10&gt;0,IF(ISNUMBER(T92),IF(T92+0.000001&gt;=Calcul!$I$10,1,0),2),2)</f>
        <v>2</v>
      </c>
      <c r="BC92" s="58" t="n">
        <f aca="false">IF(AND(V92=Calcul!$I$8,ISNUMBER(U92),OR(AP92&lt;&gt;"",AT92=1),IF(Calcul!$I$8="straight",IF(Calcul!$I$10&gt;0,BB92=1,TRUE()),BB92&lt;&gt;0)),1,0)</f>
        <v>0</v>
      </c>
      <c r="BD92" s="58" t="n">
        <f aca="false">IF(AND(Calcul!$I$8="straight",ISNUMBER(SEARCH(Calcul!$I$9,W92))),1,0)</f>
        <v>1</v>
      </c>
      <c r="BE92" s="58" t="n">
        <f aca="false">IF(ABS(S92-0.5)&lt;0.0005,IF(Calcul!$I$7=2,18000,20000),IF(AND(Calcul!$I$6=1,Calcul!$I$7=2),17000,23000))</f>
        <v>23000</v>
      </c>
      <c r="BF92" s="58" t="n">
        <f aca="false">IF(ISNUMBER(U92),BE92*U92*BA92,0)</f>
        <v>57.5</v>
      </c>
      <c r="BG92" s="58" t="n">
        <f aca="false">BF92/AW92</f>
        <v>14.375</v>
      </c>
      <c r="BH92" s="58" t="n">
        <f aca="false">BD92*1000000000+IF(AP92&lt;&gt;"",100000000,0)+AT92*10000000+(50-MIN(AW92,49))*100000+AS92*10000+MIN(ROUND(BG92,0),9999)+S92/10-IF(ISNUMBER(T92),T92,9)/1000</f>
        <v>1004600014.0035</v>
      </c>
      <c r="BI92" s="58" t="n">
        <f aca="false">IF(AND(Calcul!$I$10&gt;0,ISNUMBER(T92)),T92-Calcul!$I$10,99)</f>
        <v>99</v>
      </c>
      <c r="BJ92" s="58" t="str">
        <f aca="false">IF(BC92=1,BD92*10000000-ROUND(BI92*1000,0)*1000+MIN(BH92/10000000,999),"")</f>
        <v/>
      </c>
      <c r="BK92" s="58" t="n">
        <f aca="false">IF(BC92=1,IF(BJ92=_xlfn.MAXIFS(Calcul!$BJ$60:$BJ$110,Calcul!$S$60:$S$110,S92,Calcul!$BC$60:$BC$110,1),1,0),0)</f>
        <v>0</v>
      </c>
      <c r="BL92" s="58" t="n">
        <f aca="false">IF(BC92=1,_xlfn.MAXIFS(Calcul!$BH$60:$BH$110,Calcul!$S$60:$S$110,S92,Calcul!$BC$60:$BC$110,1),0)</f>
        <v>0</v>
      </c>
      <c r="BM92" s="58" t="str">
        <f aca="false">IF(BC92=1,IF(BK92=1,10000000000+BL92,BH92)-ROW()/10000000,"")</f>
        <v/>
      </c>
      <c r="BN92" s="58"/>
      <c r="BY92" s="59" t="n">
        <f aca="false">IFERROR(MATCH(SMALL(Calcul!$P$60:$P$184,33),Calcul!$P$60:$P$184,0),0)</f>
        <v>37</v>
      </c>
    </row>
    <row r="93" customFormat="false" ht="15" hidden="false" customHeight="false" outlineLevel="0" collapsed="false">
      <c r="M93" s="0" t="str">
        <f aca="false">IF(AND(ISNUMBER('Liste outils'!$E$39),Convertisseur!$C$14&gt;0),IF(ABS('Liste outils'!$E$39-Convertisseur!$C$14)&lt;0.0005,COUNTIFS('Liste outils'!$E$6:$E39,"&gt;"&amp;(Convertisseur!$C$14-0.0005),'Liste outils'!$E$6:$E39,"&lt;"&amp;(Convertisseur!$C$14+0.0005)),""),"")</f>
        <v/>
      </c>
      <c r="N93" s="0" t="str">
        <f aca="false">IF(AND(ISNUMBER('Liste outils'!$E$39),Convertisseur!$C$15&gt;0),IF(ABS('Liste outils'!$E$39-Convertisseur!$C$15)&lt;0.0005,COUNTIFS('Liste outils'!$E$6:$E39,"&gt;"&amp;(Convertisseur!$C$15-0.0005),'Liste outils'!$E$6:$E39,"&lt;"&amp;(Convertisseur!$C$15+0.0005)),""),"")</f>
        <v/>
      </c>
      <c r="O93" s="0" t="str">
        <f aca="false">IF(AND(ISNUMBER('Liste outils'!$E$39),Convertisseur!$C$16&gt;0),IF(ABS('Liste outils'!$E$39-Convertisseur!$C$16)&lt;0.0005,COUNTIFS('Liste outils'!$E$6:$E39,"&gt;"&amp;(Convertisseur!$C$16-0.0005),'Liste outils'!$E$6:$E39,"&lt;"&amp;(Convertisseur!$C$16+0.0005)),""),"")</f>
        <v/>
      </c>
      <c r="P93" s="58" t="n">
        <f aca="false">IF(AND(OR('Recherche outils'!$B$5="Tous",'Recherche outils'!$B$5='Liste outils'!$C$39),OR(TRIM('Recherche outils'!$B$4&amp;"")="",ISNUMBER(SEARCH(TRIM('Recherche outils'!$B$4&amp;""),'Liste outils'!$B$39&amp;" "&amp;'Liste outils'!$C$39&amp;" "&amp;'Liste outils'!$J$39&amp;" "&amp;'Liste outils'!$O$39&amp;" "&amp;'Liste outils'!$P$39&amp;" "&amp;'Liste outils'!$Q$39&amp;" "&amp;'Liste outils'!$AA$39&amp;" "&amp;'Liste outils'!$AB$39&amp;" "&amp;'Liste outils'!$AC$39&amp;" "&amp;'Liste outils'!$T$39))),OR(NOT(ISNUMBER(Calcul!$L$11)),AND(ISNUMBER('Liste outils'!$E$39),ABS('Liste outils'!$E$39-IF(ISNUMBER(Calcul!$L$11),Calcul!$L$11,0))&lt;0.002)),OR(NOT(ISNUMBER(Calcul!$O$11)),AND(ISNUMBER('Liste outils'!$H$39),'Liste outils'!$H$39+0.000001&gt;=IF(ISNUMBER(Calcul!$O$11),Calcul!$O$11,0)))),IF(ISNUMBER('Liste outils'!$E$39),'Liste outils'!$E$39,99)*100000+IF(ISNUMBER('Liste outils'!$H$39),'Liste outils'!$H$39,99)*100+34/1000,"")</f>
        <v>37575.034</v>
      </c>
      <c r="R93" s="58" t="s">
        <v>409</v>
      </c>
      <c r="S93" s="58" t="n">
        <v>0.5</v>
      </c>
      <c r="T93" s="58" t="n">
        <v>0.875</v>
      </c>
      <c r="U93" s="58" t="n">
        <v>2</v>
      </c>
      <c r="V93" s="58" t="s">
        <v>724</v>
      </c>
      <c r="W93" s="58" t="s">
        <v>410</v>
      </c>
      <c r="X93" s="58" t="s">
        <v>411</v>
      </c>
      <c r="Y93" s="58" t="s">
        <v>413</v>
      </c>
      <c r="Z93" s="58" t="s">
        <v>414</v>
      </c>
      <c r="AA93" s="58" t="s">
        <v>285</v>
      </c>
      <c r="AB93" s="58"/>
      <c r="AC93" s="58" t="n">
        <v>0.008</v>
      </c>
      <c r="AD93" s="58" t="n">
        <v>0.012</v>
      </c>
      <c r="AE93" s="58" t="n">
        <v>0</v>
      </c>
      <c r="AF93" s="58" t="n">
        <v>0</v>
      </c>
      <c r="AG93" s="58" t="n">
        <v>1</v>
      </c>
      <c r="AH93" s="58" t="n">
        <v>0</v>
      </c>
      <c r="AI93" s="58"/>
      <c r="AJ93" s="58" t="n">
        <v>0.0096</v>
      </c>
      <c r="AK93" s="58" t="n">
        <v>0.0144</v>
      </c>
      <c r="AL93" s="58" t="n">
        <v>0</v>
      </c>
      <c r="AM93" s="58" t="n">
        <v>0</v>
      </c>
      <c r="AN93" s="58" t="n">
        <v>1</v>
      </c>
      <c r="AO93" s="58" t="n">
        <v>0</v>
      </c>
      <c r="AP93" s="58" t="n">
        <f aca="false">IF(Calcul!$I$5=1,AB93,AI93)</f>
        <v>0</v>
      </c>
      <c r="AQ93" s="58" t="n">
        <f aca="false">IF(Calcul!$I$5=1,AC93,AJ93)</f>
        <v>0.008</v>
      </c>
      <c r="AR93" s="58" t="n">
        <f aca="false">IF(Calcul!$I$5=1,AD93,AK93)</f>
        <v>0.012</v>
      </c>
      <c r="AS93" s="58" t="n">
        <f aca="false">IF(Calcul!$I$5=1,AE93,AL93)</f>
        <v>0</v>
      </c>
      <c r="AT93" s="58" t="n">
        <f aca="false">IF(Calcul!$I$5=1,AF93,AM93)</f>
        <v>0</v>
      </c>
      <c r="AU93" s="58" t="n">
        <f aca="false">IF(Calcul!$I$5=1,AG93,AN93)</f>
        <v>1</v>
      </c>
      <c r="AV93" s="58" t="n">
        <f aca="false">IF(Calcul!$I$5=1,AH93,AO93)</f>
        <v>0</v>
      </c>
      <c r="AW93" s="58" t="n">
        <f aca="false">IF(Calcul!$I$10&gt;0,MAX(1,ROUNDUP(Calcul!$I$10/S93-0.000001,0)),1)</f>
        <v>1</v>
      </c>
      <c r="AX93" s="58" t="n">
        <f aca="false">IF(Calcul!$I$10&gt;0,Calcul!$I$10/AW93,0)</f>
        <v>0.5</v>
      </c>
      <c r="AY93" s="58" t="n">
        <f aca="false">IF(Calcul!$I$10&gt;0,AX93/S93,1)</f>
        <v>1</v>
      </c>
      <c r="AZ93" s="58" t="n">
        <f aca="false">IF(AY93&lt;=1.0001,1,IF(AY93&lt;=2.0001,0.75,0.5))</f>
        <v>1</v>
      </c>
      <c r="BA93" s="58" t="n">
        <f aca="false">(AQ93+AR93)/2*AZ93</f>
        <v>0.01</v>
      </c>
      <c r="BB93" s="58" t="n">
        <f aca="false">IF(Calcul!$I$10&gt;0,IF(ISNUMBER(T93),IF(T93+0.000001&gt;=Calcul!$I$10,1,0),2),2)</f>
        <v>1</v>
      </c>
      <c r="BC93" s="58" t="n">
        <f aca="false">IF(AND(V93=Calcul!$I$8,ISNUMBER(U93),OR(AP93&lt;&gt;"",AT93=1),IF(Calcul!$I$8="straight",IF(Calcul!$I$10&gt;0,BB93=1,TRUE()),BB93&lt;&gt;0)),1,0)</f>
        <v>0</v>
      </c>
      <c r="BD93" s="58" t="n">
        <f aca="false">IF(AND(Calcul!$I$8="straight",ISNUMBER(SEARCH(Calcul!$I$9,W93))),1,0)</f>
        <v>0</v>
      </c>
      <c r="BE93" s="58" t="n">
        <f aca="false">IF(ABS(S93-0.5)&lt;0.0005,IF(Calcul!$I$7=2,18000,20000),IF(AND(Calcul!$I$6=1,Calcul!$I$7=2),17000,23000))</f>
        <v>20000</v>
      </c>
      <c r="BF93" s="58" t="n">
        <f aca="false">IF(ISNUMBER(U93),BE93*U93*BA93,0)</f>
        <v>400</v>
      </c>
      <c r="BG93" s="58" t="n">
        <f aca="false">BF93/AW93</f>
        <v>400</v>
      </c>
      <c r="BH93" s="58" t="n">
        <f aca="false">BD93*1000000000+IF(AP93&lt;&gt;"",100000000,0)+AT93*10000000+(50-MIN(AW93,49))*100000+AS93*10000+MIN(ROUND(BG93,0),9999)+S93/10-IF(ISNUMBER(T93),T93,9)/1000</f>
        <v>4900400.049125</v>
      </c>
      <c r="BI93" s="58" t="n">
        <f aca="false">IF(AND(Calcul!$I$10&gt;0,ISNUMBER(T93)),T93-Calcul!$I$10,99)</f>
        <v>0.375</v>
      </c>
      <c r="BJ93" s="58" t="str">
        <f aca="false">IF(BC93=1,BD93*10000000-ROUND(BI93*1000,0)*1000+MIN(BH93/10000000,999),"")</f>
        <v/>
      </c>
      <c r="BK93" s="58" t="n">
        <f aca="false">IF(BC93=1,IF(BJ93=_xlfn.MAXIFS(Calcul!$BJ$60:$BJ$110,Calcul!$S$60:$S$110,S93,Calcul!$BC$60:$BC$110,1),1,0),0)</f>
        <v>0</v>
      </c>
      <c r="BL93" s="58" t="n">
        <f aca="false">IF(BC93=1,_xlfn.MAXIFS(Calcul!$BH$60:$BH$110,Calcul!$S$60:$S$110,S93,Calcul!$BC$60:$BC$110,1),0)</f>
        <v>0</v>
      </c>
      <c r="BM93" s="58" t="str">
        <f aca="false">IF(BC93=1,IF(BK93=1,10000000000+BL93,BH93)-ROW()/10000000,"")</f>
        <v/>
      </c>
      <c r="BN93" s="58"/>
      <c r="BY93" s="59" t="n">
        <f aca="false">IFERROR(MATCH(SMALL(Calcul!$P$60:$P$184,34),Calcul!$P$60:$P$184,0),0)</f>
        <v>41</v>
      </c>
    </row>
    <row r="94" customFormat="false" ht="15" hidden="false" customHeight="false" outlineLevel="0" collapsed="false">
      <c r="M94" s="0" t="str">
        <f aca="false">IF(AND(ISNUMBER('Liste outils'!$E$40),Convertisseur!$C$14&gt;0),IF(ABS('Liste outils'!$E$40-Convertisseur!$C$14)&lt;0.0005,COUNTIFS('Liste outils'!$E$6:$E40,"&gt;"&amp;(Convertisseur!$C$14-0.0005),'Liste outils'!$E$6:$E40,"&lt;"&amp;(Convertisseur!$C$14+0.0005)),""),"")</f>
        <v/>
      </c>
      <c r="N94" s="0" t="str">
        <f aca="false">IF(AND(ISNUMBER('Liste outils'!$E$40),Convertisseur!$C$15&gt;0),IF(ABS('Liste outils'!$E$40-Convertisseur!$C$15)&lt;0.0005,COUNTIFS('Liste outils'!$E$6:$E40,"&gt;"&amp;(Convertisseur!$C$15-0.0005),'Liste outils'!$E$6:$E40,"&lt;"&amp;(Convertisseur!$C$15+0.0005)),""),"")</f>
        <v/>
      </c>
      <c r="O94" s="0" t="str">
        <f aca="false">IF(AND(ISNUMBER('Liste outils'!$E$40),Convertisseur!$C$16&gt;0),IF(ABS('Liste outils'!$E$40-Convertisseur!$C$16)&lt;0.0005,COUNTIFS('Liste outils'!$E$6:$E40,"&gt;"&amp;(Convertisseur!$C$16-0.0005),'Liste outils'!$E$6:$E40,"&lt;"&amp;(Convertisseur!$C$16+0.0005)),""),"")</f>
        <v/>
      </c>
      <c r="P94" s="58" t="n">
        <f aca="false">IF(AND(OR('Recherche outils'!$B$5="Tous",'Recherche outils'!$B$5='Liste outils'!$C$40),OR(TRIM('Recherche outils'!$B$4&amp;"")="",ISNUMBER(SEARCH(TRIM('Recherche outils'!$B$4&amp;""),'Liste outils'!$B$40&amp;" "&amp;'Liste outils'!$C$40&amp;" "&amp;'Liste outils'!$J$40&amp;" "&amp;'Liste outils'!$O$40&amp;" "&amp;'Liste outils'!$P$40&amp;" "&amp;'Liste outils'!$Q$40&amp;" "&amp;'Liste outils'!$AA$40&amp;" "&amp;'Liste outils'!$AB$40&amp;" "&amp;'Liste outils'!$AC$40&amp;" "&amp;'Liste outils'!$T$40))),OR(NOT(ISNUMBER(Calcul!$L$11)),AND(ISNUMBER('Liste outils'!$E$40),ABS('Liste outils'!$E$40-IF(ISNUMBER(Calcul!$L$11),Calcul!$L$11,0))&lt;0.002)),OR(NOT(ISNUMBER(Calcul!$O$11)),AND(ISNUMBER('Liste outils'!$H$40),'Liste outils'!$H$40+0.000001&gt;=IF(ISNUMBER(Calcul!$O$11),Calcul!$O$11,0)))),IF(ISNUMBER('Liste outils'!$E$40),'Liste outils'!$E$40,99)*100000+IF(ISNUMBER('Liste outils'!$H$40),'Liste outils'!$H$40,99)*100+35/1000,"")</f>
        <v>37562.535</v>
      </c>
      <c r="R94" s="58" t="s">
        <v>415</v>
      </c>
      <c r="S94" s="58" t="n">
        <v>0.75</v>
      </c>
      <c r="T94" s="58" t="n">
        <v>0.24</v>
      </c>
      <c r="U94" s="58" t="n">
        <v>10</v>
      </c>
      <c r="V94" s="58" t="s">
        <v>743</v>
      </c>
      <c r="W94" s="58"/>
      <c r="X94" s="58" t="s">
        <v>744</v>
      </c>
      <c r="Y94" s="58" t="s">
        <v>413</v>
      </c>
      <c r="Z94" s="58" t="s">
        <v>416</v>
      </c>
      <c r="AA94" s="58" t="s">
        <v>285</v>
      </c>
      <c r="AB94" s="58"/>
      <c r="AC94" s="58" t="n">
        <v>0.012</v>
      </c>
      <c r="AD94" s="58" t="n">
        <v>0.018</v>
      </c>
      <c r="AE94" s="58" t="n">
        <v>0</v>
      </c>
      <c r="AF94" s="58" t="n">
        <v>1</v>
      </c>
      <c r="AG94" s="58" t="n">
        <v>1</v>
      </c>
      <c r="AH94" s="58" t="n">
        <v>0</v>
      </c>
      <c r="AI94" s="58"/>
      <c r="AJ94" s="58" t="n">
        <v>0.0144</v>
      </c>
      <c r="AK94" s="58" t="n">
        <v>0.0216</v>
      </c>
      <c r="AL94" s="58" t="n">
        <v>0</v>
      </c>
      <c r="AM94" s="58" t="n">
        <v>1</v>
      </c>
      <c r="AN94" s="58" t="n">
        <v>1</v>
      </c>
      <c r="AO94" s="58" t="n">
        <v>0</v>
      </c>
      <c r="AP94" s="58" t="n">
        <f aca="false">IF(Calcul!$I$5=1,AB94,AI94)</f>
        <v>0</v>
      </c>
      <c r="AQ94" s="58" t="n">
        <f aca="false">IF(Calcul!$I$5=1,AC94,AJ94)</f>
        <v>0.012</v>
      </c>
      <c r="AR94" s="58" t="n">
        <f aca="false">IF(Calcul!$I$5=1,AD94,AK94)</f>
        <v>0.018</v>
      </c>
      <c r="AS94" s="58" t="n">
        <f aca="false">IF(Calcul!$I$5=1,AE94,AL94)</f>
        <v>0</v>
      </c>
      <c r="AT94" s="58" t="n">
        <f aca="false">IF(Calcul!$I$5=1,AF94,AM94)</f>
        <v>1</v>
      </c>
      <c r="AU94" s="58" t="n">
        <f aca="false">IF(Calcul!$I$5=1,AG94,AN94)</f>
        <v>1</v>
      </c>
      <c r="AV94" s="58" t="n">
        <f aca="false">IF(Calcul!$I$5=1,AH94,AO94)</f>
        <v>0</v>
      </c>
      <c r="AW94" s="58" t="n">
        <f aca="false">IF(Calcul!$I$10&gt;0,MAX(1,ROUNDUP(Calcul!$I$10/S94-0.000001,0)),1)</f>
        <v>1</v>
      </c>
      <c r="AX94" s="58" t="n">
        <f aca="false">IF(Calcul!$I$10&gt;0,Calcul!$I$10/AW94,0)</f>
        <v>0.5</v>
      </c>
      <c r="AY94" s="58" t="n">
        <f aca="false">IF(Calcul!$I$10&gt;0,AX94/S94,1)</f>
        <v>0.666666666666667</v>
      </c>
      <c r="AZ94" s="58" t="n">
        <f aca="false">IF(AY94&lt;=1.0001,1,IF(AY94&lt;=2.0001,0.75,0.5))</f>
        <v>1</v>
      </c>
      <c r="BA94" s="58" t="n">
        <f aca="false">(AQ94+AR94)/2*AZ94</f>
        <v>0.015</v>
      </c>
      <c r="BB94" s="58" t="n">
        <f aca="false">IF(Calcul!$I$10&gt;0,IF(ISNUMBER(T94),IF(T94+0.000001&gt;=Calcul!$I$10,1,0),2),2)</f>
        <v>0</v>
      </c>
      <c r="BC94" s="58" t="n">
        <f aca="false">IF(AND(V94=Calcul!$I$8,ISNUMBER(U94),OR(AP94&lt;&gt;"",AT94=1),IF(Calcul!$I$8="straight",IF(Calcul!$I$10&gt;0,BB94=1,TRUE()),BB94&lt;&gt;0)),1,0)</f>
        <v>0</v>
      </c>
      <c r="BD94" s="58" t="n">
        <f aca="false">IF(AND(Calcul!$I$8="straight",ISNUMBER(SEARCH(Calcul!$I$9,W94))),1,0)</f>
        <v>0</v>
      </c>
      <c r="BE94" s="58" t="n">
        <f aca="false">IF(ABS(S94-0.5)&lt;0.0005,IF(Calcul!$I$7=2,18000,20000),IF(AND(Calcul!$I$6=1,Calcul!$I$7=2),17000,23000))</f>
        <v>23000</v>
      </c>
      <c r="BF94" s="58" t="n">
        <f aca="false">IF(ISNUMBER(U94),BE94*U94*BA94,0)</f>
        <v>3450</v>
      </c>
      <c r="BG94" s="58" t="n">
        <f aca="false">BF94/AW94</f>
        <v>3450</v>
      </c>
      <c r="BH94" s="58" t="n">
        <f aca="false">BD94*1000000000+IF(AP94&lt;&gt;"",100000000,0)+AT94*10000000+(50-MIN(AW94,49))*100000+AS94*10000+MIN(ROUND(BG94,0),9999)+S94/10-IF(ISNUMBER(T94),T94,9)/1000</f>
        <v>14903450.07476</v>
      </c>
      <c r="BI94" s="58" t="n">
        <f aca="false">IF(AND(Calcul!$I$10&gt;0,ISNUMBER(T94)),T94-Calcul!$I$10,99)</f>
        <v>-0.26</v>
      </c>
      <c r="BJ94" s="58" t="str">
        <f aca="false">IF(BC94=1,BD94*10000000-ROUND(BI94*1000,0)*1000+MIN(BH94/10000000,999),"")</f>
        <v/>
      </c>
      <c r="BK94" s="58" t="n">
        <f aca="false">IF(BC94=1,IF(BJ94=_xlfn.MAXIFS(Calcul!$BJ$60:$BJ$110,Calcul!$S$60:$S$110,S94,Calcul!$BC$60:$BC$110,1),1,0),0)</f>
        <v>0</v>
      </c>
      <c r="BL94" s="58" t="n">
        <f aca="false">IF(BC94=1,_xlfn.MAXIFS(Calcul!$BH$60:$BH$110,Calcul!$S$60:$S$110,S94,Calcul!$BC$60:$BC$110,1),0)</f>
        <v>0</v>
      </c>
      <c r="BM94" s="58" t="str">
        <f aca="false">IF(BC94=1,IF(BK94=1,10000000000+BL94,BH94)-ROW()/10000000,"")</f>
        <v/>
      </c>
      <c r="BN94" s="58"/>
      <c r="BY94" s="59" t="n">
        <f aca="false">IFERROR(MATCH(SMALL(Calcul!$P$60:$P$184,35),Calcul!$P$60:$P$184,0),0)</f>
        <v>85</v>
      </c>
    </row>
    <row r="95" customFormat="false" ht="15" hidden="false" customHeight="false" outlineLevel="0" collapsed="false">
      <c r="M95" s="0" t="str">
        <f aca="false">IF(AND(ISNUMBER('Liste outils'!$E$41),Convertisseur!$C$14&gt;0),IF(ABS('Liste outils'!$E$41-Convertisseur!$C$14)&lt;0.0005,COUNTIFS('Liste outils'!$E$6:$E41,"&gt;"&amp;(Convertisseur!$C$14-0.0005),'Liste outils'!$E$6:$E41,"&lt;"&amp;(Convertisseur!$C$14+0.0005)),""),"")</f>
        <v/>
      </c>
      <c r="N95" s="0" t="n">
        <f aca="false">IF(AND(ISNUMBER('Liste outils'!$E$41),Convertisseur!$C$15&gt;0),IF(ABS('Liste outils'!$E$41-Convertisseur!$C$15)&lt;0.0005,COUNTIFS('Liste outils'!$E$6:$E41,"&gt;"&amp;(Convertisseur!$C$15-0.0005),'Liste outils'!$E$6:$E41,"&lt;"&amp;(Convertisseur!$C$15+0.0005)),""),"")</f>
        <v>6</v>
      </c>
      <c r="O95" s="0" t="str">
        <f aca="false">IF(AND(ISNUMBER('Liste outils'!$E$41),Convertisseur!$C$16&gt;0),IF(ABS('Liste outils'!$E$41-Convertisseur!$C$16)&lt;0.0005,COUNTIFS('Liste outils'!$E$6:$E41,"&gt;"&amp;(Convertisseur!$C$16-0.0005),'Liste outils'!$E$6:$E41,"&lt;"&amp;(Convertisseur!$C$16+0.0005)),""),"")</f>
        <v/>
      </c>
      <c r="P95" s="58" t="n">
        <f aca="false">IF(AND(OR('Recherche outils'!$B$5="Tous",'Recherche outils'!$B$5='Liste outils'!$C$41),OR(TRIM('Recherche outils'!$B$4&amp;"")="",ISNUMBER(SEARCH(TRIM('Recherche outils'!$B$4&amp;""),'Liste outils'!$B$41&amp;" "&amp;'Liste outils'!$C$41&amp;" "&amp;'Liste outils'!$J$41&amp;" "&amp;'Liste outils'!$O$41&amp;" "&amp;'Liste outils'!$P$41&amp;" "&amp;'Liste outils'!$Q$41&amp;" "&amp;'Liste outils'!$AA$41&amp;" "&amp;'Liste outils'!$AB$41&amp;" "&amp;'Liste outils'!$AC$41&amp;" "&amp;'Liste outils'!$T$41))),OR(NOT(ISNUMBER(Calcul!$L$11)),AND(ISNUMBER('Liste outils'!$E$41),ABS('Liste outils'!$E$41-IF(ISNUMBER(Calcul!$L$11),Calcul!$L$11,0))&lt;0.002)),OR(NOT(ISNUMBER(Calcul!$O$11)),AND(ISNUMBER('Liste outils'!$H$41),'Liste outils'!$H$41+0.000001&gt;=IF(ISNUMBER(Calcul!$O$11),Calcul!$O$11,0)))),IF(ISNUMBER('Liste outils'!$E$41),'Liste outils'!$E$41,99)*100000+IF(ISNUMBER('Liste outils'!$H$41),'Liste outils'!$H$41,99)*100+36/1000,"")</f>
        <v>25150.036</v>
      </c>
      <c r="R95" s="58" t="s">
        <v>417</v>
      </c>
      <c r="S95" s="58" t="n">
        <v>0.098</v>
      </c>
      <c r="T95" s="58" t="n">
        <v>0.25</v>
      </c>
      <c r="U95" s="58" t="n">
        <v>4</v>
      </c>
      <c r="V95" s="58" t="s">
        <v>743</v>
      </c>
      <c r="W95" s="58" t="s">
        <v>200</v>
      </c>
      <c r="X95" s="58" t="s">
        <v>418</v>
      </c>
      <c r="Y95" s="58" t="s">
        <v>421</v>
      </c>
      <c r="Z95" s="58" t="s">
        <v>422</v>
      </c>
      <c r="AA95" s="58" t="s">
        <v>285</v>
      </c>
      <c r="AB95" s="58"/>
      <c r="AC95" s="58" t="n">
        <v>0.001568</v>
      </c>
      <c r="AD95" s="58" t="n">
        <v>0.002352</v>
      </c>
      <c r="AE95" s="58" t="n">
        <v>0</v>
      </c>
      <c r="AF95" s="58" t="n">
        <v>1</v>
      </c>
      <c r="AG95" s="58" t="n">
        <v>1</v>
      </c>
      <c r="AH95" s="58" t="n">
        <v>0</v>
      </c>
      <c r="AI95" s="58"/>
      <c r="AJ95" s="58" t="n">
        <v>0.0018816</v>
      </c>
      <c r="AK95" s="58" t="n">
        <v>0.0028224</v>
      </c>
      <c r="AL95" s="58" t="n">
        <v>0</v>
      </c>
      <c r="AM95" s="58" t="n">
        <v>1</v>
      </c>
      <c r="AN95" s="58" t="n">
        <v>1</v>
      </c>
      <c r="AO95" s="58" t="n">
        <v>0</v>
      </c>
      <c r="AP95" s="58" t="n">
        <f aca="false">IF(Calcul!$I$5=1,AB95,AI95)</f>
        <v>0</v>
      </c>
      <c r="AQ95" s="58" t="n">
        <f aca="false">IF(Calcul!$I$5=1,AC95,AJ95)</f>
        <v>0.001568</v>
      </c>
      <c r="AR95" s="58" t="n">
        <f aca="false">IF(Calcul!$I$5=1,AD95,AK95)</f>
        <v>0.002352</v>
      </c>
      <c r="AS95" s="58" t="n">
        <f aca="false">IF(Calcul!$I$5=1,AE95,AL95)</f>
        <v>0</v>
      </c>
      <c r="AT95" s="58" t="n">
        <f aca="false">IF(Calcul!$I$5=1,AF95,AM95)</f>
        <v>1</v>
      </c>
      <c r="AU95" s="58" t="n">
        <f aca="false">IF(Calcul!$I$5=1,AG95,AN95)</f>
        <v>1</v>
      </c>
      <c r="AV95" s="58" t="n">
        <f aca="false">IF(Calcul!$I$5=1,AH95,AO95)</f>
        <v>0</v>
      </c>
      <c r="AW95" s="58" t="n">
        <f aca="false">IF(Calcul!$I$10&gt;0,MAX(1,ROUNDUP(Calcul!$I$10/S95-0.000001,0)),1)</f>
        <v>6</v>
      </c>
      <c r="AX95" s="58" t="n">
        <f aca="false">IF(Calcul!$I$10&gt;0,Calcul!$I$10/AW95,0)</f>
        <v>0.0833333333333333</v>
      </c>
      <c r="AY95" s="58" t="n">
        <f aca="false">IF(Calcul!$I$10&gt;0,AX95/S95,1)</f>
        <v>0.850340136054422</v>
      </c>
      <c r="AZ95" s="58" t="n">
        <f aca="false">IF(AY95&lt;=1.0001,1,IF(AY95&lt;=2.0001,0.75,0.5))</f>
        <v>1</v>
      </c>
      <c r="BA95" s="58" t="n">
        <f aca="false">(AQ95+AR95)/2*AZ95</f>
        <v>0.00196</v>
      </c>
      <c r="BB95" s="58" t="n">
        <f aca="false">IF(Calcul!$I$10&gt;0,IF(ISNUMBER(T95),IF(T95+0.000001&gt;=Calcul!$I$10,1,0),2),2)</f>
        <v>0</v>
      </c>
      <c r="BC95" s="58" t="n">
        <f aca="false">IF(AND(V95=Calcul!$I$8,ISNUMBER(U95),OR(AP95&lt;&gt;"",AT95=1),IF(Calcul!$I$8="straight",IF(Calcul!$I$10&gt;0,BB95=1,TRUE()),BB95&lt;&gt;0)),1,0)</f>
        <v>0</v>
      </c>
      <c r="BD95" s="58" t="n">
        <f aca="false">IF(AND(Calcul!$I$8="straight",ISNUMBER(SEARCH(Calcul!$I$9,W95))),1,0)</f>
        <v>0</v>
      </c>
      <c r="BE95" s="58" t="n">
        <f aca="false">IF(ABS(S95-0.5)&lt;0.0005,IF(Calcul!$I$7=2,18000,20000),IF(AND(Calcul!$I$6=1,Calcul!$I$7=2),17000,23000))</f>
        <v>23000</v>
      </c>
      <c r="BF95" s="58" t="n">
        <f aca="false">IF(ISNUMBER(U95),BE95*U95*BA95,0)</f>
        <v>180.32</v>
      </c>
      <c r="BG95" s="58" t="n">
        <f aca="false">BF95/AW95</f>
        <v>30.0533333333333</v>
      </c>
      <c r="BH95" s="58" t="n">
        <f aca="false">BD95*1000000000+IF(AP95&lt;&gt;"",100000000,0)+AT95*10000000+(50-MIN(AW95,49))*100000+AS95*10000+MIN(ROUND(BG95,0),9999)+S95/10-IF(ISNUMBER(T95),T95,9)/1000</f>
        <v>14400030.00955</v>
      </c>
      <c r="BI95" s="58" t="n">
        <f aca="false">IF(AND(Calcul!$I$10&gt;0,ISNUMBER(T95)),T95-Calcul!$I$10,99)</f>
        <v>-0.25</v>
      </c>
      <c r="BJ95" s="58" t="str">
        <f aca="false">IF(BC95=1,BD95*10000000-ROUND(BI95*1000,0)*1000+MIN(BH95/10000000,999),"")</f>
        <v/>
      </c>
      <c r="BK95" s="58" t="n">
        <f aca="false">IF(BC95=1,IF(BJ95=_xlfn.MAXIFS(Calcul!$BJ$60:$BJ$110,Calcul!$S$60:$S$110,S95,Calcul!$BC$60:$BC$110,1),1,0),0)</f>
        <v>0</v>
      </c>
      <c r="BL95" s="58" t="n">
        <f aca="false">IF(BC95=1,_xlfn.MAXIFS(Calcul!$BH$60:$BH$110,Calcul!$S$60:$S$110,S95,Calcul!$BC$60:$BC$110,1),0)</f>
        <v>0</v>
      </c>
      <c r="BM95" s="58" t="str">
        <f aca="false">IF(BC95=1,IF(BK95=1,10000000000+BL95,BH95)-ROW()/10000000,"")</f>
        <v/>
      </c>
      <c r="BN95" s="58"/>
      <c r="BY95" s="59" t="n">
        <f aca="false">IFERROR(MATCH(SMALL(Calcul!$P$60:$P$184,36),Calcul!$P$60:$P$184,0),0)</f>
        <v>62</v>
      </c>
    </row>
    <row r="96" customFormat="false" ht="15" hidden="false" customHeight="false" outlineLevel="0" collapsed="false">
      <c r="M96" s="0" t="str">
        <f aca="false">IF(AND(ISNUMBER('Liste outils'!$E$42),Convertisseur!$C$14&gt;0),IF(ABS('Liste outils'!$E$42-Convertisseur!$C$14)&lt;0.0005,COUNTIFS('Liste outils'!$E$6:$E42,"&gt;"&amp;(Convertisseur!$C$14-0.0005),'Liste outils'!$E$6:$E42,"&lt;"&amp;(Convertisseur!$C$14+0.0005)),""),"")</f>
        <v/>
      </c>
      <c r="N96" s="0" t="n">
        <f aca="false">IF(AND(ISNUMBER('Liste outils'!$E$42),Convertisseur!$C$15&gt;0),IF(ABS('Liste outils'!$E$42-Convertisseur!$C$15)&lt;0.0005,COUNTIFS('Liste outils'!$E$6:$E42,"&gt;"&amp;(Convertisseur!$C$15-0.0005),'Liste outils'!$E$6:$E42,"&lt;"&amp;(Convertisseur!$C$15+0.0005)),""),"")</f>
        <v>7</v>
      </c>
      <c r="O96" s="0" t="str">
        <f aca="false">IF(AND(ISNUMBER('Liste outils'!$E$42),Convertisseur!$C$16&gt;0),IF(ABS('Liste outils'!$E$42-Convertisseur!$C$16)&lt;0.0005,COUNTIFS('Liste outils'!$E$6:$E42,"&gt;"&amp;(Convertisseur!$C$16-0.0005),'Liste outils'!$E$6:$E42,"&lt;"&amp;(Convertisseur!$C$16+0.0005)),""),"")</f>
        <v/>
      </c>
      <c r="P96" s="58" t="n">
        <f aca="false">IF(AND(OR('Recherche outils'!$B$5="Tous",'Recherche outils'!$B$5='Liste outils'!$C$42),OR(TRIM('Recherche outils'!$B$4&amp;"")="",ISNUMBER(SEARCH(TRIM('Recherche outils'!$B$4&amp;""),'Liste outils'!$B$42&amp;" "&amp;'Liste outils'!$C$42&amp;" "&amp;'Liste outils'!$J$42&amp;" "&amp;'Liste outils'!$O$42&amp;" "&amp;'Liste outils'!$P$42&amp;" "&amp;'Liste outils'!$Q$42&amp;" "&amp;'Liste outils'!$AA$42&amp;" "&amp;'Liste outils'!$AB$42&amp;" "&amp;'Liste outils'!$AC$42&amp;" "&amp;'Liste outils'!$T$42))),OR(NOT(ISNUMBER(Calcul!$L$11)),AND(ISNUMBER('Liste outils'!$E$42),ABS('Liste outils'!$E$42-IF(ISNUMBER(Calcul!$L$11),Calcul!$L$11,0))&lt;0.002)),OR(NOT(ISNUMBER(Calcul!$O$11)),AND(ISNUMBER('Liste outils'!$H$42),'Liste outils'!$H$42+0.000001&gt;=IF(ISNUMBER(Calcul!$O$11),Calcul!$O$11,0)))),IF(ISNUMBER('Liste outils'!$E$42),'Liste outils'!$E$42,99)*100000+IF(ISNUMBER('Liste outils'!$H$42),'Liste outils'!$H$42,99)*100+37/1000,"")</f>
        <v>25150.037</v>
      </c>
      <c r="R96" s="58" t="s">
        <v>423</v>
      </c>
      <c r="S96" s="58" t="n">
        <v>0.18</v>
      </c>
      <c r="T96" s="58" t="n">
        <v>0.5</v>
      </c>
      <c r="U96" s="58" t="n">
        <v>4</v>
      </c>
      <c r="V96" s="58" t="s">
        <v>743</v>
      </c>
      <c r="W96" s="58" t="s">
        <v>200</v>
      </c>
      <c r="X96" s="58" t="s">
        <v>745</v>
      </c>
      <c r="Y96" s="58" t="s">
        <v>421</v>
      </c>
      <c r="Z96" s="58" t="s">
        <v>426</v>
      </c>
      <c r="AA96" s="58" t="s">
        <v>285</v>
      </c>
      <c r="AB96" s="58"/>
      <c r="AC96" s="58" t="n">
        <v>0.00288</v>
      </c>
      <c r="AD96" s="58" t="n">
        <v>0.00432</v>
      </c>
      <c r="AE96" s="58" t="n">
        <v>0</v>
      </c>
      <c r="AF96" s="58" t="n">
        <v>0</v>
      </c>
      <c r="AG96" s="58" t="n">
        <v>1</v>
      </c>
      <c r="AH96" s="58" t="n">
        <v>0</v>
      </c>
      <c r="AI96" s="58"/>
      <c r="AJ96" s="58" t="n">
        <v>0.003456</v>
      </c>
      <c r="AK96" s="58" t="n">
        <v>0.005184</v>
      </c>
      <c r="AL96" s="58" t="n">
        <v>0</v>
      </c>
      <c r="AM96" s="58" t="n">
        <v>0</v>
      </c>
      <c r="AN96" s="58" t="n">
        <v>1</v>
      </c>
      <c r="AO96" s="58" t="n">
        <v>0</v>
      </c>
      <c r="AP96" s="58" t="n">
        <f aca="false">IF(Calcul!$I$5=1,AB96,AI96)</f>
        <v>0</v>
      </c>
      <c r="AQ96" s="58" t="n">
        <f aca="false">IF(Calcul!$I$5=1,AC96,AJ96)</f>
        <v>0.00288</v>
      </c>
      <c r="AR96" s="58" t="n">
        <f aca="false">IF(Calcul!$I$5=1,AD96,AK96)</f>
        <v>0.00432</v>
      </c>
      <c r="AS96" s="58" t="n">
        <f aca="false">IF(Calcul!$I$5=1,AE96,AL96)</f>
        <v>0</v>
      </c>
      <c r="AT96" s="58" t="n">
        <f aca="false">IF(Calcul!$I$5=1,AF96,AM96)</f>
        <v>0</v>
      </c>
      <c r="AU96" s="58" t="n">
        <f aca="false">IF(Calcul!$I$5=1,AG96,AN96)</f>
        <v>1</v>
      </c>
      <c r="AV96" s="58" t="n">
        <f aca="false">IF(Calcul!$I$5=1,AH96,AO96)</f>
        <v>0</v>
      </c>
      <c r="AW96" s="58" t="n">
        <f aca="false">IF(Calcul!$I$10&gt;0,MAX(1,ROUNDUP(Calcul!$I$10/S96-0.000001,0)),1)</f>
        <v>3</v>
      </c>
      <c r="AX96" s="58" t="n">
        <f aca="false">IF(Calcul!$I$10&gt;0,Calcul!$I$10/AW96,0)</f>
        <v>0.166666666666667</v>
      </c>
      <c r="AY96" s="58" t="n">
        <f aca="false">IF(Calcul!$I$10&gt;0,AX96/S96,1)</f>
        <v>0.925925925925926</v>
      </c>
      <c r="AZ96" s="58" t="n">
        <f aca="false">IF(AY96&lt;=1.0001,1,IF(AY96&lt;=2.0001,0.75,0.5))</f>
        <v>1</v>
      </c>
      <c r="BA96" s="58" t="n">
        <f aca="false">(AQ96+AR96)/2*AZ96</f>
        <v>0.0036</v>
      </c>
      <c r="BB96" s="58" t="n">
        <f aca="false">IF(Calcul!$I$10&gt;0,IF(ISNUMBER(T96),IF(T96+0.000001&gt;=Calcul!$I$10,1,0),2),2)</f>
        <v>1</v>
      </c>
      <c r="BC96" s="58" t="n">
        <f aca="false">IF(AND(V96=Calcul!$I$8,ISNUMBER(U96),OR(AP96&lt;&gt;"",AT96=1),IF(Calcul!$I$8="straight",IF(Calcul!$I$10&gt;0,BB96=1,TRUE()),BB96&lt;&gt;0)),1,0)</f>
        <v>0</v>
      </c>
      <c r="BD96" s="58" t="n">
        <f aca="false">IF(AND(Calcul!$I$8="straight",ISNUMBER(SEARCH(Calcul!$I$9,W96))),1,0)</f>
        <v>0</v>
      </c>
      <c r="BE96" s="58" t="n">
        <f aca="false">IF(ABS(S96-0.5)&lt;0.0005,IF(Calcul!$I$7=2,18000,20000),IF(AND(Calcul!$I$6=1,Calcul!$I$7=2),17000,23000))</f>
        <v>23000</v>
      </c>
      <c r="BF96" s="58" t="n">
        <f aca="false">IF(ISNUMBER(U96),BE96*U96*BA96,0)</f>
        <v>331.2</v>
      </c>
      <c r="BG96" s="58" t="n">
        <f aca="false">BF96/AW96</f>
        <v>110.4</v>
      </c>
      <c r="BH96" s="58" t="n">
        <f aca="false">BD96*1000000000+IF(AP96&lt;&gt;"",100000000,0)+AT96*10000000+(50-MIN(AW96,49))*100000+AS96*10000+MIN(ROUND(BG96,0),9999)+S96/10-IF(ISNUMBER(T96),T96,9)/1000</f>
        <v>4700110.0175</v>
      </c>
      <c r="BI96" s="58" t="n">
        <f aca="false">IF(AND(Calcul!$I$10&gt;0,ISNUMBER(T96)),T96-Calcul!$I$10,99)</f>
        <v>0</v>
      </c>
      <c r="BJ96" s="58" t="str">
        <f aca="false">IF(BC96=1,BD96*10000000-ROUND(BI96*1000,0)*1000+MIN(BH96/10000000,999),"")</f>
        <v/>
      </c>
      <c r="BK96" s="58" t="n">
        <f aca="false">IF(BC96=1,IF(BJ96=_xlfn.MAXIFS(Calcul!$BJ$60:$BJ$110,Calcul!$S$60:$S$110,S96,Calcul!$BC$60:$BC$110,1),1,0),0)</f>
        <v>0</v>
      </c>
      <c r="BL96" s="58" t="n">
        <f aca="false">IF(BC96=1,_xlfn.MAXIFS(Calcul!$BH$60:$BH$110,Calcul!$S$60:$S$110,S96,Calcul!$BC$60:$BC$110,1),0)</f>
        <v>0</v>
      </c>
      <c r="BM96" s="58" t="str">
        <f aca="false">IF(BC96=1,IF(BK96=1,10000000000+BL96,BH96)-ROW()/10000000,"")</f>
        <v/>
      </c>
      <c r="BN96" s="58"/>
      <c r="BY96" s="59" t="n">
        <f aca="false">IFERROR(MATCH(SMALL(Calcul!$P$60:$P$184,37),Calcul!$P$60:$P$184,0),0)</f>
        <v>35</v>
      </c>
    </row>
    <row r="97" customFormat="false" ht="15" hidden="false" customHeight="false" outlineLevel="0" collapsed="false">
      <c r="M97" s="0" t="str">
        <f aca="false">IF(AND(ISNUMBER('Liste outils'!$E$43),Convertisseur!$C$14&gt;0),IF(ABS('Liste outils'!$E$43-Convertisseur!$C$14)&lt;0.0005,COUNTIFS('Liste outils'!$E$6:$E43,"&gt;"&amp;(Convertisseur!$C$14-0.0005),'Liste outils'!$E$6:$E43,"&lt;"&amp;(Convertisseur!$C$14+0.0005)),""),"")</f>
        <v/>
      </c>
      <c r="N97" s="0" t="str">
        <f aca="false">IF(AND(ISNUMBER('Liste outils'!$E$43),Convertisseur!$C$15&gt;0),IF(ABS('Liste outils'!$E$43-Convertisseur!$C$15)&lt;0.0005,COUNTIFS('Liste outils'!$E$6:$E43,"&gt;"&amp;(Convertisseur!$C$15-0.0005),'Liste outils'!$E$6:$E43,"&lt;"&amp;(Convertisseur!$C$15+0.0005)),""),"")</f>
        <v/>
      </c>
      <c r="O97" s="0" t="str">
        <f aca="false">IF(AND(ISNUMBER('Liste outils'!$E$43),Convertisseur!$C$16&gt;0),IF(ABS('Liste outils'!$E$43-Convertisseur!$C$16)&lt;0.0005,COUNTIFS('Liste outils'!$E$6:$E43,"&gt;"&amp;(Convertisseur!$C$16-0.0005),'Liste outils'!$E$6:$E43,"&lt;"&amp;(Convertisseur!$C$16+0.0005)),""),"")</f>
        <v/>
      </c>
      <c r="P97" s="58" t="n">
        <f aca="false">IF(AND(OR('Recherche outils'!$B$5="Tous",'Recherche outils'!$B$5='Liste outils'!$C$43),OR(TRIM('Recherche outils'!$B$4&amp;"")="",ISNUMBER(SEARCH(TRIM('Recherche outils'!$B$4&amp;""),'Liste outils'!$B$43&amp;" "&amp;'Liste outils'!$C$43&amp;" "&amp;'Liste outils'!$J$43&amp;" "&amp;'Liste outils'!$O$43&amp;" "&amp;'Liste outils'!$P$43&amp;" "&amp;'Liste outils'!$Q$43&amp;" "&amp;'Liste outils'!$AA$43&amp;" "&amp;'Liste outils'!$AB$43&amp;" "&amp;'Liste outils'!$AC$43&amp;" "&amp;'Liste outils'!$T$43))),OR(NOT(ISNUMBER(Calcul!$L$11)),AND(ISNUMBER('Liste outils'!$E$43),ABS('Liste outils'!$E$43-IF(ISNUMBER(Calcul!$L$11),Calcul!$L$11,0))&lt;0.002)),OR(NOT(ISNUMBER(Calcul!$O$11)),AND(ISNUMBER('Liste outils'!$H$43),'Liste outils'!$H$43+0.000001&gt;=IF(ISNUMBER(Calcul!$O$11),Calcul!$O$11,0)))),IF(ISNUMBER('Liste outils'!$E$43),'Liste outils'!$E$43,99)*100000+IF(ISNUMBER('Liste outils'!$H$43),'Liste outils'!$H$43,99)*100+38/1000,"")</f>
        <v>12550.038</v>
      </c>
      <c r="R97" s="58" t="s">
        <v>427</v>
      </c>
      <c r="S97" s="58" t="n">
        <v>0.375</v>
      </c>
      <c r="T97" s="58" t="n">
        <v>0.5</v>
      </c>
      <c r="U97" s="58" t="n">
        <v>2</v>
      </c>
      <c r="V97" s="58" t="s">
        <v>724</v>
      </c>
      <c r="W97" s="58" t="s">
        <v>428</v>
      </c>
      <c r="X97" s="58" t="s">
        <v>429</v>
      </c>
      <c r="Y97" s="58" t="s">
        <v>421</v>
      </c>
      <c r="Z97" s="58"/>
      <c r="AA97" s="58" t="s">
        <v>285</v>
      </c>
      <c r="AB97" s="58"/>
      <c r="AC97" s="58" t="n">
        <v>0.006</v>
      </c>
      <c r="AD97" s="58" t="n">
        <v>0.009</v>
      </c>
      <c r="AE97" s="58" t="n">
        <v>0</v>
      </c>
      <c r="AF97" s="58" t="n">
        <v>1</v>
      </c>
      <c r="AG97" s="58" t="n">
        <v>1</v>
      </c>
      <c r="AH97" s="58" t="n">
        <v>0</v>
      </c>
      <c r="AI97" s="58"/>
      <c r="AJ97" s="58" t="n">
        <v>0.0072</v>
      </c>
      <c r="AK97" s="58" t="n">
        <v>0.0108</v>
      </c>
      <c r="AL97" s="58" t="n">
        <v>0</v>
      </c>
      <c r="AM97" s="58" t="n">
        <v>1</v>
      </c>
      <c r="AN97" s="58" t="n">
        <v>1</v>
      </c>
      <c r="AO97" s="58" t="n">
        <v>0</v>
      </c>
      <c r="AP97" s="58" t="n">
        <f aca="false">IF(Calcul!$I$5=1,AB97,AI97)</f>
        <v>0</v>
      </c>
      <c r="AQ97" s="58" t="n">
        <f aca="false">IF(Calcul!$I$5=1,AC97,AJ97)</f>
        <v>0.006</v>
      </c>
      <c r="AR97" s="58" t="n">
        <f aca="false">IF(Calcul!$I$5=1,AD97,AK97)</f>
        <v>0.009</v>
      </c>
      <c r="AS97" s="58" t="n">
        <f aca="false">IF(Calcul!$I$5=1,AE97,AL97)</f>
        <v>0</v>
      </c>
      <c r="AT97" s="58" t="n">
        <f aca="false">IF(Calcul!$I$5=1,AF97,AM97)</f>
        <v>1</v>
      </c>
      <c r="AU97" s="58" t="n">
        <f aca="false">IF(Calcul!$I$5=1,AG97,AN97)</f>
        <v>1</v>
      </c>
      <c r="AV97" s="58" t="n">
        <f aca="false">IF(Calcul!$I$5=1,AH97,AO97)</f>
        <v>0</v>
      </c>
      <c r="AW97" s="58" t="n">
        <f aca="false">IF(Calcul!$I$10&gt;0,MAX(1,ROUNDUP(Calcul!$I$10/S97-0.000001,0)),1)</f>
        <v>2</v>
      </c>
      <c r="AX97" s="58" t="n">
        <f aca="false">IF(Calcul!$I$10&gt;0,Calcul!$I$10/AW97,0)</f>
        <v>0.25</v>
      </c>
      <c r="AY97" s="58" t="n">
        <f aca="false">IF(Calcul!$I$10&gt;0,AX97/S97,1)</f>
        <v>0.666666666666667</v>
      </c>
      <c r="AZ97" s="58" t="n">
        <f aca="false">IF(AY97&lt;=1.0001,1,IF(AY97&lt;=2.0001,0.75,0.5))</f>
        <v>1</v>
      </c>
      <c r="BA97" s="58" t="n">
        <f aca="false">(AQ97+AR97)/2*AZ97</f>
        <v>0.0075</v>
      </c>
      <c r="BB97" s="58" t="n">
        <f aca="false">IF(Calcul!$I$10&gt;0,IF(ISNUMBER(T97),IF(T97+0.000001&gt;=Calcul!$I$10,1,0),2),2)</f>
        <v>1</v>
      </c>
      <c r="BC97" s="58" t="n">
        <f aca="false">IF(AND(V97=Calcul!$I$8,ISNUMBER(U97),OR(AP97&lt;&gt;"",AT97=1),IF(Calcul!$I$8="straight",IF(Calcul!$I$10&gt;0,BB97=1,TRUE()),BB97&lt;&gt;0)),1,0)</f>
        <v>1</v>
      </c>
      <c r="BD97" s="58" t="n">
        <f aca="false">IF(AND(Calcul!$I$8="straight",ISNUMBER(SEARCH(Calcul!$I$9,W97))),1,0)</f>
        <v>0</v>
      </c>
      <c r="BE97" s="58" t="n">
        <f aca="false">IF(ABS(S97-0.5)&lt;0.0005,IF(Calcul!$I$7=2,18000,20000),IF(AND(Calcul!$I$6=1,Calcul!$I$7=2),17000,23000))</f>
        <v>23000</v>
      </c>
      <c r="BF97" s="58" t="n">
        <f aca="false">IF(ISNUMBER(U97),BE97*U97*BA97,0)</f>
        <v>345</v>
      </c>
      <c r="BG97" s="58" t="n">
        <f aca="false">BF97/AW97</f>
        <v>172.5</v>
      </c>
      <c r="BH97" s="58" t="n">
        <f aca="false">BD97*1000000000+IF(AP97&lt;&gt;"",100000000,0)+AT97*10000000+(50-MIN(AW97,49))*100000+AS97*10000+MIN(ROUND(BG97,0),9999)+S97/10-IF(ISNUMBER(T97),T97,9)/1000</f>
        <v>14800173.037</v>
      </c>
      <c r="BI97" s="58" t="n">
        <f aca="false">IF(AND(Calcul!$I$10&gt;0,ISNUMBER(T97)),T97-Calcul!$I$10,99)</f>
        <v>0</v>
      </c>
      <c r="BJ97" s="58" t="n">
        <f aca="false">IF(BC97=1,BD97*10000000-ROUND(BI97*1000,0)*1000+MIN(BH97/10000000,999),"")</f>
        <v>1.4800173037</v>
      </c>
      <c r="BK97" s="58" t="n">
        <f aca="false">IF(BC97=1,IF(BJ97=_xlfn.MAXIFS(Calcul!$BJ$60:$BJ$110,Calcul!$S$60:$S$110,S97,Calcul!$BC$60:$BC$110,1),1,0),0)</f>
        <v>0</v>
      </c>
      <c r="BL97" s="58" t="n">
        <f aca="false">IF(BC97=1,_xlfn.MAXIFS(Calcul!$BH$60:$BH$110,Calcul!$S$60:$S$110,S97,Calcul!$BC$60:$BC$110,1),0)</f>
        <v>1114830126.03675</v>
      </c>
      <c r="BM97" s="58" t="n">
        <f aca="false">IF(BC97=1,IF(BK97=1,10000000000+BL97,BH97)-ROW()/10000000,"")</f>
        <v>14800173.0369903</v>
      </c>
      <c r="BN97" s="58"/>
      <c r="BY97" s="59" t="n">
        <f aca="false">IFERROR(MATCH(SMALL(Calcul!$P$60:$P$184,38),Calcul!$P$60:$P$184,0),0)</f>
        <v>34</v>
      </c>
    </row>
    <row r="98" customFormat="false" ht="15" hidden="false" customHeight="false" outlineLevel="0" collapsed="false">
      <c r="M98" s="0" t="str">
        <f aca="false">IF(AND(ISNUMBER('Liste outils'!$E$44),Convertisseur!$C$14&gt;0),IF(ABS('Liste outils'!$E$44-Convertisseur!$C$14)&lt;0.0005,COUNTIFS('Liste outils'!$E$6:$E44,"&gt;"&amp;(Convertisseur!$C$14-0.0005),'Liste outils'!$E$6:$E44,"&lt;"&amp;(Convertisseur!$C$14+0.0005)),""),"")</f>
        <v/>
      </c>
      <c r="N98" s="0" t="n">
        <f aca="false">IF(AND(ISNUMBER('Liste outils'!$E$44),Convertisseur!$C$15&gt;0),IF(ABS('Liste outils'!$E$44-Convertisseur!$C$15)&lt;0.0005,COUNTIFS('Liste outils'!$E$6:$E44,"&gt;"&amp;(Convertisseur!$C$15-0.0005),'Liste outils'!$E$6:$E44,"&lt;"&amp;(Convertisseur!$C$15+0.0005)),""),"")</f>
        <v>8</v>
      </c>
      <c r="O98" s="0" t="str">
        <f aca="false">IF(AND(ISNUMBER('Liste outils'!$E$44),Convertisseur!$C$16&gt;0),IF(ABS('Liste outils'!$E$44-Convertisseur!$C$16)&lt;0.0005,COUNTIFS('Liste outils'!$E$6:$E44,"&gt;"&amp;(Convertisseur!$C$16-0.0005),'Liste outils'!$E$6:$E44,"&lt;"&amp;(Convertisseur!$C$16+0.0005)),""),"")</f>
        <v/>
      </c>
      <c r="P98" s="58" t="n">
        <f aca="false">IF(AND(OR('Recherche outils'!$B$5="Tous",'Recherche outils'!$B$5='Liste outils'!$C$44),OR(TRIM('Recherche outils'!$B$4&amp;"")="",ISNUMBER(SEARCH(TRIM('Recherche outils'!$B$4&amp;""),'Liste outils'!$B$44&amp;" "&amp;'Liste outils'!$C$44&amp;" "&amp;'Liste outils'!$J$44&amp;" "&amp;'Liste outils'!$O$44&amp;" "&amp;'Liste outils'!$P$44&amp;" "&amp;'Liste outils'!$Q$44&amp;" "&amp;'Liste outils'!$AA$44&amp;" "&amp;'Liste outils'!$AB$44&amp;" "&amp;'Liste outils'!$AC$44&amp;" "&amp;'Liste outils'!$T$44))),OR(NOT(ISNUMBER(Calcul!$L$11)),AND(ISNUMBER('Liste outils'!$E$44),ABS('Liste outils'!$E$44-IF(ISNUMBER(Calcul!$L$11),Calcul!$L$11,0))&lt;0.002)),OR(NOT(ISNUMBER(Calcul!$O$11)),AND(ISNUMBER('Liste outils'!$H$44),'Liste outils'!$H$44+0.000001&gt;=IF(ISNUMBER(Calcul!$O$11),Calcul!$O$11,0)))),IF(ISNUMBER('Liste outils'!$E$44),'Liste outils'!$E$44,99)*100000+IF(ISNUMBER('Liste outils'!$H$44),'Liste outils'!$H$44,99)*100+39/1000,"")</f>
        <v>25075.039</v>
      </c>
      <c r="R98" s="58" t="s">
        <v>431</v>
      </c>
      <c r="S98" s="58" t="n">
        <v>1.5</v>
      </c>
      <c r="T98" s="58" t="n">
        <v>0.125</v>
      </c>
      <c r="U98" s="58" t="n">
        <v>16</v>
      </c>
      <c r="V98" s="58" t="s">
        <v>743</v>
      </c>
      <c r="W98" s="58"/>
      <c r="X98" s="58" t="s">
        <v>746</v>
      </c>
      <c r="Y98" s="58" t="s">
        <v>433</v>
      </c>
      <c r="Z98" s="58" t="s">
        <v>416</v>
      </c>
      <c r="AA98" s="58" t="s">
        <v>285</v>
      </c>
      <c r="AB98" s="58"/>
      <c r="AC98" s="58" t="n">
        <v>0.024</v>
      </c>
      <c r="AD98" s="58" t="n">
        <v>0.036</v>
      </c>
      <c r="AE98" s="58" t="n">
        <v>0</v>
      </c>
      <c r="AF98" s="58" t="n">
        <v>0</v>
      </c>
      <c r="AG98" s="58" t="n">
        <v>1</v>
      </c>
      <c r="AH98" s="58" t="n">
        <v>0</v>
      </c>
      <c r="AI98" s="58"/>
      <c r="AJ98" s="58" t="n">
        <v>0.0288</v>
      </c>
      <c r="AK98" s="58" t="n">
        <v>0.0432</v>
      </c>
      <c r="AL98" s="58" t="n">
        <v>0</v>
      </c>
      <c r="AM98" s="58" t="n">
        <v>0</v>
      </c>
      <c r="AN98" s="58" t="n">
        <v>1</v>
      </c>
      <c r="AO98" s="58" t="n">
        <v>0</v>
      </c>
      <c r="AP98" s="58" t="n">
        <f aca="false">IF(Calcul!$I$5=1,AB98,AI98)</f>
        <v>0</v>
      </c>
      <c r="AQ98" s="58" t="n">
        <f aca="false">IF(Calcul!$I$5=1,AC98,AJ98)</f>
        <v>0.024</v>
      </c>
      <c r="AR98" s="58" t="n">
        <f aca="false">IF(Calcul!$I$5=1,AD98,AK98)</f>
        <v>0.036</v>
      </c>
      <c r="AS98" s="58" t="n">
        <f aca="false">IF(Calcul!$I$5=1,AE98,AL98)</f>
        <v>0</v>
      </c>
      <c r="AT98" s="58" t="n">
        <f aca="false">IF(Calcul!$I$5=1,AF98,AM98)</f>
        <v>0</v>
      </c>
      <c r="AU98" s="58" t="n">
        <f aca="false">IF(Calcul!$I$5=1,AG98,AN98)</f>
        <v>1</v>
      </c>
      <c r="AV98" s="58" t="n">
        <f aca="false">IF(Calcul!$I$5=1,AH98,AO98)</f>
        <v>0</v>
      </c>
      <c r="AW98" s="58" t="n">
        <f aca="false">IF(Calcul!$I$10&gt;0,MAX(1,ROUNDUP(Calcul!$I$10/S98-0.000001,0)),1)</f>
        <v>1</v>
      </c>
      <c r="AX98" s="58" t="n">
        <f aca="false">IF(Calcul!$I$10&gt;0,Calcul!$I$10/AW98,0)</f>
        <v>0.5</v>
      </c>
      <c r="AY98" s="58" t="n">
        <f aca="false">IF(Calcul!$I$10&gt;0,AX98/S98,1)</f>
        <v>0.333333333333333</v>
      </c>
      <c r="AZ98" s="58" t="n">
        <f aca="false">IF(AY98&lt;=1.0001,1,IF(AY98&lt;=2.0001,0.75,0.5))</f>
        <v>1</v>
      </c>
      <c r="BA98" s="58" t="n">
        <f aca="false">(AQ98+AR98)/2*AZ98</f>
        <v>0.03</v>
      </c>
      <c r="BB98" s="58" t="n">
        <f aca="false">IF(Calcul!$I$10&gt;0,IF(ISNUMBER(T98),IF(T98+0.000001&gt;=Calcul!$I$10,1,0),2),2)</f>
        <v>0</v>
      </c>
      <c r="BC98" s="58" t="n">
        <f aca="false">IF(AND(V98=Calcul!$I$8,ISNUMBER(U98),OR(AP98&lt;&gt;"",AT98=1),IF(Calcul!$I$8="straight",IF(Calcul!$I$10&gt;0,BB98=1,TRUE()),BB98&lt;&gt;0)),1,0)</f>
        <v>0</v>
      </c>
      <c r="BD98" s="58" t="n">
        <f aca="false">IF(AND(Calcul!$I$8="straight",ISNUMBER(SEARCH(Calcul!$I$9,W98))),1,0)</f>
        <v>0</v>
      </c>
      <c r="BE98" s="58" t="n">
        <f aca="false">IF(ABS(S98-0.5)&lt;0.0005,IF(Calcul!$I$7=2,18000,20000),IF(AND(Calcul!$I$6=1,Calcul!$I$7=2),17000,23000))</f>
        <v>23000</v>
      </c>
      <c r="BF98" s="58" t="n">
        <f aca="false">IF(ISNUMBER(U98),BE98*U98*BA98,0)</f>
        <v>11040</v>
      </c>
      <c r="BG98" s="58" t="n">
        <f aca="false">BF98/AW98</f>
        <v>11040</v>
      </c>
      <c r="BH98" s="58" t="n">
        <f aca="false">BD98*1000000000+IF(AP98&lt;&gt;"",100000000,0)+AT98*10000000+(50-MIN(AW98,49))*100000+AS98*10000+MIN(ROUND(BG98,0),9999)+S98/10-IF(ISNUMBER(T98),T98,9)/1000</f>
        <v>4909999.149875</v>
      </c>
      <c r="BI98" s="58" t="n">
        <f aca="false">IF(AND(Calcul!$I$10&gt;0,ISNUMBER(T98)),T98-Calcul!$I$10,99)</f>
        <v>-0.375</v>
      </c>
      <c r="BJ98" s="58" t="str">
        <f aca="false">IF(BC98=1,BD98*10000000-ROUND(BI98*1000,0)*1000+MIN(BH98/10000000,999),"")</f>
        <v/>
      </c>
      <c r="BK98" s="58" t="n">
        <f aca="false">IF(BC98=1,IF(BJ98=_xlfn.MAXIFS(Calcul!$BJ$60:$BJ$110,Calcul!$S$60:$S$110,S98,Calcul!$BC$60:$BC$110,1),1,0),0)</f>
        <v>0</v>
      </c>
      <c r="BL98" s="58" t="n">
        <f aca="false">IF(BC98=1,_xlfn.MAXIFS(Calcul!$BH$60:$BH$110,Calcul!$S$60:$S$110,S98,Calcul!$BC$60:$BC$110,1),0)</f>
        <v>0</v>
      </c>
      <c r="BM98" s="58" t="str">
        <f aca="false">IF(BC98=1,IF(BK98=1,10000000000+BL98,BH98)-ROW()/10000000,"")</f>
        <v/>
      </c>
      <c r="BN98" s="58"/>
      <c r="BY98" s="59" t="n">
        <f aca="false">IFERROR(MATCH(SMALL(Calcul!$P$60:$P$184,39),Calcul!$P$60:$P$184,0),0)</f>
        <v>43</v>
      </c>
    </row>
    <row r="99" customFormat="false" ht="15" hidden="false" customHeight="false" outlineLevel="0" collapsed="false">
      <c r="M99" s="0" t="str">
        <f aca="false">IF(AND(ISNUMBER('Liste outils'!$E$45),Convertisseur!$C$14&gt;0),IF(ABS('Liste outils'!$E$45-Convertisseur!$C$14)&lt;0.0005,COUNTIFS('Liste outils'!$E$6:$E45,"&gt;"&amp;(Convertisseur!$C$14-0.0005),'Liste outils'!$E$6:$E45,"&lt;"&amp;(Convertisseur!$C$14+0.0005)),""),"")</f>
        <v/>
      </c>
      <c r="N99" s="0" t="n">
        <f aca="false">IF(AND(ISNUMBER('Liste outils'!$E$45),Convertisseur!$C$15&gt;0),IF(ABS('Liste outils'!$E$45-Convertisseur!$C$15)&lt;0.0005,COUNTIFS('Liste outils'!$E$6:$E45,"&gt;"&amp;(Convertisseur!$C$15-0.0005),'Liste outils'!$E$6:$E45,"&lt;"&amp;(Convertisseur!$C$15+0.0005)),""),"")</f>
        <v>9</v>
      </c>
      <c r="O99" s="0" t="str">
        <f aca="false">IF(AND(ISNUMBER('Liste outils'!$E$45),Convertisseur!$C$16&gt;0),IF(ABS('Liste outils'!$E$45-Convertisseur!$C$16)&lt;0.0005,COUNTIFS('Liste outils'!$E$6:$E45,"&gt;"&amp;(Convertisseur!$C$16-0.0005),'Liste outils'!$E$6:$E45,"&lt;"&amp;(Convertisseur!$C$16+0.0005)),""),"")</f>
        <v/>
      </c>
      <c r="P99" s="58" t="n">
        <f aca="false">IF(AND(OR('Recherche outils'!$B$5="Tous",'Recherche outils'!$B$5='Liste outils'!$C$45),OR(TRIM('Recherche outils'!$B$4&amp;"")="",ISNUMBER(SEARCH(TRIM('Recherche outils'!$B$4&amp;""),'Liste outils'!$B$45&amp;" "&amp;'Liste outils'!$C$45&amp;" "&amp;'Liste outils'!$J$45&amp;" "&amp;'Liste outils'!$O$45&amp;" "&amp;'Liste outils'!$P$45&amp;" "&amp;'Liste outils'!$Q$45&amp;" "&amp;'Liste outils'!$AA$45&amp;" "&amp;'Liste outils'!$AB$45&amp;" "&amp;'Liste outils'!$AC$45&amp;" "&amp;'Liste outils'!$T$45))),OR(NOT(ISNUMBER(Calcul!$L$11)),AND(ISNUMBER('Liste outils'!$E$45),ABS('Liste outils'!$E$45-IF(ISNUMBER(Calcul!$L$11),Calcul!$L$11,0))&lt;0.002)),OR(NOT(ISNUMBER(Calcul!$O$11)),AND(ISNUMBER('Liste outils'!$H$45),'Liste outils'!$H$45+0.000001&gt;=IF(ISNUMBER(Calcul!$O$11),Calcul!$O$11,0)))),IF(ISNUMBER('Liste outils'!$E$45),'Liste outils'!$E$45,99)*100000+IF(ISNUMBER('Liste outils'!$H$45),'Liste outils'!$H$45,99)*100+40/1000,"")</f>
        <v>25125.04</v>
      </c>
      <c r="R99" s="58" t="s">
        <v>434</v>
      </c>
      <c r="S99" s="58" t="n">
        <v>0.375</v>
      </c>
      <c r="T99" s="58" t="n">
        <v>1.125</v>
      </c>
      <c r="U99" s="58" t="n">
        <v>1</v>
      </c>
      <c r="V99" s="58" t="s">
        <v>724</v>
      </c>
      <c r="W99" s="58" t="s">
        <v>40</v>
      </c>
      <c r="X99" s="58" t="s">
        <v>435</v>
      </c>
      <c r="Y99" s="58" t="s">
        <v>437</v>
      </c>
      <c r="Z99" s="58"/>
      <c r="AA99" s="58" t="s">
        <v>285</v>
      </c>
      <c r="AB99" s="58" t="s">
        <v>727</v>
      </c>
      <c r="AC99" s="58" t="n">
        <v>0.008</v>
      </c>
      <c r="AD99" s="58" t="n">
        <v>0.012</v>
      </c>
      <c r="AE99" s="58" t="n">
        <v>0</v>
      </c>
      <c r="AF99" s="58" t="n">
        <v>0</v>
      </c>
      <c r="AG99" s="58" t="n">
        <v>0</v>
      </c>
      <c r="AH99" s="58" t="n">
        <v>18000</v>
      </c>
      <c r="AI99" s="58" t="s">
        <v>727</v>
      </c>
      <c r="AJ99" s="58" t="n">
        <v>0.008</v>
      </c>
      <c r="AK99" s="58" t="n">
        <v>0.012</v>
      </c>
      <c r="AL99" s="58" t="n">
        <v>3</v>
      </c>
      <c r="AM99" s="58" t="n">
        <v>1</v>
      </c>
      <c r="AN99" s="58" t="n">
        <v>0</v>
      </c>
      <c r="AO99" s="58" t="n">
        <v>18000</v>
      </c>
      <c r="AP99" s="58" t="str">
        <f aca="false">IF(Calcul!$I$5=1,AB99,AI99)</f>
        <v>63-750</v>
      </c>
      <c r="AQ99" s="58" t="n">
        <f aca="false">IF(Calcul!$I$5=1,AC99,AJ99)</f>
        <v>0.008</v>
      </c>
      <c r="AR99" s="58" t="n">
        <f aca="false">IF(Calcul!$I$5=1,AD99,AK99)</f>
        <v>0.012</v>
      </c>
      <c r="AS99" s="58" t="n">
        <f aca="false">IF(Calcul!$I$5=1,AE99,AL99)</f>
        <v>0</v>
      </c>
      <c r="AT99" s="58" t="n">
        <f aca="false">IF(Calcul!$I$5=1,AF99,AM99)</f>
        <v>0</v>
      </c>
      <c r="AU99" s="58" t="n">
        <f aca="false">IF(Calcul!$I$5=1,AG99,AN99)</f>
        <v>0</v>
      </c>
      <c r="AV99" s="58" t="n">
        <f aca="false">IF(Calcul!$I$5=1,AH99,AO99)</f>
        <v>18000</v>
      </c>
      <c r="AW99" s="58" t="n">
        <f aca="false">IF(Calcul!$I$10&gt;0,MAX(1,ROUNDUP(Calcul!$I$10/S99-0.000001,0)),1)</f>
        <v>2</v>
      </c>
      <c r="AX99" s="58" t="n">
        <f aca="false">IF(Calcul!$I$10&gt;0,Calcul!$I$10/AW99,0)</f>
        <v>0.25</v>
      </c>
      <c r="AY99" s="58" t="n">
        <f aca="false">IF(Calcul!$I$10&gt;0,AX99/S99,1)</f>
        <v>0.666666666666667</v>
      </c>
      <c r="AZ99" s="58" t="n">
        <f aca="false">IF(AY99&lt;=1.0001,1,IF(AY99&lt;=2.0001,0.75,0.5))</f>
        <v>1</v>
      </c>
      <c r="BA99" s="58" t="n">
        <f aca="false">(AQ99+AR99)/2*AZ99</f>
        <v>0.01</v>
      </c>
      <c r="BB99" s="58" t="n">
        <f aca="false">IF(Calcul!$I$10&gt;0,IF(ISNUMBER(T99),IF(T99+0.000001&gt;=Calcul!$I$10,1,0),2),2)</f>
        <v>1</v>
      </c>
      <c r="BC99" s="58" t="n">
        <f aca="false">IF(AND(V99=Calcul!$I$8,ISNUMBER(U99),OR(AP99&lt;&gt;"",AT99=1),IF(Calcul!$I$8="straight",IF(Calcul!$I$10&gt;0,BB99=1,TRUE()),BB99&lt;&gt;0)),1,0)</f>
        <v>1</v>
      </c>
      <c r="BD99" s="58" t="n">
        <f aca="false">IF(AND(Calcul!$I$8="straight",ISNUMBER(SEARCH(Calcul!$I$9,W99))),1,0)</f>
        <v>1</v>
      </c>
      <c r="BE99" s="58" t="n">
        <f aca="false">IF(ABS(S99-0.5)&lt;0.0005,IF(Calcul!$I$7=2,18000,20000),IF(AND(Calcul!$I$6=1,Calcul!$I$7=2),17000,23000))</f>
        <v>23000</v>
      </c>
      <c r="BF99" s="58" t="n">
        <f aca="false">IF(ISNUMBER(U99),BE99*U99*BA99,0)</f>
        <v>230</v>
      </c>
      <c r="BG99" s="58" t="n">
        <f aca="false">BF99/AW99</f>
        <v>115</v>
      </c>
      <c r="BH99" s="58" t="n">
        <f aca="false">BD99*1000000000+IF(AP99&lt;&gt;"",100000000,0)+AT99*10000000+(50-MIN(AW99,49))*100000+AS99*10000+MIN(ROUND(BG99,0),9999)+S99/10-IF(ISNUMBER(T99),T99,9)/1000</f>
        <v>1104800115.03637</v>
      </c>
      <c r="BI99" s="58" t="n">
        <f aca="false">IF(AND(Calcul!$I$10&gt;0,ISNUMBER(T99)),T99-Calcul!$I$10,99)</f>
        <v>0.625</v>
      </c>
      <c r="BJ99" s="58" t="n">
        <f aca="false">IF(BC99=1,BD99*10000000-ROUND(BI99*1000,0)*1000+MIN(BH99/10000000,999),"")</f>
        <v>9375110.4800115</v>
      </c>
      <c r="BK99" s="58" t="n">
        <f aca="false">IF(BC99=1,IF(BJ99=_xlfn.MAXIFS(Calcul!$BJ$60:$BJ$110,Calcul!$S$60:$S$110,S99,Calcul!$BC$60:$BC$110,1),1,0),0)</f>
        <v>0</v>
      </c>
      <c r="BL99" s="58" t="n">
        <f aca="false">IF(BC99=1,_xlfn.MAXIFS(Calcul!$BH$60:$BH$110,Calcul!$S$60:$S$110,S99,Calcul!$BC$60:$BC$110,1),0)</f>
        <v>1114830126.03675</v>
      </c>
      <c r="BM99" s="58" t="n">
        <f aca="false">IF(BC99=1,IF(BK99=1,10000000000+BL99,BH99)-ROW()/10000000,"")</f>
        <v>1104800115.03636</v>
      </c>
      <c r="BN99" s="58"/>
      <c r="BY99" s="59" t="n">
        <f aca="false">IFERROR(MATCH(SMALL(Calcul!$P$60:$P$184,40),Calcul!$P$60:$P$184,0),0)</f>
        <v>46</v>
      </c>
    </row>
    <row r="100" customFormat="false" ht="15" hidden="false" customHeight="false" outlineLevel="0" collapsed="false">
      <c r="M100" s="0" t="str">
        <f aca="false">IF(AND(ISNUMBER('Liste outils'!$E$46),Convertisseur!$C$14&gt;0),IF(ABS('Liste outils'!$E$46-Convertisseur!$C$14)&lt;0.0005,COUNTIFS('Liste outils'!$E$6:$E46,"&gt;"&amp;(Convertisseur!$C$14-0.0005),'Liste outils'!$E$6:$E46,"&lt;"&amp;(Convertisseur!$C$14+0.0005)),""),"")</f>
        <v/>
      </c>
      <c r="N100" s="0" t="n">
        <f aca="false">IF(AND(ISNUMBER('Liste outils'!$E$46),Convertisseur!$C$15&gt;0),IF(ABS('Liste outils'!$E$46-Convertisseur!$C$15)&lt;0.0005,COUNTIFS('Liste outils'!$E$6:$E46,"&gt;"&amp;(Convertisseur!$C$15-0.0005),'Liste outils'!$E$6:$E46,"&lt;"&amp;(Convertisseur!$C$15+0.0005)),""),"")</f>
        <v>10</v>
      </c>
      <c r="O100" s="0" t="str">
        <f aca="false">IF(AND(ISNUMBER('Liste outils'!$E$46),Convertisseur!$C$16&gt;0),IF(ABS('Liste outils'!$E$46-Convertisseur!$C$16)&lt;0.0005,COUNTIFS('Liste outils'!$E$6:$E46,"&gt;"&amp;(Convertisseur!$C$16-0.0005),'Liste outils'!$E$6:$E46,"&lt;"&amp;(Convertisseur!$C$16+0.0005)),""),"")</f>
        <v/>
      </c>
      <c r="P100" s="58" t="n">
        <f aca="false">IF(AND(OR('Recherche outils'!$B$5="Tous",'Recherche outils'!$B$5='Liste outils'!$C$46),OR(TRIM('Recherche outils'!$B$4&amp;"")="",ISNUMBER(SEARCH(TRIM('Recherche outils'!$B$4&amp;""),'Liste outils'!$B$46&amp;" "&amp;'Liste outils'!$C$46&amp;" "&amp;'Liste outils'!$J$46&amp;" "&amp;'Liste outils'!$O$46&amp;" "&amp;'Liste outils'!$P$46&amp;" "&amp;'Liste outils'!$Q$46&amp;" "&amp;'Liste outils'!$AA$46&amp;" "&amp;'Liste outils'!$AB$46&amp;" "&amp;'Liste outils'!$AC$46&amp;" "&amp;'Liste outils'!$T$46))),OR(NOT(ISNUMBER(Calcul!$L$11)),AND(ISNUMBER('Liste outils'!$E$46),ABS('Liste outils'!$E$46-IF(ISNUMBER(Calcul!$L$11),Calcul!$L$11,0))&lt;0.002)),OR(NOT(ISNUMBER(Calcul!$O$11)),AND(ISNUMBER('Liste outils'!$H$46),'Liste outils'!$H$46+0.000001&gt;=IF(ISNUMBER(Calcul!$O$11),Calcul!$O$11,0)))),IF(ISNUMBER('Liste outils'!$E$46),'Liste outils'!$E$46,99)*100000+IF(ISNUMBER('Liste outils'!$H$46),'Liste outils'!$H$46,99)*100+41/1000,"")</f>
        <v>25150.041</v>
      </c>
      <c r="R100" s="58" t="s">
        <v>438</v>
      </c>
      <c r="S100" s="58" t="n">
        <v>0.375</v>
      </c>
      <c r="T100" s="58" t="n">
        <v>1.625</v>
      </c>
      <c r="U100" s="58" t="n">
        <v>1</v>
      </c>
      <c r="V100" s="58" t="s">
        <v>724</v>
      </c>
      <c r="W100" s="58" t="s">
        <v>40</v>
      </c>
      <c r="X100" s="58" t="s">
        <v>439</v>
      </c>
      <c r="Y100" s="58" t="s">
        <v>440</v>
      </c>
      <c r="Z100" s="58"/>
      <c r="AA100" s="58" t="s">
        <v>285</v>
      </c>
      <c r="AB100" s="58" t="s">
        <v>465</v>
      </c>
      <c r="AC100" s="58" t="n">
        <v>0.01</v>
      </c>
      <c r="AD100" s="58" t="n">
        <v>0.012</v>
      </c>
      <c r="AE100" s="58" t="n">
        <v>3</v>
      </c>
      <c r="AF100" s="58" t="n">
        <v>1</v>
      </c>
      <c r="AG100" s="58" t="n">
        <v>0</v>
      </c>
      <c r="AH100" s="58" t="n">
        <v>18000</v>
      </c>
      <c r="AI100" s="58"/>
      <c r="AJ100" s="58" t="n">
        <v>0.0072</v>
      </c>
      <c r="AK100" s="58" t="n">
        <v>0.0108</v>
      </c>
      <c r="AL100" s="58" t="n">
        <v>0</v>
      </c>
      <c r="AM100" s="58" t="n">
        <v>0</v>
      </c>
      <c r="AN100" s="58" t="n">
        <v>1</v>
      </c>
      <c r="AO100" s="58" t="n">
        <v>0</v>
      </c>
      <c r="AP100" s="58" t="str">
        <f aca="false">IF(Calcul!$I$5=1,AB100,AI100)</f>
        <v>63-700</v>
      </c>
      <c r="AQ100" s="58" t="n">
        <f aca="false">IF(Calcul!$I$5=1,AC100,AJ100)</f>
        <v>0.01</v>
      </c>
      <c r="AR100" s="58" t="n">
        <f aca="false">IF(Calcul!$I$5=1,AD100,AK100)</f>
        <v>0.012</v>
      </c>
      <c r="AS100" s="58" t="n">
        <f aca="false">IF(Calcul!$I$5=1,AE100,AL100)</f>
        <v>3</v>
      </c>
      <c r="AT100" s="58" t="n">
        <f aca="false">IF(Calcul!$I$5=1,AF100,AM100)</f>
        <v>1</v>
      </c>
      <c r="AU100" s="58" t="n">
        <f aca="false">IF(Calcul!$I$5=1,AG100,AN100)</f>
        <v>0</v>
      </c>
      <c r="AV100" s="58" t="n">
        <f aca="false">IF(Calcul!$I$5=1,AH100,AO100)</f>
        <v>18000</v>
      </c>
      <c r="AW100" s="58" t="n">
        <f aca="false">IF(Calcul!$I$10&gt;0,MAX(1,ROUNDUP(Calcul!$I$10/S100-0.000001,0)),1)</f>
        <v>2</v>
      </c>
      <c r="AX100" s="58" t="n">
        <f aca="false">IF(Calcul!$I$10&gt;0,Calcul!$I$10/AW100,0)</f>
        <v>0.25</v>
      </c>
      <c r="AY100" s="58" t="n">
        <f aca="false">IF(Calcul!$I$10&gt;0,AX100/S100,1)</f>
        <v>0.666666666666667</v>
      </c>
      <c r="AZ100" s="58" t="n">
        <f aca="false">IF(AY100&lt;=1.0001,1,IF(AY100&lt;=2.0001,0.75,0.5))</f>
        <v>1</v>
      </c>
      <c r="BA100" s="58" t="n">
        <f aca="false">(AQ100+AR100)/2*AZ100</f>
        <v>0.011</v>
      </c>
      <c r="BB100" s="58" t="n">
        <f aca="false">IF(Calcul!$I$10&gt;0,IF(ISNUMBER(T100),IF(T100+0.000001&gt;=Calcul!$I$10,1,0),2),2)</f>
        <v>1</v>
      </c>
      <c r="BC100" s="58" t="n">
        <f aca="false">IF(AND(V100=Calcul!$I$8,ISNUMBER(U100),OR(AP100&lt;&gt;"",AT100=1),IF(Calcul!$I$8="straight",IF(Calcul!$I$10&gt;0,BB100=1,TRUE()),BB100&lt;&gt;0)),1,0)</f>
        <v>1</v>
      </c>
      <c r="BD100" s="58" t="n">
        <f aca="false">IF(AND(Calcul!$I$8="straight",ISNUMBER(SEARCH(Calcul!$I$9,W100))),1,0)</f>
        <v>1</v>
      </c>
      <c r="BE100" s="58" t="n">
        <f aca="false">IF(ABS(S100-0.5)&lt;0.0005,IF(Calcul!$I$7=2,18000,20000),IF(AND(Calcul!$I$6=1,Calcul!$I$7=2),17000,23000))</f>
        <v>23000</v>
      </c>
      <c r="BF100" s="58" t="n">
        <f aca="false">IF(ISNUMBER(U100),BE100*U100*BA100,0)</f>
        <v>253</v>
      </c>
      <c r="BG100" s="58" t="n">
        <f aca="false">BF100/AW100</f>
        <v>126.5</v>
      </c>
      <c r="BH100" s="58" t="n">
        <f aca="false">BD100*1000000000+IF(AP100&lt;&gt;"",100000000,0)+AT100*10000000+(50-MIN(AW100,49))*100000+AS100*10000+MIN(ROUND(BG100,0),9999)+S100/10-IF(ISNUMBER(T100),T100,9)/1000</f>
        <v>1114830126.03587</v>
      </c>
      <c r="BI100" s="58" t="n">
        <f aca="false">IF(AND(Calcul!$I$10&gt;0,ISNUMBER(T100)),T100-Calcul!$I$10,99)</f>
        <v>1.125</v>
      </c>
      <c r="BJ100" s="58" t="n">
        <f aca="false">IF(BC100=1,BD100*10000000-ROUND(BI100*1000,0)*1000+MIN(BH100/10000000,999),"")</f>
        <v>8875111.4830126</v>
      </c>
      <c r="BK100" s="58" t="n">
        <f aca="false">IF(BC100=1,IF(BJ100=_xlfn.MAXIFS(Calcul!$BJ$60:$BJ$110,Calcul!$S$60:$S$110,S100,Calcul!$BC$60:$BC$110,1),1,0),0)</f>
        <v>0</v>
      </c>
      <c r="BL100" s="58" t="n">
        <f aca="false">IF(BC100=1,_xlfn.MAXIFS(Calcul!$BH$60:$BH$110,Calcul!$S$60:$S$110,S100,Calcul!$BC$60:$BC$110,1),0)</f>
        <v>1114830126.03675</v>
      </c>
      <c r="BM100" s="58" t="n">
        <f aca="false">IF(BC100=1,IF(BK100=1,10000000000+BL100,BH100)-ROW()/10000000,"")</f>
        <v>1114830126.03586</v>
      </c>
      <c r="BN100" s="58"/>
      <c r="BY100" s="59" t="n">
        <f aca="false">IFERROR(MATCH(SMALL(Calcul!$P$60:$P$184,41),Calcul!$P$60:$P$184,0),0)</f>
        <v>64</v>
      </c>
    </row>
    <row r="101" customFormat="false" ht="15" hidden="false" customHeight="false" outlineLevel="0" collapsed="false">
      <c r="M101" s="0" t="str">
        <f aca="false">IF(AND(ISNUMBER('Liste outils'!$E$47),Convertisseur!$C$14&gt;0),IF(ABS('Liste outils'!$E$47-Convertisseur!$C$14)&lt;0.0005,COUNTIFS('Liste outils'!$E$6:$E47,"&gt;"&amp;(Convertisseur!$C$14-0.0005),'Liste outils'!$E$6:$E47,"&lt;"&amp;(Convertisseur!$C$14+0.0005)),""),"")</f>
        <v/>
      </c>
      <c r="N101" s="0" t="str">
        <f aca="false">IF(AND(ISNUMBER('Liste outils'!$E$47),Convertisseur!$C$15&gt;0),IF(ABS('Liste outils'!$E$47-Convertisseur!$C$15)&lt;0.0005,COUNTIFS('Liste outils'!$E$6:$E47,"&gt;"&amp;(Convertisseur!$C$15-0.0005),'Liste outils'!$E$6:$E47,"&lt;"&amp;(Convertisseur!$C$15+0.0005)),""),"")</f>
        <v/>
      </c>
      <c r="O101" s="0" t="str">
        <f aca="false">IF(AND(ISNUMBER('Liste outils'!$E$47),Convertisseur!$C$16&gt;0),IF(ABS('Liste outils'!$E$47-Convertisseur!$C$16)&lt;0.0005,COUNTIFS('Liste outils'!$E$6:$E47,"&gt;"&amp;(Convertisseur!$C$16-0.0005),'Liste outils'!$E$6:$E47,"&lt;"&amp;(Convertisseur!$C$16+0.0005)),""),"")</f>
        <v/>
      </c>
      <c r="P101" s="58" t="n">
        <f aca="false">IF(AND(OR('Recherche outils'!$B$5="Tous",'Recherche outils'!$B$5='Liste outils'!$C$47),OR(TRIM('Recherche outils'!$B$4&amp;"")="",ISNUMBER(SEARCH(TRIM('Recherche outils'!$B$4&amp;""),'Liste outils'!$B$47&amp;" "&amp;'Liste outils'!$C$47&amp;" "&amp;'Liste outils'!$J$47&amp;" "&amp;'Liste outils'!$O$47&amp;" "&amp;'Liste outils'!$P$47&amp;" "&amp;'Liste outils'!$Q$47&amp;" "&amp;'Liste outils'!$AA$47&amp;" "&amp;'Liste outils'!$AB$47&amp;" "&amp;'Liste outils'!$AC$47&amp;" "&amp;'Liste outils'!$T$47))),OR(NOT(ISNUMBER(Calcul!$L$11)),AND(ISNUMBER('Liste outils'!$E$47),ABS('Liste outils'!$E$47-IF(ISNUMBER(Calcul!$L$11),Calcul!$L$11,0))&lt;0.002)),OR(NOT(ISNUMBER(Calcul!$O$11)),AND(ISNUMBER('Liste outils'!$H$47),'Liste outils'!$H$47+0.000001&gt;=IF(ISNUMBER(Calcul!$O$11),Calcul!$O$11,0)))),IF(ISNUMBER('Liste outils'!$E$47),'Liste outils'!$E$47,99)*100000+IF(ISNUMBER('Liste outils'!$H$47),'Liste outils'!$H$47,99)*100+42/1000,"")</f>
        <v>12575.042</v>
      </c>
      <c r="R101" s="58" t="s">
        <v>441</v>
      </c>
      <c r="S101" s="58" t="n">
        <v>0.0625</v>
      </c>
      <c r="T101" s="58" t="n">
        <v>0.25</v>
      </c>
      <c r="U101" s="58" t="n">
        <v>1</v>
      </c>
      <c r="V101" s="58" t="s">
        <v>724</v>
      </c>
      <c r="W101" s="58" t="s">
        <v>40</v>
      </c>
      <c r="X101" s="58" t="s">
        <v>442</v>
      </c>
      <c r="Y101" s="58" t="s">
        <v>443</v>
      </c>
      <c r="Z101" s="58"/>
      <c r="AA101" s="58" t="s">
        <v>285</v>
      </c>
      <c r="AB101" s="58" t="s">
        <v>465</v>
      </c>
      <c r="AC101" s="58" t="n">
        <v>0.002</v>
      </c>
      <c r="AD101" s="58" t="n">
        <v>0.004</v>
      </c>
      <c r="AE101" s="58" t="n">
        <v>3</v>
      </c>
      <c r="AF101" s="58" t="n">
        <v>1</v>
      </c>
      <c r="AG101" s="58" t="n">
        <v>0</v>
      </c>
      <c r="AH101" s="58" t="n">
        <v>18000</v>
      </c>
      <c r="AI101" s="58"/>
      <c r="AJ101" s="58" t="n">
        <v>0.0012</v>
      </c>
      <c r="AK101" s="58" t="n">
        <v>0.0018</v>
      </c>
      <c r="AL101" s="58" t="n">
        <v>0</v>
      </c>
      <c r="AM101" s="58" t="n">
        <v>0</v>
      </c>
      <c r="AN101" s="58" t="n">
        <v>1</v>
      </c>
      <c r="AO101" s="58" t="n">
        <v>0</v>
      </c>
      <c r="AP101" s="58" t="str">
        <f aca="false">IF(Calcul!$I$5=1,AB101,AI101)</f>
        <v>63-700</v>
      </c>
      <c r="AQ101" s="58" t="n">
        <f aca="false">IF(Calcul!$I$5=1,AC101,AJ101)</f>
        <v>0.002</v>
      </c>
      <c r="AR101" s="58" t="n">
        <f aca="false">IF(Calcul!$I$5=1,AD101,AK101)</f>
        <v>0.004</v>
      </c>
      <c r="AS101" s="58" t="n">
        <f aca="false">IF(Calcul!$I$5=1,AE101,AL101)</f>
        <v>3</v>
      </c>
      <c r="AT101" s="58" t="n">
        <f aca="false">IF(Calcul!$I$5=1,AF101,AM101)</f>
        <v>1</v>
      </c>
      <c r="AU101" s="58" t="n">
        <f aca="false">IF(Calcul!$I$5=1,AG101,AN101)</f>
        <v>0</v>
      </c>
      <c r="AV101" s="58" t="n">
        <f aca="false">IF(Calcul!$I$5=1,AH101,AO101)</f>
        <v>18000</v>
      </c>
      <c r="AW101" s="58" t="n">
        <f aca="false">IF(Calcul!$I$10&gt;0,MAX(1,ROUNDUP(Calcul!$I$10/S101-0.000001,0)),1)</f>
        <v>8</v>
      </c>
      <c r="AX101" s="58" t="n">
        <f aca="false">IF(Calcul!$I$10&gt;0,Calcul!$I$10/AW101,0)</f>
        <v>0.0625</v>
      </c>
      <c r="AY101" s="58" t="n">
        <f aca="false">IF(Calcul!$I$10&gt;0,AX101/S101,1)</f>
        <v>1</v>
      </c>
      <c r="AZ101" s="58" t="n">
        <f aca="false">IF(AY101&lt;=1.0001,1,IF(AY101&lt;=2.0001,0.75,0.5))</f>
        <v>1</v>
      </c>
      <c r="BA101" s="58" t="n">
        <f aca="false">(AQ101+AR101)/2*AZ101</f>
        <v>0.003</v>
      </c>
      <c r="BB101" s="58" t="n">
        <f aca="false">IF(Calcul!$I$10&gt;0,IF(ISNUMBER(T101),IF(T101+0.000001&gt;=Calcul!$I$10,1,0),2),2)</f>
        <v>0</v>
      </c>
      <c r="BC101" s="58" t="n">
        <f aca="false">IF(AND(V101=Calcul!$I$8,ISNUMBER(U101),OR(AP101&lt;&gt;"",AT101=1),IF(Calcul!$I$8="straight",IF(Calcul!$I$10&gt;0,BB101=1,TRUE()),BB101&lt;&gt;0)),1,0)</f>
        <v>0</v>
      </c>
      <c r="BD101" s="58" t="n">
        <f aca="false">IF(AND(Calcul!$I$8="straight",ISNUMBER(SEARCH(Calcul!$I$9,W101))),1,0)</f>
        <v>1</v>
      </c>
      <c r="BE101" s="58" t="n">
        <f aca="false">IF(ABS(S101-0.5)&lt;0.0005,IF(Calcul!$I$7=2,18000,20000),IF(AND(Calcul!$I$6=1,Calcul!$I$7=2),17000,23000))</f>
        <v>23000</v>
      </c>
      <c r="BF101" s="58" t="n">
        <f aca="false">IF(ISNUMBER(U101),BE101*U101*BA101,0)</f>
        <v>69</v>
      </c>
      <c r="BG101" s="58" t="n">
        <f aca="false">BF101/AW101</f>
        <v>8.625</v>
      </c>
      <c r="BH101" s="58" t="n">
        <f aca="false">BD101*1000000000+IF(AP101&lt;&gt;"",100000000,0)+AT101*10000000+(50-MIN(AW101,49))*100000+AS101*10000+MIN(ROUND(BG101,0),9999)+S101/10-IF(ISNUMBER(T101),T101,9)/1000</f>
        <v>1114230009.006</v>
      </c>
      <c r="BI101" s="58" t="n">
        <f aca="false">IF(AND(Calcul!$I$10&gt;0,ISNUMBER(T101)),T101-Calcul!$I$10,99)</f>
        <v>-0.25</v>
      </c>
      <c r="BJ101" s="58" t="str">
        <f aca="false">IF(BC101=1,BD101*10000000-ROUND(BI101*1000,0)*1000+MIN(BH101/10000000,999),"")</f>
        <v/>
      </c>
      <c r="BK101" s="58" t="n">
        <f aca="false">IF(BC101=1,IF(BJ101=_xlfn.MAXIFS(Calcul!$BJ$60:$BJ$110,Calcul!$S$60:$S$110,S101,Calcul!$BC$60:$BC$110,1),1,0),0)</f>
        <v>0</v>
      </c>
      <c r="BL101" s="58" t="n">
        <f aca="false">IF(BC101=1,_xlfn.MAXIFS(Calcul!$BH$60:$BH$110,Calcul!$S$60:$S$110,S101,Calcul!$BC$60:$BC$110,1),0)</f>
        <v>0</v>
      </c>
      <c r="BM101" s="58" t="str">
        <f aca="false">IF(BC101=1,IF(BK101=1,10000000000+BL101,BH101)-ROW()/10000000,"")</f>
        <v/>
      </c>
      <c r="BN101" s="58"/>
      <c r="BY101" s="59" t="n">
        <f aca="false">IFERROR(MATCH(SMALL(Calcul!$P$60:$P$184,42),Calcul!$P$60:$P$184,0),0)</f>
        <v>45</v>
      </c>
    </row>
    <row r="102" customFormat="false" ht="15" hidden="false" customHeight="false" outlineLevel="0" collapsed="false">
      <c r="M102" s="0" t="str">
        <f aca="false">IF(AND(ISNUMBER('Liste outils'!$E$48),Convertisseur!$C$14&gt;0),IF(ABS('Liste outils'!$E$48-Convertisseur!$C$14)&lt;0.0005,COUNTIFS('Liste outils'!$E$6:$E48,"&gt;"&amp;(Convertisseur!$C$14-0.0005),'Liste outils'!$E$6:$E48,"&lt;"&amp;(Convertisseur!$C$14+0.0005)),""),"")</f>
        <v/>
      </c>
      <c r="N102" s="0" t="str">
        <f aca="false">IF(AND(ISNUMBER('Liste outils'!$E$48),Convertisseur!$C$15&gt;0),IF(ABS('Liste outils'!$E$48-Convertisseur!$C$15)&lt;0.0005,COUNTIFS('Liste outils'!$E$6:$E48,"&gt;"&amp;(Convertisseur!$C$15-0.0005),'Liste outils'!$E$6:$E48,"&lt;"&amp;(Convertisseur!$C$15+0.0005)),""),"")</f>
        <v/>
      </c>
      <c r="O102" s="0" t="str">
        <f aca="false">IF(AND(ISNUMBER('Liste outils'!$E$48),Convertisseur!$C$16&gt;0),IF(ABS('Liste outils'!$E$48-Convertisseur!$C$16)&lt;0.0005,COUNTIFS('Liste outils'!$E$6:$E48,"&gt;"&amp;(Convertisseur!$C$16-0.0005),'Liste outils'!$E$6:$E48,"&lt;"&amp;(Convertisseur!$C$16+0.0005)),""),"")</f>
        <v/>
      </c>
      <c r="P102" s="58" t="n">
        <f aca="false">IF(AND(OR('Recherche outils'!$B$5="Tous",'Recherche outils'!$B$5='Liste outils'!$C$48),OR(TRIM('Recherche outils'!$B$4&amp;"")="",ISNUMBER(SEARCH(TRIM('Recherche outils'!$B$4&amp;""),'Liste outils'!$B$48&amp;" "&amp;'Liste outils'!$C$48&amp;" "&amp;'Liste outils'!$J$48&amp;" "&amp;'Liste outils'!$O$48&amp;" "&amp;'Liste outils'!$P$48&amp;" "&amp;'Liste outils'!$Q$48&amp;" "&amp;'Liste outils'!$AA$48&amp;" "&amp;'Liste outils'!$AB$48&amp;" "&amp;'Liste outils'!$AC$48&amp;" "&amp;'Liste outils'!$T$48))),OR(NOT(ISNUMBER(Calcul!$L$11)),AND(ISNUMBER('Liste outils'!$E$48),ABS('Liste outils'!$E$48-IF(ISNUMBER(Calcul!$L$11),Calcul!$L$11,0))&lt;0.002)),OR(NOT(ISNUMBER(Calcul!$O$11)),AND(ISNUMBER('Liste outils'!$H$48),'Liste outils'!$H$48+0.000001&gt;=IF(ISNUMBER(Calcul!$O$11),Calcul!$O$11,0)))),IF(ISNUMBER('Liste outils'!$E$48),'Liste outils'!$E$48,99)*100000+IF(ISNUMBER('Liste outils'!$H$48),'Liste outils'!$H$48,99)*100+43/1000,"")</f>
        <v>37575.043</v>
      </c>
      <c r="R102" s="58" t="s">
        <v>444</v>
      </c>
      <c r="S102" s="58" t="n">
        <v>0.5</v>
      </c>
      <c r="T102" s="58" t="n">
        <v>0.875</v>
      </c>
      <c r="U102" s="58" t="n">
        <v>2</v>
      </c>
      <c r="V102" s="58" t="s">
        <v>724</v>
      </c>
      <c r="W102" s="58" t="s">
        <v>40</v>
      </c>
      <c r="X102" s="58" t="s">
        <v>445</v>
      </c>
      <c r="Y102" s="58" t="s">
        <v>446</v>
      </c>
      <c r="Z102" s="58"/>
      <c r="AA102" s="58" t="s">
        <v>285</v>
      </c>
      <c r="AB102" s="58" t="s">
        <v>732</v>
      </c>
      <c r="AC102" s="58" t="n">
        <v>0.006</v>
      </c>
      <c r="AD102" s="58" t="n">
        <v>0.008</v>
      </c>
      <c r="AE102" s="58" t="n">
        <v>0</v>
      </c>
      <c r="AF102" s="58" t="n">
        <v>1</v>
      </c>
      <c r="AG102" s="58" t="n">
        <v>0</v>
      </c>
      <c r="AH102" s="58" t="n">
        <v>18000</v>
      </c>
      <c r="AI102" s="58" t="s">
        <v>732</v>
      </c>
      <c r="AJ102" s="58" t="n">
        <v>0.006</v>
      </c>
      <c r="AK102" s="58" t="n">
        <v>0.008</v>
      </c>
      <c r="AL102" s="58" t="n">
        <v>0</v>
      </c>
      <c r="AM102" s="58" t="n">
        <v>1</v>
      </c>
      <c r="AN102" s="58" t="n">
        <v>0</v>
      </c>
      <c r="AO102" s="58" t="n">
        <v>18000</v>
      </c>
      <c r="AP102" s="58" t="str">
        <f aca="false">IF(Calcul!$I$5=1,AB102,AI102)</f>
        <v>66-300</v>
      </c>
      <c r="AQ102" s="58" t="n">
        <f aca="false">IF(Calcul!$I$5=1,AC102,AJ102)</f>
        <v>0.006</v>
      </c>
      <c r="AR102" s="58" t="n">
        <f aca="false">IF(Calcul!$I$5=1,AD102,AK102)</f>
        <v>0.008</v>
      </c>
      <c r="AS102" s="58" t="n">
        <f aca="false">IF(Calcul!$I$5=1,AE102,AL102)</f>
        <v>0</v>
      </c>
      <c r="AT102" s="58" t="n">
        <f aca="false">IF(Calcul!$I$5=1,AF102,AM102)</f>
        <v>1</v>
      </c>
      <c r="AU102" s="58" t="n">
        <f aca="false">IF(Calcul!$I$5=1,AG102,AN102)</f>
        <v>0</v>
      </c>
      <c r="AV102" s="58" t="n">
        <f aca="false">IF(Calcul!$I$5=1,AH102,AO102)</f>
        <v>18000</v>
      </c>
      <c r="AW102" s="58" t="n">
        <f aca="false">IF(Calcul!$I$10&gt;0,MAX(1,ROUNDUP(Calcul!$I$10/S102-0.000001,0)),1)</f>
        <v>1</v>
      </c>
      <c r="AX102" s="58" t="n">
        <f aca="false">IF(Calcul!$I$10&gt;0,Calcul!$I$10/AW102,0)</f>
        <v>0.5</v>
      </c>
      <c r="AY102" s="58" t="n">
        <f aca="false">IF(Calcul!$I$10&gt;0,AX102/S102,1)</f>
        <v>1</v>
      </c>
      <c r="AZ102" s="58" t="n">
        <f aca="false">IF(AY102&lt;=1.0001,1,IF(AY102&lt;=2.0001,0.75,0.5))</f>
        <v>1</v>
      </c>
      <c r="BA102" s="58" t="n">
        <f aca="false">(AQ102+AR102)/2*AZ102</f>
        <v>0.007</v>
      </c>
      <c r="BB102" s="58" t="n">
        <f aca="false">IF(Calcul!$I$10&gt;0,IF(ISNUMBER(T102),IF(T102+0.000001&gt;=Calcul!$I$10,1,0),2),2)</f>
        <v>1</v>
      </c>
      <c r="BC102" s="58" t="n">
        <f aca="false">IF(AND(V102=Calcul!$I$8,ISNUMBER(U102),OR(AP102&lt;&gt;"",AT102=1),IF(Calcul!$I$8="straight",IF(Calcul!$I$10&gt;0,BB102=1,TRUE()),BB102&lt;&gt;0)),1,0)</f>
        <v>1</v>
      </c>
      <c r="BD102" s="58" t="n">
        <f aca="false">IF(AND(Calcul!$I$8="straight",ISNUMBER(SEARCH(Calcul!$I$9,W102))),1,0)</f>
        <v>1</v>
      </c>
      <c r="BE102" s="58" t="n">
        <f aca="false">IF(ABS(S102-0.5)&lt;0.0005,IF(Calcul!$I$7=2,18000,20000),IF(AND(Calcul!$I$6=1,Calcul!$I$7=2),17000,23000))</f>
        <v>20000</v>
      </c>
      <c r="BF102" s="58" t="n">
        <f aca="false">IF(ISNUMBER(U102),BE102*U102*BA102,0)</f>
        <v>280</v>
      </c>
      <c r="BG102" s="58" t="n">
        <f aca="false">BF102/AW102</f>
        <v>280</v>
      </c>
      <c r="BH102" s="58" t="n">
        <f aca="false">BD102*1000000000+IF(AP102&lt;&gt;"",100000000,0)+AT102*10000000+(50-MIN(AW102,49))*100000+AS102*10000+MIN(ROUND(BG102,0),9999)+S102/10-IF(ISNUMBER(T102),T102,9)/1000</f>
        <v>1114900280.04913</v>
      </c>
      <c r="BI102" s="58" t="n">
        <f aca="false">IF(AND(Calcul!$I$10&gt;0,ISNUMBER(T102)),T102-Calcul!$I$10,99)</f>
        <v>0.375</v>
      </c>
      <c r="BJ102" s="58" t="n">
        <f aca="false">IF(BC102=1,BD102*10000000-ROUND(BI102*1000,0)*1000+MIN(BH102/10000000,999),"")</f>
        <v>9625111.49002801</v>
      </c>
      <c r="BK102" s="58" t="n">
        <f aca="false">IF(BC102=1,IF(BJ102=_xlfn.MAXIFS(Calcul!$BJ$60:$BJ$110,Calcul!$S$60:$S$110,S102,Calcul!$BC$60:$BC$110,1),1,0),0)</f>
        <v>1</v>
      </c>
      <c r="BL102" s="58" t="n">
        <f aca="false">IF(BC102=1,_xlfn.MAXIFS(Calcul!$BH$60:$BH$110,Calcul!$S$60:$S$110,S102,Calcul!$BC$60:$BC$110,1),0)</f>
        <v>1114900280.04913</v>
      </c>
      <c r="BM102" s="58" t="n">
        <f aca="false">IF(BC102=1,IF(BK102=1,10000000000+BL102,BH102)-ROW()/10000000,"")</f>
        <v>11114900280.0491</v>
      </c>
      <c r="BN102" s="58"/>
      <c r="BY102" s="59" t="n">
        <f aca="false">IFERROR(MATCH(SMALL(Calcul!$P$60:$P$184,43),Calcul!$P$60:$P$184,0),0)</f>
        <v>47</v>
      </c>
    </row>
    <row r="103" customFormat="false" ht="15" hidden="false" customHeight="false" outlineLevel="0" collapsed="false">
      <c r="M103" s="0" t="str">
        <f aca="false">IF(AND(ISNUMBER('Liste outils'!$E$49),Convertisseur!$C$14&gt;0),IF(ABS('Liste outils'!$E$49-Convertisseur!$C$14)&lt;0.0005,COUNTIFS('Liste outils'!$E$6:$E49,"&gt;"&amp;(Convertisseur!$C$14-0.0005),'Liste outils'!$E$6:$E49,"&lt;"&amp;(Convertisseur!$C$14+0.0005)),""),"")</f>
        <v/>
      </c>
      <c r="N103" s="0" t="str">
        <f aca="false">IF(AND(ISNUMBER('Liste outils'!$E$49),Convertisseur!$C$15&gt;0),IF(ABS('Liste outils'!$E$49-Convertisseur!$C$15)&lt;0.0005,COUNTIFS('Liste outils'!$E$6:$E49,"&gt;"&amp;(Convertisseur!$C$15-0.0005),'Liste outils'!$E$6:$E49,"&lt;"&amp;(Convertisseur!$C$15+0.0005)),""),"")</f>
        <v/>
      </c>
      <c r="O103" s="0" t="str">
        <f aca="false">IF(AND(ISNUMBER('Liste outils'!$E$49),Convertisseur!$C$16&gt;0),IF(ABS('Liste outils'!$E$49-Convertisseur!$C$16)&lt;0.0005,COUNTIFS('Liste outils'!$E$6:$E49,"&gt;"&amp;(Convertisseur!$C$16-0.0005),'Liste outils'!$E$6:$E49,"&lt;"&amp;(Convertisseur!$C$16+0.0005)),""),"")</f>
        <v/>
      </c>
      <c r="P103" s="58" t="n">
        <f aca="false">IF(AND(OR('Recherche outils'!$B$5="Tous",'Recherche outils'!$B$5='Liste outils'!$C$49),OR(TRIM('Recherche outils'!$B$4&amp;"")="",ISNUMBER(SEARCH(TRIM('Recherche outils'!$B$4&amp;""),'Liste outils'!$B$49&amp;" "&amp;'Liste outils'!$C$49&amp;" "&amp;'Liste outils'!$J$49&amp;" "&amp;'Liste outils'!$O$49&amp;" "&amp;'Liste outils'!$P$49&amp;" "&amp;'Liste outils'!$Q$49&amp;" "&amp;'Liste outils'!$AA$49&amp;" "&amp;'Liste outils'!$AB$49&amp;" "&amp;'Liste outils'!$AC$49&amp;" "&amp;'Liste outils'!$T$49))),OR(NOT(ISNUMBER(Calcul!$L$11)),AND(ISNUMBER('Liste outils'!$E$49),ABS('Liste outils'!$E$49-IF(ISNUMBER(Calcul!$L$11),Calcul!$L$11,0))&lt;0.002)),OR(NOT(ISNUMBER(Calcul!$O$11)),AND(ISNUMBER('Liste outils'!$H$49),'Liste outils'!$H$49+0.000001&gt;=IF(ISNUMBER(Calcul!$O$11),Calcul!$O$11,0)))),IF(ISNUMBER('Liste outils'!$E$49),'Liste outils'!$E$49,99)*100000+IF(ISNUMBER('Liste outils'!$H$49),'Liste outils'!$H$49,99)*100+44/1000,"")</f>
        <v>50162.544</v>
      </c>
      <c r="R103" s="58" t="s">
        <v>447</v>
      </c>
      <c r="S103" s="58" t="n">
        <v>0.5</v>
      </c>
      <c r="T103" s="58" t="n">
        <v>1.75</v>
      </c>
      <c r="U103" s="58" t="n">
        <v>2</v>
      </c>
      <c r="V103" s="58" t="s">
        <v>724</v>
      </c>
      <c r="W103" s="58" t="s">
        <v>40</v>
      </c>
      <c r="X103" s="58" t="s">
        <v>448</v>
      </c>
      <c r="Y103" s="58" t="s">
        <v>449</v>
      </c>
      <c r="Z103" s="58"/>
      <c r="AA103" s="58" t="s">
        <v>285</v>
      </c>
      <c r="AB103" s="58"/>
      <c r="AC103" s="58" t="n">
        <v>0.008</v>
      </c>
      <c r="AD103" s="58" t="n">
        <v>0.012</v>
      </c>
      <c r="AE103" s="58" t="n">
        <v>0</v>
      </c>
      <c r="AF103" s="58" t="n">
        <v>0</v>
      </c>
      <c r="AG103" s="58" t="n">
        <v>1</v>
      </c>
      <c r="AH103" s="58" t="n">
        <v>0</v>
      </c>
      <c r="AI103" s="58" t="s">
        <v>739</v>
      </c>
      <c r="AJ103" s="58" t="n">
        <v>0.012</v>
      </c>
      <c r="AK103" s="58" t="n">
        <v>0.014</v>
      </c>
      <c r="AL103" s="58" t="n">
        <v>3</v>
      </c>
      <c r="AM103" s="58" t="n">
        <v>1</v>
      </c>
      <c r="AN103" s="58" t="n">
        <v>0</v>
      </c>
      <c r="AO103" s="58" t="n">
        <v>18000</v>
      </c>
      <c r="AP103" s="58" t="n">
        <f aca="false">IF(Calcul!$I$5=1,AB103,AI103)</f>
        <v>0</v>
      </c>
      <c r="AQ103" s="58" t="n">
        <f aca="false">IF(Calcul!$I$5=1,AC103,AJ103)</f>
        <v>0.008</v>
      </c>
      <c r="AR103" s="58" t="n">
        <f aca="false">IF(Calcul!$I$5=1,AD103,AK103)</f>
        <v>0.012</v>
      </c>
      <c r="AS103" s="58" t="n">
        <f aca="false">IF(Calcul!$I$5=1,AE103,AL103)</f>
        <v>0</v>
      </c>
      <c r="AT103" s="58" t="n">
        <f aca="false">IF(Calcul!$I$5=1,AF103,AM103)</f>
        <v>0</v>
      </c>
      <c r="AU103" s="58" t="n">
        <f aca="false">IF(Calcul!$I$5=1,AG103,AN103)</f>
        <v>1</v>
      </c>
      <c r="AV103" s="58" t="n">
        <f aca="false">IF(Calcul!$I$5=1,AH103,AO103)</f>
        <v>0</v>
      </c>
      <c r="AW103" s="58" t="n">
        <f aca="false">IF(Calcul!$I$10&gt;0,MAX(1,ROUNDUP(Calcul!$I$10/S103-0.000001,0)),1)</f>
        <v>1</v>
      </c>
      <c r="AX103" s="58" t="n">
        <f aca="false">IF(Calcul!$I$10&gt;0,Calcul!$I$10/AW103,0)</f>
        <v>0.5</v>
      </c>
      <c r="AY103" s="58" t="n">
        <f aca="false">IF(Calcul!$I$10&gt;0,AX103/S103,1)</f>
        <v>1</v>
      </c>
      <c r="AZ103" s="58" t="n">
        <f aca="false">IF(AY103&lt;=1.0001,1,IF(AY103&lt;=2.0001,0.75,0.5))</f>
        <v>1</v>
      </c>
      <c r="BA103" s="58" t="n">
        <f aca="false">(AQ103+AR103)/2*AZ103</f>
        <v>0.01</v>
      </c>
      <c r="BB103" s="58" t="n">
        <f aca="false">IF(Calcul!$I$10&gt;0,IF(ISNUMBER(T103),IF(T103+0.000001&gt;=Calcul!$I$10,1,0),2),2)</f>
        <v>1</v>
      </c>
      <c r="BC103" s="58" t="n">
        <f aca="false">IF(AND(V103=Calcul!$I$8,ISNUMBER(U103),OR(AP103&lt;&gt;"",AT103=1),IF(Calcul!$I$8="straight",IF(Calcul!$I$10&gt;0,BB103=1,TRUE()),BB103&lt;&gt;0)),1,0)</f>
        <v>0</v>
      </c>
      <c r="BD103" s="58" t="n">
        <f aca="false">IF(AND(Calcul!$I$8="straight",ISNUMBER(SEARCH(Calcul!$I$9,W103))),1,0)</f>
        <v>1</v>
      </c>
      <c r="BE103" s="58" t="n">
        <f aca="false">IF(ABS(S103-0.5)&lt;0.0005,IF(Calcul!$I$7=2,18000,20000),IF(AND(Calcul!$I$6=1,Calcul!$I$7=2),17000,23000))</f>
        <v>20000</v>
      </c>
      <c r="BF103" s="58" t="n">
        <f aca="false">IF(ISNUMBER(U103),BE103*U103*BA103,0)</f>
        <v>400</v>
      </c>
      <c r="BG103" s="58" t="n">
        <f aca="false">BF103/AW103</f>
        <v>400</v>
      </c>
      <c r="BH103" s="58" t="n">
        <f aca="false">BD103*1000000000+IF(AP103&lt;&gt;"",100000000,0)+AT103*10000000+(50-MIN(AW103,49))*100000+AS103*10000+MIN(ROUND(BG103,0),9999)+S103/10-IF(ISNUMBER(T103),T103,9)/1000</f>
        <v>1004900400.04825</v>
      </c>
      <c r="BI103" s="58" t="n">
        <f aca="false">IF(AND(Calcul!$I$10&gt;0,ISNUMBER(T103)),T103-Calcul!$I$10,99)</f>
        <v>1.25</v>
      </c>
      <c r="BJ103" s="58" t="str">
        <f aca="false">IF(BC103=1,BD103*10000000-ROUND(BI103*1000,0)*1000+MIN(BH103/10000000,999),"")</f>
        <v/>
      </c>
      <c r="BK103" s="58" t="n">
        <f aca="false">IF(BC103=1,IF(BJ103=_xlfn.MAXIFS(Calcul!$BJ$60:$BJ$110,Calcul!$S$60:$S$110,S103,Calcul!$BC$60:$BC$110,1),1,0),0)</f>
        <v>0</v>
      </c>
      <c r="BL103" s="58" t="n">
        <f aca="false">IF(BC103=1,_xlfn.MAXIFS(Calcul!$BH$60:$BH$110,Calcul!$S$60:$S$110,S103,Calcul!$BC$60:$BC$110,1),0)</f>
        <v>0</v>
      </c>
      <c r="BM103" s="58" t="str">
        <f aca="false">IF(BC103=1,IF(BK103=1,10000000000+BL103,BH103)-ROW()/10000000,"")</f>
        <v/>
      </c>
      <c r="BN103" s="58"/>
      <c r="BY103" s="59" t="n">
        <f aca="false">IFERROR(MATCH(SMALL(Calcul!$P$60:$P$184,44),Calcul!$P$60:$P$184,0),0)</f>
        <v>65</v>
      </c>
    </row>
    <row r="104" customFormat="false" ht="15" hidden="false" customHeight="false" outlineLevel="0" collapsed="false">
      <c r="M104" s="0" t="str">
        <f aca="false">IF(AND(ISNUMBER('Liste outils'!$E$50),Convertisseur!$C$14&gt;0),IF(ABS('Liste outils'!$E$50-Convertisseur!$C$14)&lt;0.0005,COUNTIFS('Liste outils'!$E$6:$E50,"&gt;"&amp;(Convertisseur!$C$14-0.0005),'Liste outils'!$E$6:$E50,"&lt;"&amp;(Convertisseur!$C$14+0.0005)),""),"")</f>
        <v/>
      </c>
      <c r="N104" s="0" t="str">
        <f aca="false">IF(AND(ISNUMBER('Liste outils'!$E$50),Convertisseur!$C$15&gt;0),IF(ABS('Liste outils'!$E$50-Convertisseur!$C$15)&lt;0.0005,COUNTIFS('Liste outils'!$E$6:$E50,"&gt;"&amp;(Convertisseur!$C$15-0.0005),'Liste outils'!$E$6:$E50,"&lt;"&amp;(Convertisseur!$C$15+0.0005)),""),"")</f>
        <v/>
      </c>
      <c r="O104" s="0" t="str">
        <f aca="false">IF(AND(ISNUMBER('Liste outils'!$E$50),Convertisseur!$C$16&gt;0),IF(ABS('Liste outils'!$E$50-Convertisseur!$C$16)&lt;0.0005,COUNTIFS('Liste outils'!$E$6:$E50,"&gt;"&amp;(Convertisseur!$C$16-0.0005),'Liste outils'!$E$6:$E50,"&lt;"&amp;(Convertisseur!$C$16+0.0005)),""),"")</f>
        <v/>
      </c>
      <c r="P104" s="58" t="n">
        <f aca="false">IF(AND(OR('Recherche outils'!$B$5="Tous",'Recherche outils'!$B$5='Liste outils'!$C$50),OR(TRIM('Recherche outils'!$B$4&amp;"")="",ISNUMBER(SEARCH(TRIM('Recherche outils'!$B$4&amp;""),'Liste outils'!$B$50&amp;" "&amp;'Liste outils'!$C$50&amp;" "&amp;'Liste outils'!$J$50&amp;" "&amp;'Liste outils'!$O$50&amp;" "&amp;'Liste outils'!$P$50&amp;" "&amp;'Liste outils'!$Q$50&amp;" "&amp;'Liste outils'!$AA$50&amp;" "&amp;'Liste outils'!$AB$50&amp;" "&amp;'Liste outils'!$AC$50&amp;" "&amp;'Liste outils'!$T$50))),OR(NOT(ISNUMBER(Calcul!$L$11)),AND(ISNUMBER('Liste outils'!$E$50),ABS('Liste outils'!$E$50-IF(ISNUMBER(Calcul!$L$11),Calcul!$L$11,0))&lt;0.002)),OR(NOT(ISNUMBER(Calcul!$O$11)),AND(ISNUMBER('Liste outils'!$H$50),'Liste outils'!$H$50+0.000001&gt;=IF(ISNUMBER(Calcul!$O$11),Calcul!$O$11,0)))),IF(ISNUMBER('Liste outils'!$E$50),'Liste outils'!$E$50,99)*100000+IF(ISNUMBER('Liste outils'!$H$50),'Liste outils'!$H$50,99)*100+45/1000,"")</f>
        <v>37650.045</v>
      </c>
      <c r="R104" s="58" t="s">
        <v>450</v>
      </c>
      <c r="S104" s="58" t="n">
        <v>0.5</v>
      </c>
      <c r="T104" s="58"/>
      <c r="U104" s="58" t="n">
        <v>1</v>
      </c>
      <c r="V104" s="58" t="s">
        <v>722</v>
      </c>
      <c r="W104" s="58" t="s">
        <v>200</v>
      </c>
      <c r="X104" s="58" t="s">
        <v>451</v>
      </c>
      <c r="Y104" s="58" t="s">
        <v>387</v>
      </c>
      <c r="Z104" s="58" t="s">
        <v>452</v>
      </c>
      <c r="AA104" s="58" t="s">
        <v>285</v>
      </c>
      <c r="AB104" s="58"/>
      <c r="AC104" s="58" t="n">
        <v>0.008</v>
      </c>
      <c r="AD104" s="58" t="n">
        <v>0.012</v>
      </c>
      <c r="AE104" s="58" t="n">
        <v>0</v>
      </c>
      <c r="AF104" s="58" t="n">
        <v>0</v>
      </c>
      <c r="AG104" s="58" t="n">
        <v>1</v>
      </c>
      <c r="AH104" s="58" t="n">
        <v>0</v>
      </c>
      <c r="AI104" s="58"/>
      <c r="AJ104" s="58" t="n">
        <v>0.0096</v>
      </c>
      <c r="AK104" s="58" t="n">
        <v>0.0144</v>
      </c>
      <c r="AL104" s="58" t="n">
        <v>0</v>
      </c>
      <c r="AM104" s="58" t="n">
        <v>0</v>
      </c>
      <c r="AN104" s="58" t="n">
        <v>1</v>
      </c>
      <c r="AO104" s="58" t="n">
        <v>0</v>
      </c>
      <c r="AP104" s="58" t="n">
        <f aca="false">IF(Calcul!$I$5=1,AB104,AI104)</f>
        <v>0</v>
      </c>
      <c r="AQ104" s="58" t="n">
        <f aca="false">IF(Calcul!$I$5=1,AC104,AJ104)</f>
        <v>0.008</v>
      </c>
      <c r="AR104" s="58" t="n">
        <f aca="false">IF(Calcul!$I$5=1,AD104,AK104)</f>
        <v>0.012</v>
      </c>
      <c r="AS104" s="58" t="n">
        <f aca="false">IF(Calcul!$I$5=1,AE104,AL104)</f>
        <v>0</v>
      </c>
      <c r="AT104" s="58" t="n">
        <f aca="false">IF(Calcul!$I$5=1,AF104,AM104)</f>
        <v>0</v>
      </c>
      <c r="AU104" s="58" t="n">
        <f aca="false">IF(Calcul!$I$5=1,AG104,AN104)</f>
        <v>1</v>
      </c>
      <c r="AV104" s="58" t="n">
        <f aca="false">IF(Calcul!$I$5=1,AH104,AO104)</f>
        <v>0</v>
      </c>
      <c r="AW104" s="58" t="n">
        <f aca="false">IF(Calcul!$I$10&gt;0,MAX(1,ROUNDUP(Calcul!$I$10/S104-0.000001,0)),1)</f>
        <v>1</v>
      </c>
      <c r="AX104" s="58" t="n">
        <f aca="false">IF(Calcul!$I$10&gt;0,Calcul!$I$10/AW104,0)</f>
        <v>0.5</v>
      </c>
      <c r="AY104" s="58" t="n">
        <f aca="false">IF(Calcul!$I$10&gt;0,AX104/S104,1)</f>
        <v>1</v>
      </c>
      <c r="AZ104" s="58" t="n">
        <f aca="false">IF(AY104&lt;=1.0001,1,IF(AY104&lt;=2.0001,0.75,0.5))</f>
        <v>1</v>
      </c>
      <c r="BA104" s="58" t="n">
        <f aca="false">(AQ104+AR104)/2*AZ104</f>
        <v>0.01</v>
      </c>
      <c r="BB104" s="58" t="n">
        <f aca="false">IF(Calcul!$I$10&gt;0,IF(ISNUMBER(T104),IF(T104+0.000001&gt;=Calcul!$I$10,1,0),2),2)</f>
        <v>2</v>
      </c>
      <c r="BC104" s="58" t="n">
        <f aca="false">IF(AND(V104=Calcul!$I$8,ISNUMBER(U104),OR(AP104&lt;&gt;"",AT104=1),IF(Calcul!$I$8="straight",IF(Calcul!$I$10&gt;0,BB104=1,TRUE()),BB104&lt;&gt;0)),1,0)</f>
        <v>0</v>
      </c>
      <c r="BD104" s="58" t="n">
        <f aca="false">IF(AND(Calcul!$I$8="straight",ISNUMBER(SEARCH(Calcul!$I$9,W104))),1,0)</f>
        <v>0</v>
      </c>
      <c r="BE104" s="58" t="n">
        <f aca="false">IF(ABS(S104-0.5)&lt;0.0005,IF(Calcul!$I$7=2,18000,20000),IF(AND(Calcul!$I$6=1,Calcul!$I$7=2),17000,23000))</f>
        <v>20000</v>
      </c>
      <c r="BF104" s="58" t="n">
        <f aca="false">IF(ISNUMBER(U104),BE104*U104*BA104,0)</f>
        <v>200</v>
      </c>
      <c r="BG104" s="58" t="n">
        <f aca="false">BF104/AW104</f>
        <v>200</v>
      </c>
      <c r="BH104" s="58" t="n">
        <f aca="false">BD104*1000000000+IF(AP104&lt;&gt;"",100000000,0)+AT104*10000000+(50-MIN(AW104,49))*100000+AS104*10000+MIN(ROUND(BG104,0),9999)+S104/10-IF(ISNUMBER(T104),T104,9)/1000</f>
        <v>4900200.041</v>
      </c>
      <c r="BI104" s="58" t="n">
        <f aca="false">IF(AND(Calcul!$I$10&gt;0,ISNUMBER(T104)),T104-Calcul!$I$10,99)</f>
        <v>99</v>
      </c>
      <c r="BJ104" s="58" t="str">
        <f aca="false">IF(BC104=1,BD104*10000000-ROUND(BI104*1000,0)*1000+MIN(BH104/10000000,999),"")</f>
        <v/>
      </c>
      <c r="BK104" s="58" t="n">
        <f aca="false">IF(BC104=1,IF(BJ104=_xlfn.MAXIFS(Calcul!$BJ$60:$BJ$110,Calcul!$S$60:$S$110,S104,Calcul!$BC$60:$BC$110,1),1,0),0)</f>
        <v>0</v>
      </c>
      <c r="BL104" s="58" t="n">
        <f aca="false">IF(BC104=1,_xlfn.MAXIFS(Calcul!$BH$60:$BH$110,Calcul!$S$60:$S$110,S104,Calcul!$BC$60:$BC$110,1),0)</f>
        <v>0</v>
      </c>
      <c r="BM104" s="58" t="str">
        <f aca="false">IF(BC104=1,IF(BK104=1,10000000000+BL104,BH104)-ROW()/10000000,"")</f>
        <v/>
      </c>
      <c r="BN104" s="58"/>
      <c r="BY104" s="59" t="n">
        <f aca="false">IFERROR(MATCH(SMALL(Calcul!$P$60:$P$184,45),Calcul!$P$60:$P$184,0),0)</f>
        <v>72</v>
      </c>
    </row>
    <row r="105" customFormat="false" ht="15" hidden="false" customHeight="false" outlineLevel="0" collapsed="false">
      <c r="M105" s="0" t="str">
        <f aca="false">IF(AND(ISNUMBER('Liste outils'!$E$51),Convertisseur!$C$14&gt;0),IF(ABS('Liste outils'!$E$51-Convertisseur!$C$14)&lt;0.0005,COUNTIFS('Liste outils'!$E$6:$E51,"&gt;"&amp;(Convertisseur!$C$14-0.0005),'Liste outils'!$E$6:$E51,"&lt;"&amp;(Convertisseur!$C$14+0.0005)),""),"")</f>
        <v/>
      </c>
      <c r="N105" s="0" t="str">
        <f aca="false">IF(AND(ISNUMBER('Liste outils'!$E$51),Convertisseur!$C$15&gt;0),IF(ABS('Liste outils'!$E$51-Convertisseur!$C$15)&lt;0.0005,COUNTIFS('Liste outils'!$E$6:$E51,"&gt;"&amp;(Convertisseur!$C$15-0.0005),'Liste outils'!$E$6:$E51,"&lt;"&amp;(Convertisseur!$C$15+0.0005)),""),"")</f>
        <v/>
      </c>
      <c r="O105" s="0" t="str">
        <f aca="false">IF(AND(ISNUMBER('Liste outils'!$E$51),Convertisseur!$C$16&gt;0),IF(ABS('Liste outils'!$E$51-Convertisseur!$C$16)&lt;0.0005,COUNTIFS('Liste outils'!$E$6:$E51,"&gt;"&amp;(Convertisseur!$C$16-0.0005),'Liste outils'!$E$6:$E51,"&lt;"&amp;(Convertisseur!$C$16+0.0005)),""),"")</f>
        <v/>
      </c>
      <c r="P105" s="58" t="n">
        <f aca="false">IF(AND(OR('Recherche outils'!$B$5="Tous",'Recherche outils'!$B$5='Liste outils'!$C$51),OR(TRIM('Recherche outils'!$B$4&amp;"")="",ISNUMBER(SEARCH(TRIM('Recherche outils'!$B$4&amp;""),'Liste outils'!$B$51&amp;" "&amp;'Liste outils'!$C$51&amp;" "&amp;'Liste outils'!$J$51&amp;" "&amp;'Liste outils'!$O$51&amp;" "&amp;'Liste outils'!$P$51&amp;" "&amp;'Liste outils'!$Q$51&amp;" "&amp;'Liste outils'!$AA$51&amp;" "&amp;'Liste outils'!$AB$51&amp;" "&amp;'Liste outils'!$AC$51&amp;" "&amp;'Liste outils'!$T$51))),OR(NOT(ISNUMBER(Calcul!$L$11)),AND(ISNUMBER('Liste outils'!$E$51),ABS('Liste outils'!$E$51-IF(ISNUMBER(Calcul!$L$11),Calcul!$L$11,0))&lt;0.002)),OR(NOT(ISNUMBER(Calcul!$O$11)),AND(ISNUMBER('Liste outils'!$H$51),'Liste outils'!$H$51+0.000001&gt;=IF(ISNUMBER(Calcul!$O$11),Calcul!$O$11,0)))),IF(ISNUMBER('Liste outils'!$E$51),'Liste outils'!$E$51,99)*100000+IF(ISNUMBER('Liste outils'!$H$51),'Liste outils'!$H$51,99)*100+46/1000,"")</f>
        <v>37587.546</v>
      </c>
      <c r="R105" s="58" t="s">
        <v>453</v>
      </c>
      <c r="S105" s="58" t="n">
        <v>0.5</v>
      </c>
      <c r="T105" s="58"/>
      <c r="U105" s="58" t="n">
        <v>1</v>
      </c>
      <c r="V105" s="58" t="s">
        <v>722</v>
      </c>
      <c r="W105" s="58" t="s">
        <v>200</v>
      </c>
      <c r="X105" s="58" t="s">
        <v>454</v>
      </c>
      <c r="Y105" s="58" t="s">
        <v>387</v>
      </c>
      <c r="Z105" s="58" t="s">
        <v>400</v>
      </c>
      <c r="AA105" s="58" t="s">
        <v>285</v>
      </c>
      <c r="AB105" s="58"/>
      <c r="AC105" s="58" t="n">
        <v>0.008</v>
      </c>
      <c r="AD105" s="58" t="n">
        <v>0.012</v>
      </c>
      <c r="AE105" s="58" t="n">
        <v>0</v>
      </c>
      <c r="AF105" s="58" t="n">
        <v>0</v>
      </c>
      <c r="AG105" s="58" t="n">
        <v>1</v>
      </c>
      <c r="AH105" s="58" t="n">
        <v>0</v>
      </c>
      <c r="AI105" s="58"/>
      <c r="AJ105" s="58" t="n">
        <v>0.0096</v>
      </c>
      <c r="AK105" s="58" t="n">
        <v>0.0144</v>
      </c>
      <c r="AL105" s="58" t="n">
        <v>0</v>
      </c>
      <c r="AM105" s="58" t="n">
        <v>0</v>
      </c>
      <c r="AN105" s="58" t="n">
        <v>1</v>
      </c>
      <c r="AO105" s="58" t="n">
        <v>0</v>
      </c>
      <c r="AP105" s="58" t="n">
        <f aca="false">IF(Calcul!$I$5=1,AB105,AI105)</f>
        <v>0</v>
      </c>
      <c r="AQ105" s="58" t="n">
        <f aca="false">IF(Calcul!$I$5=1,AC105,AJ105)</f>
        <v>0.008</v>
      </c>
      <c r="AR105" s="58" t="n">
        <f aca="false">IF(Calcul!$I$5=1,AD105,AK105)</f>
        <v>0.012</v>
      </c>
      <c r="AS105" s="58" t="n">
        <f aca="false">IF(Calcul!$I$5=1,AE105,AL105)</f>
        <v>0</v>
      </c>
      <c r="AT105" s="58" t="n">
        <f aca="false">IF(Calcul!$I$5=1,AF105,AM105)</f>
        <v>0</v>
      </c>
      <c r="AU105" s="58" t="n">
        <f aca="false">IF(Calcul!$I$5=1,AG105,AN105)</f>
        <v>1</v>
      </c>
      <c r="AV105" s="58" t="n">
        <f aca="false">IF(Calcul!$I$5=1,AH105,AO105)</f>
        <v>0</v>
      </c>
      <c r="AW105" s="58" t="n">
        <f aca="false">IF(Calcul!$I$10&gt;0,MAX(1,ROUNDUP(Calcul!$I$10/S105-0.000001,0)),1)</f>
        <v>1</v>
      </c>
      <c r="AX105" s="58" t="n">
        <f aca="false">IF(Calcul!$I$10&gt;0,Calcul!$I$10/AW105,0)</f>
        <v>0.5</v>
      </c>
      <c r="AY105" s="58" t="n">
        <f aca="false">IF(Calcul!$I$10&gt;0,AX105/S105,1)</f>
        <v>1</v>
      </c>
      <c r="AZ105" s="58" t="n">
        <f aca="false">IF(AY105&lt;=1.0001,1,IF(AY105&lt;=2.0001,0.75,0.5))</f>
        <v>1</v>
      </c>
      <c r="BA105" s="58" t="n">
        <f aca="false">(AQ105+AR105)/2*AZ105</f>
        <v>0.01</v>
      </c>
      <c r="BB105" s="58" t="n">
        <f aca="false">IF(Calcul!$I$10&gt;0,IF(ISNUMBER(T105),IF(T105+0.000001&gt;=Calcul!$I$10,1,0),2),2)</f>
        <v>2</v>
      </c>
      <c r="BC105" s="58" t="n">
        <f aca="false">IF(AND(V105=Calcul!$I$8,ISNUMBER(U105),OR(AP105&lt;&gt;"",AT105=1),IF(Calcul!$I$8="straight",IF(Calcul!$I$10&gt;0,BB105=1,TRUE()),BB105&lt;&gt;0)),1,0)</f>
        <v>0</v>
      </c>
      <c r="BD105" s="58" t="n">
        <f aca="false">IF(AND(Calcul!$I$8="straight",ISNUMBER(SEARCH(Calcul!$I$9,W105))),1,0)</f>
        <v>0</v>
      </c>
      <c r="BE105" s="58" t="n">
        <f aca="false">IF(ABS(S105-0.5)&lt;0.0005,IF(Calcul!$I$7=2,18000,20000),IF(AND(Calcul!$I$6=1,Calcul!$I$7=2),17000,23000))</f>
        <v>20000</v>
      </c>
      <c r="BF105" s="58" t="n">
        <f aca="false">IF(ISNUMBER(U105),BE105*U105*BA105,0)</f>
        <v>200</v>
      </c>
      <c r="BG105" s="58" t="n">
        <f aca="false">BF105/AW105</f>
        <v>200</v>
      </c>
      <c r="BH105" s="58" t="n">
        <f aca="false">BD105*1000000000+IF(AP105&lt;&gt;"",100000000,0)+AT105*10000000+(50-MIN(AW105,49))*100000+AS105*10000+MIN(ROUND(BG105,0),9999)+S105/10-IF(ISNUMBER(T105),T105,9)/1000</f>
        <v>4900200.041</v>
      </c>
      <c r="BI105" s="58" t="n">
        <f aca="false">IF(AND(Calcul!$I$10&gt;0,ISNUMBER(T105)),T105-Calcul!$I$10,99)</f>
        <v>99</v>
      </c>
      <c r="BJ105" s="58" t="str">
        <f aca="false">IF(BC105=1,BD105*10000000-ROUND(BI105*1000,0)*1000+MIN(BH105/10000000,999),"")</f>
        <v/>
      </c>
      <c r="BK105" s="58" t="n">
        <f aca="false">IF(BC105=1,IF(BJ105=_xlfn.MAXIFS(Calcul!$BJ$60:$BJ$110,Calcul!$S$60:$S$110,S105,Calcul!$BC$60:$BC$110,1),1,0),0)</f>
        <v>0</v>
      </c>
      <c r="BL105" s="58" t="n">
        <f aca="false">IF(BC105=1,_xlfn.MAXIFS(Calcul!$BH$60:$BH$110,Calcul!$S$60:$S$110,S105,Calcul!$BC$60:$BC$110,1),0)</f>
        <v>0</v>
      </c>
      <c r="BM105" s="58" t="str">
        <f aca="false">IF(BC105=1,IF(BK105=1,10000000000+BL105,BH105)-ROW()/10000000,"")</f>
        <v/>
      </c>
      <c r="BN105" s="58"/>
      <c r="BY105" s="59" t="n">
        <f aca="false">IFERROR(MATCH(SMALL(Calcul!$P$60:$P$184,46),Calcul!$P$60:$P$184,0),0)</f>
        <v>52</v>
      </c>
    </row>
    <row r="106" customFormat="false" ht="15" hidden="false" customHeight="false" outlineLevel="0" collapsed="false">
      <c r="M106" s="0" t="str">
        <f aca="false">IF(AND(ISNUMBER('Liste outils'!$E$52),Convertisseur!$C$14&gt;0),IF(ABS('Liste outils'!$E$52-Convertisseur!$C$14)&lt;0.0005,COUNTIFS('Liste outils'!$E$6:$E52,"&gt;"&amp;(Convertisseur!$C$14-0.0005),'Liste outils'!$E$6:$E52,"&lt;"&amp;(Convertisseur!$C$14+0.0005)),""),"")</f>
        <v/>
      </c>
      <c r="N106" s="0" t="str">
        <f aca="false">IF(AND(ISNUMBER('Liste outils'!$E$52),Convertisseur!$C$15&gt;0),IF(ABS('Liste outils'!$E$52-Convertisseur!$C$15)&lt;0.0005,COUNTIFS('Liste outils'!$E$6:$E52,"&gt;"&amp;(Convertisseur!$C$15-0.0005),'Liste outils'!$E$6:$E52,"&lt;"&amp;(Convertisseur!$C$15+0.0005)),""),"")</f>
        <v/>
      </c>
      <c r="O106" s="0" t="str">
        <f aca="false">IF(AND(ISNUMBER('Liste outils'!$E$52),Convertisseur!$C$16&gt;0),IF(ABS('Liste outils'!$E$52-Convertisseur!$C$16)&lt;0.0005,COUNTIFS('Liste outils'!$E$6:$E52,"&gt;"&amp;(Convertisseur!$C$16-0.0005),'Liste outils'!$E$6:$E52,"&lt;"&amp;(Convertisseur!$C$16+0.0005)),""),"")</f>
        <v/>
      </c>
      <c r="P106" s="58" t="n">
        <f aca="false">IF(AND(OR('Recherche outils'!$B$5="Tous",'Recherche outils'!$B$5='Liste outils'!$C$52),OR(TRIM('Recherche outils'!$B$4&amp;"")="",ISNUMBER(SEARCH(TRIM('Recherche outils'!$B$4&amp;""),'Liste outils'!$B$52&amp;" "&amp;'Liste outils'!$C$52&amp;" "&amp;'Liste outils'!$J$52&amp;" "&amp;'Liste outils'!$O$52&amp;" "&amp;'Liste outils'!$P$52&amp;" "&amp;'Liste outils'!$Q$52&amp;" "&amp;'Liste outils'!$AA$52&amp;" "&amp;'Liste outils'!$AB$52&amp;" "&amp;'Liste outils'!$AC$52&amp;" "&amp;'Liste outils'!$T$52))),OR(NOT(ISNUMBER(Calcul!$L$11)),AND(ISNUMBER('Liste outils'!$E$52),ABS('Liste outils'!$E$52-IF(ISNUMBER(Calcul!$L$11),Calcul!$L$11,0))&lt;0.002)),OR(NOT(ISNUMBER(Calcul!$O$11)),AND(ISNUMBER('Liste outils'!$H$52),'Liste outils'!$H$52+0.000001&gt;=IF(ISNUMBER(Calcul!$O$11),Calcul!$O$11,0)))),IF(ISNUMBER('Liste outils'!$E$52),'Liste outils'!$E$52,99)*100000+IF(ISNUMBER('Liste outils'!$H$52),'Liste outils'!$H$52,99)*100+47/1000,"")</f>
        <v>37650.047</v>
      </c>
      <c r="R106" s="58" t="s">
        <v>455</v>
      </c>
      <c r="S106" s="58" t="n">
        <v>0.125</v>
      </c>
      <c r="T106" s="58" t="n">
        <v>0.5</v>
      </c>
      <c r="U106" s="58" t="n">
        <v>1</v>
      </c>
      <c r="V106" s="58" t="s">
        <v>724</v>
      </c>
      <c r="W106" s="58" t="s">
        <v>40</v>
      </c>
      <c r="X106" s="58" t="s">
        <v>456</v>
      </c>
      <c r="Y106" s="58" t="s">
        <v>307</v>
      </c>
      <c r="Z106" s="58"/>
      <c r="AA106" s="58" t="s">
        <v>285</v>
      </c>
      <c r="AB106" s="58" t="s">
        <v>727</v>
      </c>
      <c r="AC106" s="58" t="n">
        <v>0.004</v>
      </c>
      <c r="AD106" s="58" t="n">
        <v>0.006</v>
      </c>
      <c r="AE106" s="58" t="n">
        <v>0</v>
      </c>
      <c r="AF106" s="58" t="n">
        <v>0</v>
      </c>
      <c r="AG106" s="58" t="n">
        <v>0</v>
      </c>
      <c r="AH106" s="58" t="n">
        <v>18000</v>
      </c>
      <c r="AI106" s="58" t="s">
        <v>727</v>
      </c>
      <c r="AJ106" s="58" t="n">
        <v>0.004</v>
      </c>
      <c r="AK106" s="58" t="n">
        <v>0.006</v>
      </c>
      <c r="AL106" s="58" t="n">
        <v>3</v>
      </c>
      <c r="AM106" s="58" t="n">
        <v>1</v>
      </c>
      <c r="AN106" s="58" t="n">
        <v>0</v>
      </c>
      <c r="AO106" s="58" t="n">
        <v>18000</v>
      </c>
      <c r="AP106" s="58" t="str">
        <f aca="false">IF(Calcul!$I$5=1,AB106,AI106)</f>
        <v>63-750</v>
      </c>
      <c r="AQ106" s="58" t="n">
        <f aca="false">IF(Calcul!$I$5=1,AC106,AJ106)</f>
        <v>0.004</v>
      </c>
      <c r="AR106" s="58" t="n">
        <f aca="false">IF(Calcul!$I$5=1,AD106,AK106)</f>
        <v>0.006</v>
      </c>
      <c r="AS106" s="58" t="n">
        <f aca="false">IF(Calcul!$I$5=1,AE106,AL106)</f>
        <v>0</v>
      </c>
      <c r="AT106" s="58" t="n">
        <f aca="false">IF(Calcul!$I$5=1,AF106,AM106)</f>
        <v>0</v>
      </c>
      <c r="AU106" s="58" t="n">
        <f aca="false">IF(Calcul!$I$5=1,AG106,AN106)</f>
        <v>0</v>
      </c>
      <c r="AV106" s="58" t="n">
        <f aca="false">IF(Calcul!$I$5=1,AH106,AO106)</f>
        <v>18000</v>
      </c>
      <c r="AW106" s="58" t="n">
        <f aca="false">IF(Calcul!$I$10&gt;0,MAX(1,ROUNDUP(Calcul!$I$10/S106-0.000001,0)),1)</f>
        <v>4</v>
      </c>
      <c r="AX106" s="58" t="n">
        <f aca="false">IF(Calcul!$I$10&gt;0,Calcul!$I$10/AW106,0)</f>
        <v>0.125</v>
      </c>
      <c r="AY106" s="58" t="n">
        <f aca="false">IF(Calcul!$I$10&gt;0,AX106/S106,1)</f>
        <v>1</v>
      </c>
      <c r="AZ106" s="58" t="n">
        <f aca="false">IF(AY106&lt;=1.0001,1,IF(AY106&lt;=2.0001,0.75,0.5))</f>
        <v>1</v>
      </c>
      <c r="BA106" s="58" t="n">
        <f aca="false">(AQ106+AR106)/2*AZ106</f>
        <v>0.005</v>
      </c>
      <c r="BB106" s="58" t="n">
        <f aca="false">IF(Calcul!$I$10&gt;0,IF(ISNUMBER(T106),IF(T106+0.000001&gt;=Calcul!$I$10,1,0),2),2)</f>
        <v>1</v>
      </c>
      <c r="BC106" s="58" t="n">
        <f aca="false">IF(AND(V106=Calcul!$I$8,ISNUMBER(U106),OR(AP106&lt;&gt;"",AT106=1),IF(Calcul!$I$8="straight",IF(Calcul!$I$10&gt;0,BB106=1,TRUE()),BB106&lt;&gt;0)),1,0)</f>
        <v>1</v>
      </c>
      <c r="BD106" s="58" t="n">
        <f aca="false">IF(AND(Calcul!$I$8="straight",ISNUMBER(SEARCH(Calcul!$I$9,W106))),1,0)</f>
        <v>1</v>
      </c>
      <c r="BE106" s="58" t="n">
        <f aca="false">IF(ABS(S106-0.5)&lt;0.0005,IF(Calcul!$I$7=2,18000,20000),IF(AND(Calcul!$I$6=1,Calcul!$I$7=2),17000,23000))</f>
        <v>23000</v>
      </c>
      <c r="BF106" s="58" t="n">
        <f aca="false">IF(ISNUMBER(U106),BE106*U106*BA106,0)</f>
        <v>115</v>
      </c>
      <c r="BG106" s="58" t="n">
        <f aca="false">BF106/AW106</f>
        <v>28.75</v>
      </c>
      <c r="BH106" s="58" t="n">
        <f aca="false">BD106*1000000000+IF(AP106&lt;&gt;"",100000000,0)+AT106*10000000+(50-MIN(AW106,49))*100000+AS106*10000+MIN(ROUND(BG106,0),9999)+S106/10-IF(ISNUMBER(T106),T106,9)/1000</f>
        <v>1104600029.012</v>
      </c>
      <c r="BI106" s="58" t="n">
        <f aca="false">IF(AND(Calcul!$I$10&gt;0,ISNUMBER(T106)),T106-Calcul!$I$10,99)</f>
        <v>0</v>
      </c>
      <c r="BJ106" s="58" t="n">
        <f aca="false">IF(BC106=1,BD106*10000000-ROUND(BI106*1000,0)*1000+MIN(BH106/10000000,999),"")</f>
        <v>10000110.4600029</v>
      </c>
      <c r="BK106" s="58" t="n">
        <f aca="false">IF(BC106=1,IF(BJ106=_xlfn.MAXIFS(Calcul!$BJ$60:$BJ$110,Calcul!$S$60:$S$110,S106,Calcul!$BC$60:$BC$110,1),1,0),0)</f>
        <v>0</v>
      </c>
      <c r="BL106" s="58" t="n">
        <f aca="false">IF(BC106=1,_xlfn.MAXIFS(Calcul!$BH$60:$BH$110,Calcul!$S$60:$S$110,S106,Calcul!$BC$60:$BC$110,1),0)</f>
        <v>1114630040.012</v>
      </c>
      <c r="BM106" s="58" t="n">
        <f aca="false">IF(BC106=1,IF(BK106=1,10000000000+BL106,BH106)-ROW()/10000000,"")</f>
        <v>1104600029.01199</v>
      </c>
      <c r="BN106" s="58"/>
      <c r="BY106" s="59" t="n">
        <f aca="false">IFERROR(MATCH(SMALL(Calcul!$P$60:$P$184,47),Calcul!$P$60:$P$184,0),0)</f>
        <v>58</v>
      </c>
    </row>
    <row r="107" customFormat="false" ht="15" hidden="false" customHeight="false" outlineLevel="0" collapsed="false">
      <c r="M107" s="0" t="str">
        <f aca="false">IF(AND(ISNUMBER('Liste outils'!$E$53),Convertisseur!$C$14&gt;0),IF(ABS('Liste outils'!$E$53-Convertisseur!$C$14)&lt;0.0005,COUNTIFS('Liste outils'!$E$6:$E53,"&gt;"&amp;(Convertisseur!$C$14-0.0005),'Liste outils'!$E$6:$E53,"&lt;"&amp;(Convertisseur!$C$14+0.0005)),""),"")</f>
        <v/>
      </c>
      <c r="N107" s="0" t="str">
        <f aca="false">IF(AND(ISNUMBER('Liste outils'!$E$53),Convertisseur!$C$15&gt;0),IF(ABS('Liste outils'!$E$53-Convertisseur!$C$15)&lt;0.0005,COUNTIFS('Liste outils'!$E$6:$E53,"&gt;"&amp;(Convertisseur!$C$15-0.0005),'Liste outils'!$E$6:$E53,"&lt;"&amp;(Convertisseur!$C$15+0.0005)),""),"")</f>
        <v/>
      </c>
      <c r="O107" s="0" t="str">
        <f aca="false">IF(AND(ISNUMBER('Liste outils'!$E$53),Convertisseur!$C$16&gt;0),IF(ABS('Liste outils'!$E$53-Convertisseur!$C$16)&lt;0.0005,COUNTIFS('Liste outils'!$E$6:$E53,"&gt;"&amp;(Convertisseur!$C$16-0.0005),'Liste outils'!$E$6:$E53,"&lt;"&amp;(Convertisseur!$C$16+0.0005)),""),"")</f>
        <v/>
      </c>
      <c r="P107" s="58" t="n">
        <f aca="false">IF(AND(OR('Recherche outils'!$B$5="Tous",'Recherche outils'!$B$5='Liste outils'!$C$53),OR(TRIM('Recherche outils'!$B$4&amp;"")="",ISNUMBER(SEARCH(TRIM('Recherche outils'!$B$4&amp;""),'Liste outils'!$B$53&amp;" "&amp;'Liste outils'!$C$53&amp;" "&amp;'Liste outils'!$J$53&amp;" "&amp;'Liste outils'!$O$53&amp;" "&amp;'Liste outils'!$P$53&amp;" "&amp;'Liste outils'!$Q$53&amp;" "&amp;'Liste outils'!$AA$53&amp;" "&amp;'Liste outils'!$AB$53&amp;" "&amp;'Liste outils'!$AC$53&amp;" "&amp;'Liste outils'!$T$53))),OR(NOT(ISNUMBER(Calcul!$L$11)),AND(ISNUMBER('Liste outils'!$E$53),ABS('Liste outils'!$E$53-IF(ISNUMBER(Calcul!$L$11),Calcul!$L$11,0))&lt;0.002)),OR(NOT(ISNUMBER(Calcul!$O$11)),AND(ISNUMBER('Liste outils'!$H$53),'Liste outils'!$H$53+0.000001&gt;=IF(ISNUMBER(Calcul!$O$11),Calcul!$O$11,0)))),IF(ISNUMBER('Liste outils'!$E$53),'Liste outils'!$E$53,99)*100000+IF(ISNUMBER('Liste outils'!$H$53),'Liste outils'!$H$53,99)*100+48/1000,"")</f>
        <v>50200.048</v>
      </c>
      <c r="R107" s="58" t="s">
        <v>457</v>
      </c>
      <c r="S107" s="58" t="n">
        <v>0.5</v>
      </c>
      <c r="T107" s="58" t="n">
        <v>0.197</v>
      </c>
      <c r="U107" s="58" t="n">
        <v>2</v>
      </c>
      <c r="V107" s="58" t="s">
        <v>743</v>
      </c>
      <c r="W107" s="58"/>
      <c r="X107" s="58" t="s">
        <v>747</v>
      </c>
      <c r="Y107" s="58" t="s">
        <v>458</v>
      </c>
      <c r="Z107" s="58" t="s">
        <v>459</v>
      </c>
      <c r="AA107" s="58" t="s">
        <v>285</v>
      </c>
      <c r="AB107" s="58"/>
      <c r="AC107" s="58" t="n">
        <v>0.008</v>
      </c>
      <c r="AD107" s="58" t="n">
        <v>0.012</v>
      </c>
      <c r="AE107" s="58" t="n">
        <v>0</v>
      </c>
      <c r="AF107" s="58" t="n">
        <v>0</v>
      </c>
      <c r="AG107" s="58" t="n">
        <v>1</v>
      </c>
      <c r="AH107" s="58" t="n">
        <v>0</v>
      </c>
      <c r="AI107" s="58"/>
      <c r="AJ107" s="58" t="n">
        <v>0.0096</v>
      </c>
      <c r="AK107" s="58" t="n">
        <v>0.0144</v>
      </c>
      <c r="AL107" s="58" t="n">
        <v>0</v>
      </c>
      <c r="AM107" s="58" t="n">
        <v>0</v>
      </c>
      <c r="AN107" s="58" t="n">
        <v>1</v>
      </c>
      <c r="AO107" s="58" t="n">
        <v>0</v>
      </c>
      <c r="AP107" s="58" t="n">
        <f aca="false">IF(Calcul!$I$5=1,AB107,AI107)</f>
        <v>0</v>
      </c>
      <c r="AQ107" s="58" t="n">
        <f aca="false">IF(Calcul!$I$5=1,AC107,AJ107)</f>
        <v>0.008</v>
      </c>
      <c r="AR107" s="58" t="n">
        <f aca="false">IF(Calcul!$I$5=1,AD107,AK107)</f>
        <v>0.012</v>
      </c>
      <c r="AS107" s="58" t="n">
        <f aca="false">IF(Calcul!$I$5=1,AE107,AL107)</f>
        <v>0</v>
      </c>
      <c r="AT107" s="58" t="n">
        <f aca="false">IF(Calcul!$I$5=1,AF107,AM107)</f>
        <v>0</v>
      </c>
      <c r="AU107" s="58" t="n">
        <f aca="false">IF(Calcul!$I$5=1,AG107,AN107)</f>
        <v>1</v>
      </c>
      <c r="AV107" s="58" t="n">
        <f aca="false">IF(Calcul!$I$5=1,AH107,AO107)</f>
        <v>0</v>
      </c>
      <c r="AW107" s="58" t="n">
        <f aca="false">IF(Calcul!$I$10&gt;0,MAX(1,ROUNDUP(Calcul!$I$10/S107-0.000001,0)),1)</f>
        <v>1</v>
      </c>
      <c r="AX107" s="58" t="n">
        <f aca="false">IF(Calcul!$I$10&gt;0,Calcul!$I$10/AW107,0)</f>
        <v>0.5</v>
      </c>
      <c r="AY107" s="58" t="n">
        <f aca="false">IF(Calcul!$I$10&gt;0,AX107/S107,1)</f>
        <v>1</v>
      </c>
      <c r="AZ107" s="58" t="n">
        <f aca="false">IF(AY107&lt;=1.0001,1,IF(AY107&lt;=2.0001,0.75,0.5))</f>
        <v>1</v>
      </c>
      <c r="BA107" s="58" t="n">
        <f aca="false">(AQ107+AR107)/2*AZ107</f>
        <v>0.01</v>
      </c>
      <c r="BB107" s="58" t="n">
        <f aca="false">IF(Calcul!$I$10&gt;0,IF(ISNUMBER(T107),IF(T107+0.000001&gt;=Calcul!$I$10,1,0),2),2)</f>
        <v>0</v>
      </c>
      <c r="BC107" s="58" t="n">
        <f aca="false">IF(AND(V107=Calcul!$I$8,ISNUMBER(U107),OR(AP107&lt;&gt;"",AT107=1),IF(Calcul!$I$8="straight",IF(Calcul!$I$10&gt;0,BB107=1,TRUE()),BB107&lt;&gt;0)),1,0)</f>
        <v>0</v>
      </c>
      <c r="BD107" s="58" t="n">
        <f aca="false">IF(AND(Calcul!$I$8="straight",ISNUMBER(SEARCH(Calcul!$I$9,W107))),1,0)</f>
        <v>0</v>
      </c>
      <c r="BE107" s="58" t="n">
        <f aca="false">IF(ABS(S107-0.5)&lt;0.0005,IF(Calcul!$I$7=2,18000,20000),IF(AND(Calcul!$I$6=1,Calcul!$I$7=2),17000,23000))</f>
        <v>20000</v>
      </c>
      <c r="BF107" s="58" t="n">
        <f aca="false">IF(ISNUMBER(U107),BE107*U107*BA107,0)</f>
        <v>400</v>
      </c>
      <c r="BG107" s="58" t="n">
        <f aca="false">BF107/AW107</f>
        <v>400</v>
      </c>
      <c r="BH107" s="58" t="n">
        <f aca="false">BD107*1000000000+IF(AP107&lt;&gt;"",100000000,0)+AT107*10000000+(50-MIN(AW107,49))*100000+AS107*10000+MIN(ROUND(BG107,0),9999)+S107/10-IF(ISNUMBER(T107),T107,9)/1000</f>
        <v>4900400.049803</v>
      </c>
      <c r="BI107" s="58" t="n">
        <f aca="false">IF(AND(Calcul!$I$10&gt;0,ISNUMBER(T107)),T107-Calcul!$I$10,99)</f>
        <v>-0.303</v>
      </c>
      <c r="BJ107" s="58" t="str">
        <f aca="false">IF(BC107=1,BD107*10000000-ROUND(BI107*1000,0)*1000+MIN(BH107/10000000,999),"")</f>
        <v/>
      </c>
      <c r="BK107" s="58" t="n">
        <f aca="false">IF(BC107=1,IF(BJ107=_xlfn.MAXIFS(Calcul!$BJ$60:$BJ$110,Calcul!$S$60:$S$110,S107,Calcul!$BC$60:$BC$110,1),1,0),0)</f>
        <v>0</v>
      </c>
      <c r="BL107" s="58" t="n">
        <f aca="false">IF(BC107=1,_xlfn.MAXIFS(Calcul!$BH$60:$BH$110,Calcul!$S$60:$S$110,S107,Calcul!$BC$60:$BC$110,1),0)</f>
        <v>0</v>
      </c>
      <c r="BM107" s="58" t="str">
        <f aca="false">IF(BC107=1,IF(BK107=1,10000000000+BL107,BH107)-ROW()/10000000,"")</f>
        <v/>
      </c>
      <c r="BN107" s="58"/>
      <c r="BY107" s="59" t="n">
        <f aca="false">IFERROR(MATCH(SMALL(Calcul!$P$60:$P$184,48),Calcul!$P$60:$P$184,0),0)</f>
        <v>67</v>
      </c>
    </row>
    <row r="108" customFormat="false" ht="15" hidden="false" customHeight="false" outlineLevel="0" collapsed="false">
      <c r="M108" s="0" t="str">
        <f aca="false">IF(AND(ISNUMBER('Liste outils'!$E$54),Convertisseur!$C$14&gt;0),IF(ABS('Liste outils'!$E$54-Convertisseur!$C$14)&lt;0.0005,COUNTIFS('Liste outils'!$E$6:$E54,"&gt;"&amp;(Convertisseur!$C$14-0.0005),'Liste outils'!$E$6:$E54,"&lt;"&amp;(Convertisseur!$C$14+0.0005)),""),"")</f>
        <v/>
      </c>
      <c r="N108" s="0" t="n">
        <f aca="false">IF(AND(ISNUMBER('Liste outils'!$E$54),Convertisseur!$C$15&gt;0),IF(ABS('Liste outils'!$E$54-Convertisseur!$C$15)&lt;0.0005,COUNTIFS('Liste outils'!$E$6:$E54,"&gt;"&amp;(Convertisseur!$C$15-0.0005),'Liste outils'!$E$6:$E54,"&lt;"&amp;(Convertisseur!$C$15+0.0005)),""),"")</f>
        <v>11</v>
      </c>
      <c r="O108" s="0" t="str">
        <f aca="false">IF(AND(ISNUMBER('Liste outils'!$E$54),Convertisseur!$C$16&gt;0),IF(ABS('Liste outils'!$E$54-Convertisseur!$C$16)&lt;0.0005,COUNTIFS('Liste outils'!$E$6:$E54,"&gt;"&amp;(Convertisseur!$C$16-0.0005),'Liste outils'!$E$6:$E54,"&lt;"&amp;(Convertisseur!$C$16+0.0005)),""),"")</f>
        <v/>
      </c>
      <c r="P108" s="58" t="n">
        <f aca="false">IF(AND(OR('Recherche outils'!$B$5="Tous",'Recherche outils'!$B$5='Liste outils'!$C$54),OR(TRIM('Recherche outils'!$B$4&amp;"")="",ISNUMBER(SEARCH(TRIM('Recherche outils'!$B$4&amp;""),'Liste outils'!$B$54&amp;" "&amp;'Liste outils'!$C$54&amp;" "&amp;'Liste outils'!$J$54&amp;" "&amp;'Liste outils'!$O$54&amp;" "&amp;'Liste outils'!$P$54&amp;" "&amp;'Liste outils'!$Q$54&amp;" "&amp;'Liste outils'!$AA$54&amp;" "&amp;'Liste outils'!$AB$54&amp;" "&amp;'Liste outils'!$AC$54&amp;" "&amp;'Liste outils'!$T$54))),OR(NOT(ISNUMBER(Calcul!$L$11)),AND(ISNUMBER('Liste outils'!$E$54),ABS('Liste outils'!$E$54-IF(ISNUMBER(Calcul!$L$11),Calcul!$L$11,0))&lt;0.002)),OR(NOT(ISNUMBER(Calcul!$O$11)),AND(ISNUMBER('Liste outils'!$H$54),'Liste outils'!$H$54+0.000001&gt;=IF(ISNUMBER(Calcul!$O$11),Calcul!$O$11,0)))),IF(ISNUMBER('Liste outils'!$E$54),'Liste outils'!$E$54,99)*100000+IF(ISNUMBER('Liste outils'!$H$54),'Liste outils'!$H$54,99)*100+49/1000,"")</f>
        <v>25050.049</v>
      </c>
      <c r="R108" s="58" t="s">
        <v>460</v>
      </c>
      <c r="S108" s="58" t="n">
        <v>0.1875</v>
      </c>
      <c r="T108" s="58" t="n">
        <v>1.25</v>
      </c>
      <c r="U108" s="58" t="n">
        <v>1</v>
      </c>
      <c r="V108" s="58" t="s">
        <v>724</v>
      </c>
      <c r="W108" s="58" t="s">
        <v>40</v>
      </c>
      <c r="X108" s="58" t="s">
        <v>461</v>
      </c>
      <c r="Y108" s="58" t="s">
        <v>321</v>
      </c>
      <c r="Z108" s="58" t="s">
        <v>383</v>
      </c>
      <c r="AA108" s="58" t="s">
        <v>285</v>
      </c>
      <c r="AB108" s="58" t="s">
        <v>748</v>
      </c>
      <c r="AC108" s="58" t="n">
        <v>0.008</v>
      </c>
      <c r="AD108" s="58" t="n">
        <v>0.01</v>
      </c>
      <c r="AE108" s="58" t="n">
        <v>2</v>
      </c>
      <c r="AF108" s="58" t="n">
        <v>1</v>
      </c>
      <c r="AG108" s="58" t="n">
        <v>0</v>
      </c>
      <c r="AH108" s="58" t="n">
        <v>18000</v>
      </c>
      <c r="AI108" s="58" t="s">
        <v>748</v>
      </c>
      <c r="AJ108" s="58" t="n">
        <v>0.006</v>
      </c>
      <c r="AK108" s="58" t="n">
        <v>0.008</v>
      </c>
      <c r="AL108" s="58" t="n">
        <v>2</v>
      </c>
      <c r="AM108" s="58" t="n">
        <v>1</v>
      </c>
      <c r="AN108" s="58" t="n">
        <v>0</v>
      </c>
      <c r="AO108" s="58" t="n">
        <v>18000</v>
      </c>
      <c r="AP108" s="58" t="str">
        <f aca="false">IF(Calcul!$I$5=1,AB108,AI108)</f>
        <v>64-000/65-000</v>
      </c>
      <c r="AQ108" s="58" t="n">
        <f aca="false">IF(Calcul!$I$5=1,AC108,AJ108)</f>
        <v>0.008</v>
      </c>
      <c r="AR108" s="58" t="n">
        <f aca="false">IF(Calcul!$I$5=1,AD108,AK108)</f>
        <v>0.01</v>
      </c>
      <c r="AS108" s="58" t="n">
        <f aca="false">IF(Calcul!$I$5=1,AE108,AL108)</f>
        <v>2</v>
      </c>
      <c r="AT108" s="58" t="n">
        <f aca="false">IF(Calcul!$I$5=1,AF108,AM108)</f>
        <v>1</v>
      </c>
      <c r="AU108" s="58" t="n">
        <f aca="false">IF(Calcul!$I$5=1,AG108,AN108)</f>
        <v>0</v>
      </c>
      <c r="AV108" s="58" t="n">
        <f aca="false">IF(Calcul!$I$5=1,AH108,AO108)</f>
        <v>18000</v>
      </c>
      <c r="AW108" s="58" t="n">
        <f aca="false">IF(Calcul!$I$10&gt;0,MAX(1,ROUNDUP(Calcul!$I$10/S108-0.000001,0)),1)</f>
        <v>3</v>
      </c>
      <c r="AX108" s="58" t="n">
        <f aca="false">IF(Calcul!$I$10&gt;0,Calcul!$I$10/AW108,0)</f>
        <v>0.166666666666667</v>
      </c>
      <c r="AY108" s="58" t="n">
        <f aca="false">IF(Calcul!$I$10&gt;0,AX108/S108,1)</f>
        <v>0.888888888888889</v>
      </c>
      <c r="AZ108" s="58" t="n">
        <f aca="false">IF(AY108&lt;=1.0001,1,IF(AY108&lt;=2.0001,0.75,0.5))</f>
        <v>1</v>
      </c>
      <c r="BA108" s="58" t="n">
        <f aca="false">(AQ108+AR108)/2*AZ108</f>
        <v>0.009</v>
      </c>
      <c r="BB108" s="58" t="n">
        <f aca="false">IF(Calcul!$I$10&gt;0,IF(ISNUMBER(T108),IF(T108+0.000001&gt;=Calcul!$I$10,1,0),2),2)</f>
        <v>1</v>
      </c>
      <c r="BC108" s="58" t="n">
        <f aca="false">IF(AND(V108=Calcul!$I$8,ISNUMBER(U108),OR(AP108&lt;&gt;"",AT108=1),IF(Calcul!$I$8="straight",IF(Calcul!$I$10&gt;0,BB108=1,TRUE()),BB108&lt;&gt;0)),1,0)</f>
        <v>1</v>
      </c>
      <c r="BD108" s="58" t="n">
        <f aca="false">IF(AND(Calcul!$I$8="straight",ISNUMBER(SEARCH(Calcul!$I$9,W108))),1,0)</f>
        <v>1</v>
      </c>
      <c r="BE108" s="58" t="n">
        <f aca="false">IF(ABS(S108-0.5)&lt;0.0005,IF(Calcul!$I$7=2,18000,20000),IF(AND(Calcul!$I$6=1,Calcul!$I$7=2),17000,23000))</f>
        <v>23000</v>
      </c>
      <c r="BF108" s="58" t="n">
        <f aca="false">IF(ISNUMBER(U108),BE108*U108*BA108,0)</f>
        <v>207</v>
      </c>
      <c r="BG108" s="58" t="n">
        <f aca="false">BF108/AW108</f>
        <v>69</v>
      </c>
      <c r="BH108" s="58" t="n">
        <f aca="false">BD108*1000000000+IF(AP108&lt;&gt;"",100000000,0)+AT108*10000000+(50-MIN(AW108,49))*100000+AS108*10000+MIN(ROUND(BG108,0),9999)+S108/10-IF(ISNUMBER(T108),T108,9)/1000</f>
        <v>1114720069.0175</v>
      </c>
      <c r="BI108" s="58" t="n">
        <f aca="false">IF(AND(Calcul!$I$10&gt;0,ISNUMBER(T108)),T108-Calcul!$I$10,99)</f>
        <v>0.75</v>
      </c>
      <c r="BJ108" s="58" t="n">
        <f aca="false">IF(BC108=1,BD108*10000000-ROUND(BI108*1000,0)*1000+MIN(BH108/10000000,999),"")</f>
        <v>9250111.4720069</v>
      </c>
      <c r="BK108" s="58" t="n">
        <f aca="false">IF(BC108=1,IF(BJ108=_xlfn.MAXIFS(Calcul!$BJ$60:$BJ$110,Calcul!$S$60:$S$110,S108,Calcul!$BC$60:$BC$110,1),1,0),0)</f>
        <v>1</v>
      </c>
      <c r="BL108" s="58" t="n">
        <f aca="false">IF(BC108=1,_xlfn.MAXIFS(Calcul!$BH$60:$BH$110,Calcul!$S$60:$S$110,S108,Calcul!$BC$60:$BC$110,1),0)</f>
        <v>1114720069.0175</v>
      </c>
      <c r="BM108" s="58" t="n">
        <f aca="false">IF(BC108=1,IF(BK108=1,10000000000+BL108,BH108)-ROW()/10000000,"")</f>
        <v>11114720069.0175</v>
      </c>
      <c r="BN108" s="58"/>
      <c r="BY108" s="59" t="n">
        <f aca="false">IFERROR(MATCH(SMALL(Calcul!$P$60:$P$184,49),Calcul!$P$60:$P$184,0),0)</f>
        <v>44</v>
      </c>
    </row>
    <row r="109" customFormat="false" ht="15" hidden="false" customHeight="false" outlineLevel="0" collapsed="false">
      <c r="M109" s="0" t="str">
        <f aca="false">IF(AND(ISNUMBER('Liste outils'!$E$55),Convertisseur!$C$14&gt;0),IF(ABS('Liste outils'!$E$55-Convertisseur!$C$14)&lt;0.0005,COUNTIFS('Liste outils'!$E$6:$E55,"&gt;"&amp;(Convertisseur!$C$14-0.0005),'Liste outils'!$E$6:$E55,"&lt;"&amp;(Convertisseur!$C$14+0.0005)),""),"")</f>
        <v/>
      </c>
      <c r="N109" s="0" t="str">
        <f aca="false">IF(AND(ISNUMBER('Liste outils'!$E$55),Convertisseur!$C$15&gt;0),IF(ABS('Liste outils'!$E$55-Convertisseur!$C$15)&lt;0.0005,COUNTIFS('Liste outils'!$E$6:$E55,"&gt;"&amp;(Convertisseur!$C$15-0.0005),'Liste outils'!$E$6:$E55,"&lt;"&amp;(Convertisseur!$C$15+0.0005)),""),"")</f>
        <v/>
      </c>
      <c r="O109" s="0" t="str">
        <f aca="false">IF(AND(ISNUMBER('Liste outils'!$E$55),Convertisseur!$C$16&gt;0),IF(ABS('Liste outils'!$E$55-Convertisseur!$C$16)&lt;0.0005,COUNTIFS('Liste outils'!$E$6:$E55,"&gt;"&amp;(Convertisseur!$C$16-0.0005),'Liste outils'!$E$6:$E55,"&lt;"&amp;(Convertisseur!$C$16+0.0005)),""),"")</f>
        <v/>
      </c>
      <c r="P109" s="58" t="n">
        <f aca="false">IF(AND(OR('Recherche outils'!$B$5="Tous",'Recherche outils'!$B$5='Liste outils'!$C$55),OR(TRIM('Recherche outils'!$B$4&amp;"")="",ISNUMBER(SEARCH(TRIM('Recherche outils'!$B$4&amp;""),'Liste outils'!$B$55&amp;" "&amp;'Liste outils'!$C$55&amp;" "&amp;'Liste outils'!$J$55&amp;" "&amp;'Liste outils'!$O$55&amp;" "&amp;'Liste outils'!$P$55&amp;" "&amp;'Liste outils'!$Q$55&amp;" "&amp;'Liste outils'!$AA$55&amp;" "&amp;'Liste outils'!$AB$55&amp;" "&amp;'Liste outils'!$AC$55&amp;" "&amp;'Liste outils'!$T$55))),OR(NOT(ISNUMBER(Calcul!$L$11)),AND(ISNUMBER('Liste outils'!$E$55),ABS('Liste outils'!$E$55-IF(ISNUMBER(Calcul!$L$11),Calcul!$L$11,0))&lt;0.002)),OR(NOT(ISNUMBER(Calcul!$O$11)),AND(ISNUMBER('Liste outils'!$H$55),'Liste outils'!$H$55+0.000001&gt;=IF(ISNUMBER(Calcul!$O$11),Calcul!$O$11,0)))),IF(ISNUMBER('Liste outils'!$E$55),'Liste outils'!$E$55,99)*100000+IF(ISNUMBER('Liste outils'!$H$55),'Liste outils'!$H$55,99)*100+50/1000,"")</f>
        <v>12537.55</v>
      </c>
      <c r="R109" s="58" t="s">
        <v>463</v>
      </c>
      <c r="S109" s="58" t="n">
        <v>0.25</v>
      </c>
      <c r="T109" s="58" t="n">
        <v>0.75</v>
      </c>
      <c r="U109" s="58" t="n">
        <v>3</v>
      </c>
      <c r="V109" s="58" t="s">
        <v>724</v>
      </c>
      <c r="W109" s="58" t="s">
        <v>40</v>
      </c>
      <c r="X109" s="58" t="s">
        <v>749</v>
      </c>
      <c r="Y109" s="58" t="s">
        <v>366</v>
      </c>
      <c r="Z109" s="58"/>
      <c r="AA109" s="58" t="s">
        <v>285</v>
      </c>
      <c r="AB109" s="58"/>
      <c r="AC109" s="58" t="n">
        <v>0.004</v>
      </c>
      <c r="AD109" s="58" t="n">
        <v>0.006</v>
      </c>
      <c r="AE109" s="58" t="n">
        <v>0</v>
      </c>
      <c r="AF109" s="58" t="n">
        <v>0</v>
      </c>
      <c r="AG109" s="58" t="n">
        <v>1</v>
      </c>
      <c r="AH109" s="58" t="n">
        <v>0</v>
      </c>
      <c r="AI109" s="58"/>
      <c r="AJ109" s="58" t="n">
        <v>0.0048</v>
      </c>
      <c r="AK109" s="58" t="n">
        <v>0.0072</v>
      </c>
      <c r="AL109" s="58" t="n">
        <v>0</v>
      </c>
      <c r="AM109" s="58" t="n">
        <v>0</v>
      </c>
      <c r="AN109" s="58" t="n">
        <v>1</v>
      </c>
      <c r="AO109" s="58" t="n">
        <v>0</v>
      </c>
      <c r="AP109" s="58" t="n">
        <f aca="false">IF(Calcul!$I$5=1,AB109,AI109)</f>
        <v>0</v>
      </c>
      <c r="AQ109" s="58" t="n">
        <f aca="false">IF(Calcul!$I$5=1,AC109,AJ109)</f>
        <v>0.004</v>
      </c>
      <c r="AR109" s="58" t="n">
        <f aca="false">IF(Calcul!$I$5=1,AD109,AK109)</f>
        <v>0.006</v>
      </c>
      <c r="AS109" s="58" t="n">
        <f aca="false">IF(Calcul!$I$5=1,AE109,AL109)</f>
        <v>0</v>
      </c>
      <c r="AT109" s="58" t="n">
        <f aca="false">IF(Calcul!$I$5=1,AF109,AM109)</f>
        <v>0</v>
      </c>
      <c r="AU109" s="58" t="n">
        <f aca="false">IF(Calcul!$I$5=1,AG109,AN109)</f>
        <v>1</v>
      </c>
      <c r="AV109" s="58" t="n">
        <f aca="false">IF(Calcul!$I$5=1,AH109,AO109)</f>
        <v>0</v>
      </c>
      <c r="AW109" s="58" t="n">
        <f aca="false">IF(Calcul!$I$10&gt;0,MAX(1,ROUNDUP(Calcul!$I$10/S109-0.000001,0)),1)</f>
        <v>2</v>
      </c>
      <c r="AX109" s="58" t="n">
        <f aca="false">IF(Calcul!$I$10&gt;0,Calcul!$I$10/AW109,0)</f>
        <v>0.25</v>
      </c>
      <c r="AY109" s="58" t="n">
        <f aca="false">IF(Calcul!$I$10&gt;0,AX109/S109,1)</f>
        <v>1</v>
      </c>
      <c r="AZ109" s="58" t="n">
        <f aca="false">IF(AY109&lt;=1.0001,1,IF(AY109&lt;=2.0001,0.75,0.5))</f>
        <v>1</v>
      </c>
      <c r="BA109" s="58" t="n">
        <f aca="false">(AQ109+AR109)/2*AZ109</f>
        <v>0.005</v>
      </c>
      <c r="BB109" s="58" t="n">
        <f aca="false">IF(Calcul!$I$10&gt;0,IF(ISNUMBER(T109),IF(T109+0.000001&gt;=Calcul!$I$10,1,0),2),2)</f>
        <v>1</v>
      </c>
      <c r="BC109" s="58" t="n">
        <f aca="false">IF(AND(V109=Calcul!$I$8,ISNUMBER(U109),OR(AP109&lt;&gt;"",AT109=1),IF(Calcul!$I$8="straight",IF(Calcul!$I$10&gt;0,BB109=1,TRUE()),BB109&lt;&gt;0)),1,0)</f>
        <v>0</v>
      </c>
      <c r="BD109" s="58" t="n">
        <f aca="false">IF(AND(Calcul!$I$8="straight",ISNUMBER(SEARCH(Calcul!$I$9,W109))),1,0)</f>
        <v>1</v>
      </c>
      <c r="BE109" s="58" t="n">
        <f aca="false">IF(ABS(S109-0.5)&lt;0.0005,IF(Calcul!$I$7=2,18000,20000),IF(AND(Calcul!$I$6=1,Calcul!$I$7=2),17000,23000))</f>
        <v>23000</v>
      </c>
      <c r="BF109" s="58" t="n">
        <f aca="false">IF(ISNUMBER(U109),BE109*U109*BA109,0)</f>
        <v>345</v>
      </c>
      <c r="BG109" s="58" t="n">
        <f aca="false">BF109/AW109</f>
        <v>172.5</v>
      </c>
      <c r="BH109" s="58" t="n">
        <f aca="false">BD109*1000000000+IF(AP109&lt;&gt;"",100000000,0)+AT109*10000000+(50-MIN(AW109,49))*100000+AS109*10000+MIN(ROUND(BG109,0),9999)+S109/10-IF(ISNUMBER(T109),T109,9)/1000</f>
        <v>1004800173.02425</v>
      </c>
      <c r="BI109" s="58" t="n">
        <f aca="false">IF(AND(Calcul!$I$10&gt;0,ISNUMBER(T109)),T109-Calcul!$I$10,99)</f>
        <v>0.25</v>
      </c>
      <c r="BJ109" s="58" t="str">
        <f aca="false">IF(BC109=1,BD109*10000000-ROUND(BI109*1000,0)*1000+MIN(BH109/10000000,999),"")</f>
        <v/>
      </c>
      <c r="BK109" s="58" t="n">
        <f aca="false">IF(BC109=1,IF(BJ109=_xlfn.MAXIFS(Calcul!$BJ$60:$BJ$110,Calcul!$S$60:$S$110,S109,Calcul!$BC$60:$BC$110,1),1,0),0)</f>
        <v>0</v>
      </c>
      <c r="BL109" s="58" t="n">
        <f aca="false">IF(BC109=1,_xlfn.MAXIFS(Calcul!$BH$60:$BH$110,Calcul!$S$60:$S$110,S109,Calcul!$BC$60:$BC$110,1),0)</f>
        <v>0</v>
      </c>
      <c r="BM109" s="58" t="str">
        <f aca="false">IF(BC109=1,IF(BK109=1,10000000000+BL109,BH109)-ROW()/10000000,"")</f>
        <v/>
      </c>
      <c r="BN109" s="58"/>
      <c r="BY109" s="59" t="n">
        <f aca="false">IFERROR(MATCH(SMALL(Calcul!$P$60:$P$184,50),Calcul!$P$60:$P$184,0),0)</f>
        <v>68</v>
      </c>
    </row>
    <row r="110" customFormat="false" ht="15" hidden="false" customHeight="false" outlineLevel="0" collapsed="false">
      <c r="M110" s="0" t="str">
        <f aca="false">IF(AND(ISNUMBER('Liste outils'!$E$56),Convertisseur!$C$14&gt;0),IF(ABS('Liste outils'!$E$56-Convertisseur!$C$14)&lt;0.0005,COUNTIFS('Liste outils'!$E$6:$E56,"&gt;"&amp;(Convertisseur!$C$14-0.0005),'Liste outils'!$E$6:$E56,"&lt;"&amp;(Convertisseur!$C$14+0.0005)),""),"")</f>
        <v/>
      </c>
      <c r="N110" s="0" t="str">
        <f aca="false">IF(AND(ISNUMBER('Liste outils'!$E$56),Convertisseur!$C$15&gt;0),IF(ABS('Liste outils'!$E$56-Convertisseur!$C$15)&lt;0.0005,COUNTIFS('Liste outils'!$E$6:$E56,"&gt;"&amp;(Convertisseur!$C$15-0.0005),'Liste outils'!$E$6:$E56,"&lt;"&amp;(Convertisseur!$C$15+0.0005)),""),"")</f>
        <v/>
      </c>
      <c r="O110" s="0" t="str">
        <f aca="false">IF(AND(ISNUMBER('Liste outils'!$E$56),Convertisseur!$C$16&gt;0),IF(ABS('Liste outils'!$E$56-Convertisseur!$C$16)&lt;0.0005,COUNTIFS('Liste outils'!$E$6:$E56,"&gt;"&amp;(Convertisseur!$C$16-0.0005),'Liste outils'!$E$6:$E56,"&lt;"&amp;(Convertisseur!$C$16+0.0005)),""),"")</f>
        <v/>
      </c>
      <c r="P110" s="58" t="n">
        <f aca="false">IF(AND(OR('Recherche outils'!$B$5="Tous",'Recherche outils'!$B$5='Liste outils'!$C$56),OR(TRIM('Recherche outils'!$B$4&amp;"")="",ISNUMBER(SEARCH(TRIM('Recherche outils'!$B$4&amp;""),'Liste outils'!$B$56&amp;" "&amp;'Liste outils'!$C$56&amp;" "&amp;'Liste outils'!$J$56&amp;" "&amp;'Liste outils'!$O$56&amp;" "&amp;'Liste outils'!$P$56&amp;" "&amp;'Liste outils'!$Q$56&amp;" "&amp;'Liste outils'!$AA$56&amp;" "&amp;'Liste outils'!$AB$56&amp;" "&amp;'Liste outils'!$AC$56&amp;" "&amp;'Liste outils'!$T$56))),OR(NOT(ISNUMBER(Calcul!$L$11)),AND(ISNUMBER('Liste outils'!$E$56),ABS('Liste outils'!$E$56-IF(ISNUMBER(Calcul!$L$11),Calcul!$L$11,0))&lt;0.002)),OR(NOT(ISNUMBER(Calcul!$O$11)),AND(ISNUMBER('Liste outils'!$H$56),'Liste outils'!$H$56+0.000001&gt;=IF(ISNUMBER(Calcul!$O$11),Calcul!$O$11,0)))),IF(ISNUMBER('Liste outils'!$E$56),'Liste outils'!$E$56,99)*100000+IF(ISNUMBER('Liste outils'!$H$56),'Liste outils'!$H$56,99)*100+51/1000,"")</f>
        <v>50212.551</v>
      </c>
      <c r="R110" s="58" t="s">
        <v>464</v>
      </c>
      <c r="S110" s="58" t="n">
        <v>0.0625</v>
      </c>
      <c r="T110" s="58" t="n">
        <v>0.25</v>
      </c>
      <c r="U110" s="58" t="n">
        <v>1</v>
      </c>
      <c r="V110" s="58" t="s">
        <v>724</v>
      </c>
      <c r="W110" s="58" t="s">
        <v>40</v>
      </c>
      <c r="X110" s="58" t="s">
        <v>465</v>
      </c>
      <c r="Y110" s="58" t="s">
        <v>443</v>
      </c>
      <c r="Z110" s="58"/>
      <c r="AA110" s="58" t="s">
        <v>285</v>
      </c>
      <c r="AB110" s="58" t="s">
        <v>465</v>
      </c>
      <c r="AC110" s="58" t="n">
        <v>0.002</v>
      </c>
      <c r="AD110" s="58" t="n">
        <v>0.004</v>
      </c>
      <c r="AE110" s="58" t="n">
        <v>3</v>
      </c>
      <c r="AF110" s="58" t="n">
        <v>1</v>
      </c>
      <c r="AG110" s="58" t="n">
        <v>0</v>
      </c>
      <c r="AH110" s="58" t="n">
        <v>18000</v>
      </c>
      <c r="AI110" s="58"/>
      <c r="AJ110" s="58" t="n">
        <v>0.0012</v>
      </c>
      <c r="AK110" s="58" t="n">
        <v>0.0018</v>
      </c>
      <c r="AL110" s="58" t="n">
        <v>0</v>
      </c>
      <c r="AM110" s="58" t="n">
        <v>0</v>
      </c>
      <c r="AN110" s="58" t="n">
        <v>1</v>
      </c>
      <c r="AO110" s="58" t="n">
        <v>0</v>
      </c>
      <c r="AP110" s="58" t="str">
        <f aca="false">IF(Calcul!$I$5=1,AB110,AI110)</f>
        <v>63-700</v>
      </c>
      <c r="AQ110" s="58" t="n">
        <f aca="false">IF(Calcul!$I$5=1,AC110,AJ110)</f>
        <v>0.002</v>
      </c>
      <c r="AR110" s="58" t="n">
        <f aca="false">IF(Calcul!$I$5=1,AD110,AK110)</f>
        <v>0.004</v>
      </c>
      <c r="AS110" s="58" t="n">
        <f aca="false">IF(Calcul!$I$5=1,AE110,AL110)</f>
        <v>3</v>
      </c>
      <c r="AT110" s="58" t="n">
        <f aca="false">IF(Calcul!$I$5=1,AF110,AM110)</f>
        <v>1</v>
      </c>
      <c r="AU110" s="58" t="n">
        <f aca="false">IF(Calcul!$I$5=1,AG110,AN110)</f>
        <v>0</v>
      </c>
      <c r="AV110" s="58" t="n">
        <f aca="false">IF(Calcul!$I$5=1,AH110,AO110)</f>
        <v>18000</v>
      </c>
      <c r="AW110" s="58" t="n">
        <f aca="false">IF(Calcul!$I$10&gt;0,MAX(1,ROUNDUP(Calcul!$I$10/S110-0.000001,0)),1)</f>
        <v>8</v>
      </c>
      <c r="AX110" s="58" t="n">
        <f aca="false">IF(Calcul!$I$10&gt;0,Calcul!$I$10/AW110,0)</f>
        <v>0.0625</v>
      </c>
      <c r="AY110" s="58" t="n">
        <f aca="false">IF(Calcul!$I$10&gt;0,AX110/S110,1)</f>
        <v>1</v>
      </c>
      <c r="AZ110" s="58" t="n">
        <f aca="false">IF(AY110&lt;=1.0001,1,IF(AY110&lt;=2.0001,0.75,0.5))</f>
        <v>1</v>
      </c>
      <c r="BA110" s="58" t="n">
        <f aca="false">(AQ110+AR110)/2*AZ110</f>
        <v>0.003</v>
      </c>
      <c r="BB110" s="58" t="n">
        <f aca="false">IF(Calcul!$I$10&gt;0,IF(ISNUMBER(T110),IF(T110+0.000001&gt;=Calcul!$I$10,1,0),2),2)</f>
        <v>0</v>
      </c>
      <c r="BC110" s="58" t="n">
        <f aca="false">IF(AND(V110=Calcul!$I$8,ISNUMBER(U110),OR(AP110&lt;&gt;"",AT110=1),IF(Calcul!$I$8="straight",IF(Calcul!$I$10&gt;0,BB110=1,TRUE()),BB110&lt;&gt;0)),1,0)</f>
        <v>0</v>
      </c>
      <c r="BD110" s="58" t="n">
        <f aca="false">IF(AND(Calcul!$I$8="straight",ISNUMBER(SEARCH(Calcul!$I$9,W110))),1,0)</f>
        <v>1</v>
      </c>
      <c r="BE110" s="58" t="n">
        <f aca="false">IF(ABS(S110-0.5)&lt;0.0005,IF(Calcul!$I$7=2,18000,20000),IF(AND(Calcul!$I$6=1,Calcul!$I$7=2),17000,23000))</f>
        <v>23000</v>
      </c>
      <c r="BF110" s="58" t="n">
        <f aca="false">IF(ISNUMBER(U110),BE110*U110*BA110,0)</f>
        <v>69</v>
      </c>
      <c r="BG110" s="58" t="n">
        <f aca="false">BF110/AW110</f>
        <v>8.625</v>
      </c>
      <c r="BH110" s="58" t="n">
        <f aca="false">BD110*1000000000+IF(AP110&lt;&gt;"",100000000,0)+AT110*10000000+(50-MIN(AW110,49))*100000+AS110*10000+MIN(ROUND(BG110,0),9999)+S110/10-IF(ISNUMBER(T110),T110,9)/1000</f>
        <v>1114230009.006</v>
      </c>
      <c r="BI110" s="58" t="n">
        <f aca="false">IF(AND(Calcul!$I$10&gt;0,ISNUMBER(T110)),T110-Calcul!$I$10,99)</f>
        <v>-0.25</v>
      </c>
      <c r="BJ110" s="58" t="str">
        <f aca="false">IF(BC110=1,BD110*10000000-ROUND(BI110*1000,0)*1000+MIN(BH110/10000000,999),"")</f>
        <v/>
      </c>
      <c r="BK110" s="58" t="n">
        <f aca="false">IF(BC110=1,IF(BJ110=_xlfn.MAXIFS(Calcul!$BJ$60:$BJ$110,Calcul!$S$60:$S$110,S110,Calcul!$BC$60:$BC$110,1),1,0),0)</f>
        <v>0</v>
      </c>
      <c r="BL110" s="58" t="n">
        <f aca="false">IF(BC110=1,_xlfn.MAXIFS(Calcul!$BH$60:$BH$110,Calcul!$S$60:$S$110,S110,Calcul!$BC$60:$BC$110,1),0)</f>
        <v>0</v>
      </c>
      <c r="BM110" s="58" t="str">
        <f aca="false">IF(BC110=1,IF(BK110=1,10000000000+BL110,BH110)-ROW()/10000000,"")</f>
        <v/>
      </c>
      <c r="BN110" s="58"/>
      <c r="BY110" s="59" t="n">
        <f aca="false">IFERROR(MATCH(SMALL(Calcul!$P$60:$P$184,51),Calcul!$P$60:$P$184,0),0)</f>
        <v>48</v>
      </c>
    </row>
    <row r="111" customFormat="false" ht="15" hidden="false" customHeight="false" outlineLevel="0" collapsed="false">
      <c r="M111" s="0" t="str">
        <f aca="false">IF(AND(ISNUMBER('Liste outils'!$E$57),Convertisseur!$C$14&gt;0),IF(ABS('Liste outils'!$E$57-Convertisseur!$C$14)&lt;0.0005,COUNTIFS('Liste outils'!$E$6:$E57,"&gt;"&amp;(Convertisseur!$C$14-0.0005),'Liste outils'!$E$6:$E57,"&lt;"&amp;(Convertisseur!$C$14+0.0005)),""),"")</f>
        <v/>
      </c>
      <c r="N111" s="0" t="str">
        <f aca="false">IF(AND(ISNUMBER('Liste outils'!$E$57),Convertisseur!$C$15&gt;0),IF(ABS('Liste outils'!$E$57-Convertisseur!$C$15)&lt;0.0005,COUNTIFS('Liste outils'!$E$6:$E57,"&gt;"&amp;(Convertisseur!$C$15-0.0005),'Liste outils'!$E$6:$E57,"&lt;"&amp;(Convertisseur!$C$15+0.0005)),""),"")</f>
        <v/>
      </c>
      <c r="O111" s="0" t="str">
        <f aca="false">IF(AND(ISNUMBER('Liste outils'!$E$57),Convertisseur!$C$16&gt;0),IF(ABS('Liste outils'!$E$57-Convertisseur!$C$16)&lt;0.0005,COUNTIFS('Liste outils'!$E$6:$E57,"&gt;"&amp;(Convertisseur!$C$16-0.0005),'Liste outils'!$E$6:$E57,"&lt;"&amp;(Convertisseur!$C$16+0.0005)),""),"")</f>
        <v/>
      </c>
      <c r="P111" s="58" t="n">
        <f aca="false">IF(AND(OR('Recherche outils'!$B$5="Tous",'Recherche outils'!$B$5='Liste outils'!$C$57),OR(TRIM('Recherche outils'!$B$4&amp;"")="",ISNUMBER(SEARCH(TRIM('Recherche outils'!$B$4&amp;""),'Liste outils'!$B$57&amp;" "&amp;'Liste outils'!$C$57&amp;" "&amp;'Liste outils'!$J$57&amp;" "&amp;'Liste outils'!$O$57&amp;" "&amp;'Liste outils'!$P$57&amp;" "&amp;'Liste outils'!$Q$57&amp;" "&amp;'Liste outils'!$AA$57&amp;" "&amp;'Liste outils'!$AB$57&amp;" "&amp;'Liste outils'!$AC$57&amp;" "&amp;'Liste outils'!$T$57))),OR(NOT(ISNUMBER(Calcul!$L$11)),AND(ISNUMBER('Liste outils'!$E$57),ABS('Liste outils'!$E$57-IF(ISNUMBER(Calcul!$L$11),Calcul!$L$11,0))&lt;0.002)),OR(NOT(ISNUMBER(Calcul!$O$11)),AND(ISNUMBER('Liste outils'!$H$57),'Liste outils'!$H$57+0.000001&gt;=IF(ISNUMBER(Calcul!$O$11),Calcul!$O$11,0)))),IF(ISNUMBER('Liste outils'!$E$57),'Liste outils'!$E$57,99)*100000+IF(ISNUMBER('Liste outils'!$H$57),'Liste outils'!$H$57,99)*100+52/1000,"")</f>
        <v>50040.652</v>
      </c>
      <c r="BY111" s="59" t="n">
        <f aca="false">IFERROR(MATCH(SMALL(Calcul!$P$60:$P$184,52),Calcul!$P$60:$P$184,0),0)</f>
        <v>51</v>
      </c>
    </row>
    <row r="112" customFormat="false" ht="15" hidden="false" customHeight="false" outlineLevel="0" collapsed="false">
      <c r="M112" s="0" t="str">
        <f aca="false">IF(AND(ISNUMBER('Liste outils'!$E$58),Convertisseur!$C$14&gt;0),IF(ABS('Liste outils'!$E$58-Convertisseur!$C$14)&lt;0.0005,COUNTIFS('Liste outils'!$E$6:$E58,"&gt;"&amp;(Convertisseur!$C$14-0.0005),'Liste outils'!$E$6:$E58,"&lt;"&amp;(Convertisseur!$C$14+0.0005)),""),"")</f>
        <v/>
      </c>
      <c r="N112" s="0" t="n">
        <f aca="false">IF(AND(ISNUMBER('Liste outils'!$E$58),Convertisseur!$C$15&gt;0),IF(ABS('Liste outils'!$E$58-Convertisseur!$C$15)&lt;0.0005,COUNTIFS('Liste outils'!$E$6:$E58,"&gt;"&amp;(Convertisseur!$C$15-0.0005),'Liste outils'!$E$6:$E58,"&lt;"&amp;(Convertisseur!$C$15+0.0005)),""),"")</f>
        <v>12</v>
      </c>
      <c r="O112" s="0" t="str">
        <f aca="false">IF(AND(ISNUMBER('Liste outils'!$E$58),Convertisseur!$C$16&gt;0),IF(ABS('Liste outils'!$E$58-Convertisseur!$C$16)&lt;0.0005,COUNTIFS('Liste outils'!$E$6:$E58,"&gt;"&amp;(Convertisseur!$C$16-0.0005),'Liste outils'!$E$6:$E58,"&lt;"&amp;(Convertisseur!$C$16+0.0005)),""),"")</f>
        <v/>
      </c>
      <c r="P112" s="58" t="n">
        <f aca="false">IF(AND(OR('Recherche outils'!$B$5="Tous",'Recherche outils'!$B$5='Liste outils'!$C$58),OR(TRIM('Recherche outils'!$B$4&amp;"")="",ISNUMBER(SEARCH(TRIM('Recherche outils'!$B$4&amp;""),'Liste outils'!$B$58&amp;" "&amp;'Liste outils'!$C$58&amp;" "&amp;'Liste outils'!$J$58&amp;" "&amp;'Liste outils'!$O$58&amp;" "&amp;'Liste outils'!$P$58&amp;" "&amp;'Liste outils'!$Q$58&amp;" "&amp;'Liste outils'!$AA$58&amp;" "&amp;'Liste outils'!$AB$58&amp;" "&amp;'Liste outils'!$AC$58&amp;" "&amp;'Liste outils'!$T$58))),OR(NOT(ISNUMBER(Calcul!$L$11)),AND(ISNUMBER('Liste outils'!$E$58),ABS('Liste outils'!$E$58-IF(ISNUMBER(Calcul!$L$11),Calcul!$L$11,0))&lt;0.002)),OR(NOT(ISNUMBER(Calcul!$O$11)),AND(ISNUMBER('Liste outils'!$H$58),'Liste outils'!$H$58+0.000001&gt;=IF(ISNUMBER(Calcul!$O$11),Calcul!$O$11,0)))),IF(ISNUMBER('Liste outils'!$E$58),'Liste outils'!$E$58,99)*100000+IF(ISNUMBER('Liste outils'!$H$58),'Liste outils'!$H$58,99)*100+53/1000,"")</f>
        <v>25087.553</v>
      </c>
      <c r="BY112" s="59" t="n">
        <f aca="false">IFERROR(MATCH(SMALL(Calcul!$P$60:$P$184,53),Calcul!$P$60:$P$184,0),0)</f>
        <v>88</v>
      </c>
    </row>
    <row r="113" customFormat="false" ht="15" hidden="false" customHeight="false" outlineLevel="0" collapsed="false">
      <c r="M113" s="0" t="str">
        <f aca="false">IF(AND(ISNUMBER('Liste outils'!$E$59),Convertisseur!$C$14&gt;0),IF(ABS('Liste outils'!$E$59-Convertisseur!$C$14)&lt;0.0005,COUNTIFS('Liste outils'!$E$6:$E59,"&gt;"&amp;(Convertisseur!$C$14-0.0005),'Liste outils'!$E$6:$E59,"&lt;"&amp;(Convertisseur!$C$14+0.0005)),""),"")</f>
        <v/>
      </c>
      <c r="N113" s="0" t="str">
        <f aca="false">IF(AND(ISNUMBER('Liste outils'!$E$59),Convertisseur!$C$15&gt;0),IF(ABS('Liste outils'!$E$59-Convertisseur!$C$15)&lt;0.0005,COUNTIFS('Liste outils'!$E$6:$E59,"&gt;"&amp;(Convertisseur!$C$15-0.0005),'Liste outils'!$E$6:$E59,"&lt;"&amp;(Convertisseur!$C$15+0.0005)),""),"")</f>
        <v/>
      </c>
      <c r="O113" s="0" t="str">
        <f aca="false">IF(AND(ISNUMBER('Liste outils'!$E$59),Convertisseur!$C$16&gt;0),IF(ABS('Liste outils'!$E$59-Convertisseur!$C$16)&lt;0.0005,COUNTIFS('Liste outils'!$E$6:$E59,"&gt;"&amp;(Convertisseur!$C$16-0.0005),'Liste outils'!$E$6:$E59,"&lt;"&amp;(Convertisseur!$C$16+0.0005)),""),"")</f>
        <v/>
      </c>
      <c r="P113" s="58" t="n">
        <f aca="false">IF(AND(OR('Recherche outils'!$B$5="Tous",'Recherche outils'!$B$5='Liste outils'!$C$59),OR(TRIM('Recherche outils'!$B$4&amp;"")="",ISNUMBER(SEARCH(TRIM('Recherche outils'!$B$4&amp;""),'Liste outils'!$B$59&amp;" "&amp;'Liste outils'!$C$59&amp;" "&amp;'Liste outils'!$J$59&amp;" "&amp;'Liste outils'!$O$59&amp;" "&amp;'Liste outils'!$P$59&amp;" "&amp;'Liste outils'!$Q$59&amp;" "&amp;'Liste outils'!$AA$59&amp;" "&amp;'Liste outils'!$AB$59&amp;" "&amp;'Liste outils'!$AC$59&amp;" "&amp;'Liste outils'!$T$59))),OR(NOT(ISNUMBER(Calcul!$L$11)),AND(ISNUMBER('Liste outils'!$E$59),ABS('Liste outils'!$E$59-IF(ISNUMBER(Calcul!$L$11),Calcul!$L$11,0))&lt;0.002)),OR(NOT(ISNUMBER(Calcul!$O$11)),AND(ISNUMBER('Liste outils'!$H$59),'Liste outils'!$H$59+0.000001&gt;=IF(ISNUMBER(Calcul!$O$11),Calcul!$O$11,0)))),IF(ISNUMBER('Liste outils'!$E$59),'Liste outils'!$E$59,99)*100000+IF(ISNUMBER('Liste outils'!$H$59),'Liste outils'!$H$59,99)*100+54/1000,"")</f>
        <v>12550.054</v>
      </c>
      <c r="BY113" s="59" t="n">
        <f aca="false">IFERROR(MATCH(SMALL(Calcul!$P$60:$P$184,54),Calcul!$P$60:$P$184,0),0)</f>
        <v>69</v>
      </c>
    </row>
    <row r="114" customFormat="false" ht="15" hidden="false" customHeight="false" outlineLevel="0" collapsed="false">
      <c r="M114" s="0" t="str">
        <f aca="false">IF(AND(ISNUMBER('Liste outils'!$E$60),Convertisseur!$C$14&gt;0),IF(ABS('Liste outils'!$E$60-Convertisseur!$C$14)&lt;0.0005,COUNTIFS('Liste outils'!$E$6:$E60,"&gt;"&amp;(Convertisseur!$C$14-0.0005),'Liste outils'!$E$6:$E60,"&lt;"&amp;(Convertisseur!$C$14+0.0005)),""),"")</f>
        <v/>
      </c>
      <c r="N114" s="0" t="n">
        <f aca="false">IF(AND(ISNUMBER('Liste outils'!$E$60),Convertisseur!$C$15&gt;0),IF(ABS('Liste outils'!$E$60-Convertisseur!$C$15)&lt;0.0005,COUNTIFS('Liste outils'!$E$6:$E60,"&gt;"&amp;(Convertisseur!$C$15-0.0005),'Liste outils'!$E$6:$E60,"&lt;"&amp;(Convertisseur!$C$15+0.0005)),""),"")</f>
        <v>13</v>
      </c>
      <c r="O114" s="0" t="str">
        <f aca="false">IF(AND(ISNUMBER('Liste outils'!$E$60),Convertisseur!$C$16&gt;0),IF(ABS('Liste outils'!$E$60-Convertisseur!$C$16)&lt;0.0005,COUNTIFS('Liste outils'!$E$6:$E60,"&gt;"&amp;(Convertisseur!$C$16-0.0005),'Liste outils'!$E$6:$E60,"&lt;"&amp;(Convertisseur!$C$16+0.0005)),""),"")</f>
        <v/>
      </c>
      <c r="P114" s="58" t="n">
        <f aca="false">IF(AND(OR('Recherche outils'!$B$5="Tous",'Recherche outils'!$B$5='Liste outils'!$C$60),OR(TRIM('Recherche outils'!$B$4&amp;"")="",ISNUMBER(SEARCH(TRIM('Recherche outils'!$B$4&amp;""),'Liste outils'!$B$60&amp;" "&amp;'Liste outils'!$C$60&amp;" "&amp;'Liste outils'!$J$60&amp;" "&amp;'Liste outils'!$O$60&amp;" "&amp;'Liste outils'!$P$60&amp;" "&amp;'Liste outils'!$Q$60&amp;" "&amp;'Liste outils'!$AA$60&amp;" "&amp;'Liste outils'!$AB$60&amp;" "&amp;'Liste outils'!$AC$60&amp;" "&amp;'Liste outils'!$T$60))),OR(NOT(ISNUMBER(Calcul!$L$11)),AND(ISNUMBER('Liste outils'!$E$60),ABS('Liste outils'!$E$60-IF(ISNUMBER(Calcul!$L$11),Calcul!$L$11,0))&lt;0.002)),OR(NOT(ISNUMBER(Calcul!$O$11)),AND(ISNUMBER('Liste outils'!$H$60),'Liste outils'!$H$60+0.000001&gt;=IF(ISNUMBER(Calcul!$O$11),Calcul!$O$11,0)))),IF(ISNUMBER('Liste outils'!$E$60),'Liste outils'!$E$60,99)*100000+IF(ISNUMBER('Liste outils'!$H$60),'Liste outils'!$H$60,99)*100+55/1000,"")</f>
        <v>25012.555</v>
      </c>
      <c r="BY114" s="59" t="n">
        <f aca="false">IFERROR(MATCH(SMALL(Calcul!$P$60:$P$184,55),Calcul!$P$60:$P$184,0),0)</f>
        <v>70</v>
      </c>
    </row>
    <row r="115" customFormat="false" ht="15" hidden="false" customHeight="false" outlineLevel="0" collapsed="false">
      <c r="M115" s="0" t="str">
        <f aca="false">IF(AND(ISNUMBER('Liste outils'!$E$61),Convertisseur!$C$14&gt;0),IF(ABS('Liste outils'!$E$61-Convertisseur!$C$14)&lt;0.0005,COUNTIFS('Liste outils'!$E$6:$E61,"&gt;"&amp;(Convertisseur!$C$14-0.0005),'Liste outils'!$E$6:$E61,"&lt;"&amp;(Convertisseur!$C$14+0.0005)),""),"")</f>
        <v/>
      </c>
      <c r="N115" s="0" t="str">
        <f aca="false">IF(AND(ISNUMBER('Liste outils'!$E$61),Convertisseur!$C$15&gt;0),IF(ABS('Liste outils'!$E$61-Convertisseur!$C$15)&lt;0.0005,COUNTIFS('Liste outils'!$E$6:$E61,"&gt;"&amp;(Convertisseur!$C$15-0.0005),'Liste outils'!$E$6:$E61,"&lt;"&amp;(Convertisseur!$C$15+0.0005)),""),"")</f>
        <v/>
      </c>
      <c r="O115" s="0" t="str">
        <f aca="false">IF(AND(ISNUMBER('Liste outils'!$E$61),Convertisseur!$C$16&gt;0),IF(ABS('Liste outils'!$E$61-Convertisseur!$C$16)&lt;0.0005,COUNTIFS('Liste outils'!$E$6:$E61,"&gt;"&amp;(Convertisseur!$C$16-0.0005),'Liste outils'!$E$6:$E61,"&lt;"&amp;(Convertisseur!$C$16+0.0005)),""),"")</f>
        <v/>
      </c>
      <c r="P115" s="58" t="n">
        <f aca="false">IF(AND(OR('Recherche outils'!$B$5="Tous",'Recherche outils'!$B$5='Liste outils'!$C$61),OR(TRIM('Recherche outils'!$B$4&amp;"")="",ISNUMBER(SEARCH(TRIM('Recherche outils'!$B$4&amp;""),'Liste outils'!$B$61&amp;" "&amp;'Liste outils'!$C$61&amp;" "&amp;'Liste outils'!$J$61&amp;" "&amp;'Liste outils'!$O$61&amp;" "&amp;'Liste outils'!$P$61&amp;" "&amp;'Liste outils'!$Q$61&amp;" "&amp;'Liste outils'!$AA$61&amp;" "&amp;'Liste outils'!$AB$61&amp;" "&amp;'Liste outils'!$AC$61&amp;" "&amp;'Liste outils'!$T$61))),OR(NOT(ISNUMBER(Calcul!$L$11)),AND(ISNUMBER('Liste outils'!$E$61),ABS('Liste outils'!$E$61-IF(ISNUMBER(Calcul!$L$11),Calcul!$L$11,0))&lt;0.002)),OR(NOT(ISNUMBER(Calcul!$O$11)),AND(ISNUMBER('Liste outils'!$H$61),'Liste outils'!$H$61+0.000001&gt;=IF(ISNUMBER(Calcul!$O$11),Calcul!$O$11,0)))),IF(ISNUMBER('Liste outils'!$E$61),'Liste outils'!$E$61,99)*100000+IF(ISNUMBER('Liste outils'!$H$61),'Liste outils'!$H$61,99)*100+56/1000,"")</f>
        <v>22400.056</v>
      </c>
      <c r="BY115" s="59" t="n">
        <f aca="false">IFERROR(MATCH(SMALL(Calcul!$P$60:$P$184,56),Calcul!$P$60:$P$184,0),0)</f>
        <v>92</v>
      </c>
    </row>
    <row r="116" customFormat="false" ht="15" hidden="false" customHeight="false" outlineLevel="0" collapsed="false">
      <c r="M116" s="0" t="str">
        <f aca="false">IF(AND(ISNUMBER('Liste outils'!$E$62),Convertisseur!$C$14&gt;0),IF(ABS('Liste outils'!$E$62-Convertisseur!$C$14)&lt;0.0005,COUNTIFS('Liste outils'!$E$6:$E62,"&gt;"&amp;(Convertisseur!$C$14-0.0005),'Liste outils'!$E$6:$E62,"&lt;"&amp;(Convertisseur!$C$14+0.0005)),""),"")</f>
        <v/>
      </c>
      <c r="N116" s="0" t="str">
        <f aca="false">IF(AND(ISNUMBER('Liste outils'!$E$62),Convertisseur!$C$15&gt;0),IF(ABS('Liste outils'!$E$62-Convertisseur!$C$15)&lt;0.0005,COUNTIFS('Liste outils'!$E$6:$E62,"&gt;"&amp;(Convertisseur!$C$15-0.0005),'Liste outils'!$E$6:$E62,"&lt;"&amp;(Convertisseur!$C$15+0.0005)),""),"")</f>
        <v/>
      </c>
      <c r="O116" s="0" t="str">
        <f aca="false">IF(AND(ISNUMBER('Liste outils'!$E$62),Convertisseur!$C$16&gt;0),IF(ABS('Liste outils'!$E$62-Convertisseur!$C$16)&lt;0.0005,COUNTIFS('Liste outils'!$E$6:$E62,"&gt;"&amp;(Convertisseur!$C$16-0.0005),'Liste outils'!$E$6:$E62,"&lt;"&amp;(Convertisseur!$C$16+0.0005)),""),"")</f>
        <v/>
      </c>
      <c r="P116" s="58" t="n">
        <f aca="false">IF(AND(OR('Recherche outils'!$B$5="Tous",'Recherche outils'!$B$5='Liste outils'!$C$62),OR(TRIM('Recherche outils'!$B$4&amp;"")="",ISNUMBER(SEARCH(TRIM('Recherche outils'!$B$4&amp;""),'Liste outils'!$B$62&amp;" "&amp;'Liste outils'!$C$62&amp;" "&amp;'Liste outils'!$J$62&amp;" "&amp;'Liste outils'!$O$62&amp;" "&amp;'Liste outils'!$P$62&amp;" "&amp;'Liste outils'!$Q$62&amp;" "&amp;'Liste outils'!$AA$62&amp;" "&amp;'Liste outils'!$AB$62&amp;" "&amp;'Liste outils'!$AC$62&amp;" "&amp;'Liste outils'!$T$62))),OR(NOT(ISNUMBER(Calcul!$L$11)),AND(ISNUMBER('Liste outils'!$E$62),ABS('Liste outils'!$E$62-IF(ISNUMBER(Calcul!$L$11),Calcul!$L$11,0))&lt;0.002)),OR(NOT(ISNUMBER(Calcul!$O$11)),AND(ISNUMBER('Liste outils'!$H$62),'Liste outils'!$H$62+0.000001&gt;=IF(ISNUMBER(Calcul!$O$11),Calcul!$O$11,0)))),IF(ISNUMBER('Liste outils'!$E$62),'Liste outils'!$E$62,99)*100000+IF(ISNUMBER('Liste outils'!$H$62),'Liste outils'!$H$62,99)*100+57/1000,"")</f>
        <v>22400.057</v>
      </c>
      <c r="BY116" s="59" t="n">
        <f aca="false">IFERROR(MATCH(SMALL(Calcul!$P$60:$P$184,57),Calcul!$P$60:$P$184,0),0)</f>
        <v>90</v>
      </c>
    </row>
    <row r="117" customFormat="false" ht="15" hidden="false" customHeight="false" outlineLevel="0" collapsed="false">
      <c r="M117" s="0" t="str">
        <f aca="false">IF(AND(ISNUMBER('Liste outils'!$E$63),Convertisseur!$C$14&gt;0),IF(ABS('Liste outils'!$E$63-Convertisseur!$C$14)&lt;0.0005,COUNTIFS('Liste outils'!$E$6:$E63,"&gt;"&amp;(Convertisseur!$C$14-0.0005),'Liste outils'!$E$6:$E63,"&lt;"&amp;(Convertisseur!$C$14+0.0005)),""),"")</f>
        <v/>
      </c>
      <c r="N117" s="0" t="str">
        <f aca="false">IF(AND(ISNUMBER('Liste outils'!$E$63),Convertisseur!$C$15&gt;0),IF(ABS('Liste outils'!$E$63-Convertisseur!$C$15)&lt;0.0005,COUNTIFS('Liste outils'!$E$6:$E63,"&gt;"&amp;(Convertisseur!$C$15-0.0005),'Liste outils'!$E$6:$E63,"&lt;"&amp;(Convertisseur!$C$15+0.0005)),""),"")</f>
        <v/>
      </c>
      <c r="O117" s="0" t="str">
        <f aca="false">IF(AND(ISNUMBER('Liste outils'!$E$63),Convertisseur!$C$16&gt;0),IF(ABS('Liste outils'!$E$63-Convertisseur!$C$16)&lt;0.0005,COUNTIFS('Liste outils'!$E$6:$E63,"&gt;"&amp;(Convertisseur!$C$16-0.0005),'Liste outils'!$E$6:$E63,"&lt;"&amp;(Convertisseur!$C$16+0.0005)),""),"")</f>
        <v/>
      </c>
      <c r="P117" s="58" t="n">
        <f aca="false">IF(AND(OR('Recherche outils'!$B$5="Tous",'Recherche outils'!$B$5='Liste outils'!$C$63),OR(TRIM('Recherche outils'!$B$4&amp;"")="",ISNUMBER(SEARCH(TRIM('Recherche outils'!$B$4&amp;""),'Liste outils'!$B$63&amp;" "&amp;'Liste outils'!$C$63&amp;" "&amp;'Liste outils'!$J$63&amp;" "&amp;'Liste outils'!$O$63&amp;" "&amp;'Liste outils'!$P$63&amp;" "&amp;'Liste outils'!$Q$63&amp;" "&amp;'Liste outils'!$AA$63&amp;" "&amp;'Liste outils'!$AB$63&amp;" "&amp;'Liste outils'!$AC$63&amp;" "&amp;'Liste outils'!$T$63))),OR(NOT(ISNUMBER(Calcul!$L$11)),AND(ISNUMBER('Liste outils'!$E$63),ABS('Liste outils'!$E$63-IF(ISNUMBER(Calcul!$L$11),Calcul!$L$11,0))&lt;0.002)),OR(NOT(ISNUMBER(Calcul!$O$11)),AND(ISNUMBER('Liste outils'!$H$63),'Liste outils'!$H$63+0.000001&gt;=IF(ISNUMBER(Calcul!$O$11),Calcul!$O$11,0)))),IF(ISNUMBER('Liste outils'!$E$63),'Liste outils'!$E$63,99)*100000+IF(ISNUMBER('Liste outils'!$H$63),'Liste outils'!$H$63,99)*100+58/1000,"")</f>
        <v>50087.558</v>
      </c>
      <c r="BY117" s="59" t="n">
        <f aca="false">IFERROR(MATCH(SMALL(Calcul!$P$60:$P$184,58),Calcul!$P$60:$P$184,0),0)</f>
        <v>94</v>
      </c>
    </row>
    <row r="118" customFormat="false" ht="15" hidden="false" customHeight="false" outlineLevel="0" collapsed="false">
      <c r="M118" s="0" t="str">
        <f aca="false">IF(AND(ISNUMBER('Liste outils'!$E$64),Convertisseur!$C$14&gt;0),IF(ABS('Liste outils'!$E$64-Convertisseur!$C$14)&lt;0.0005,COUNTIFS('Liste outils'!$E$6:$E64,"&gt;"&amp;(Convertisseur!$C$14-0.0005),'Liste outils'!$E$6:$E64,"&lt;"&amp;(Convertisseur!$C$14+0.0005)),""),"")</f>
        <v/>
      </c>
      <c r="N118" s="0" t="str">
        <f aca="false">IF(AND(ISNUMBER('Liste outils'!$E$64),Convertisseur!$C$15&gt;0),IF(ABS('Liste outils'!$E$64-Convertisseur!$C$15)&lt;0.0005,COUNTIFS('Liste outils'!$E$6:$E64,"&gt;"&amp;(Convertisseur!$C$15-0.0005),'Liste outils'!$E$6:$E64,"&lt;"&amp;(Convertisseur!$C$15+0.0005)),""),"")</f>
        <v/>
      </c>
      <c r="O118" s="0" t="str">
        <f aca="false">IF(AND(ISNUMBER('Liste outils'!$E$64),Convertisseur!$C$16&gt;0),IF(ABS('Liste outils'!$E$64-Convertisseur!$C$16)&lt;0.0005,COUNTIFS('Liste outils'!$E$6:$E64,"&gt;"&amp;(Convertisseur!$C$16-0.0005),'Liste outils'!$E$6:$E64,"&lt;"&amp;(Convertisseur!$C$16+0.0005)),""),"")</f>
        <v/>
      </c>
      <c r="P118" s="58" t="n">
        <f aca="false">IF(AND(OR('Recherche outils'!$B$5="Tous",'Recherche outils'!$B$5='Liste outils'!$C$64),OR(TRIM('Recherche outils'!$B$4&amp;"")="",ISNUMBER(SEARCH(TRIM('Recherche outils'!$B$4&amp;""),'Liste outils'!$B$64&amp;" "&amp;'Liste outils'!$C$64&amp;" "&amp;'Liste outils'!$J$64&amp;" "&amp;'Liste outils'!$O$64&amp;" "&amp;'Liste outils'!$P$64&amp;" "&amp;'Liste outils'!$Q$64&amp;" "&amp;'Liste outils'!$AA$64&amp;" "&amp;'Liste outils'!$AB$64&amp;" "&amp;'Liste outils'!$AC$64&amp;" "&amp;'Liste outils'!$T$64))),OR(NOT(ISNUMBER(Calcul!$L$11)),AND(ISNUMBER('Liste outils'!$E$64),ABS('Liste outils'!$E$64-IF(ISNUMBER(Calcul!$L$11),Calcul!$L$11,0))&lt;0.002)),OR(NOT(ISNUMBER(Calcul!$O$11)),AND(ISNUMBER('Liste outils'!$H$64),'Liste outils'!$H$64+0.000001&gt;=IF(ISNUMBER(Calcul!$O$11),Calcul!$O$11,0)))),IF(ISNUMBER('Liste outils'!$E$64),'Liste outils'!$E$64,99)*100000+IF(ISNUMBER('Liste outils'!$H$64),'Liste outils'!$H$64,99)*100+59/1000,"")</f>
        <v>75024.059</v>
      </c>
      <c r="BY118" s="59" t="n">
        <f aca="false">IFERROR(MATCH(SMALL(Calcul!$P$60:$P$184,59),Calcul!$P$60:$P$184,0),0)</f>
        <v>59</v>
      </c>
    </row>
    <row r="119" customFormat="false" ht="15" hidden="false" customHeight="false" outlineLevel="0" collapsed="false">
      <c r="M119" s="0" t="str">
        <f aca="false">IF(AND(ISNUMBER('Liste outils'!$E$65),Convertisseur!$C$14&gt;0),IF(ABS('Liste outils'!$E$65-Convertisseur!$C$14)&lt;0.0005,COUNTIFS('Liste outils'!$E$6:$E65,"&gt;"&amp;(Convertisseur!$C$14-0.0005),'Liste outils'!$E$6:$E65,"&lt;"&amp;(Convertisseur!$C$14+0.0005)),""),"")</f>
        <v/>
      </c>
      <c r="N119" s="0" t="str">
        <f aca="false">IF(AND(ISNUMBER('Liste outils'!$E$65),Convertisseur!$C$15&gt;0),IF(ABS('Liste outils'!$E$65-Convertisseur!$C$15)&lt;0.0005,COUNTIFS('Liste outils'!$E$6:$E65,"&gt;"&amp;(Convertisseur!$C$15-0.0005),'Liste outils'!$E$6:$E65,"&lt;"&amp;(Convertisseur!$C$15+0.0005)),""),"")</f>
        <v/>
      </c>
      <c r="O119" s="0" t="str">
        <f aca="false">IF(AND(ISNUMBER('Liste outils'!$E$65),Convertisseur!$C$16&gt;0),IF(ABS('Liste outils'!$E$65-Convertisseur!$C$16)&lt;0.0005,COUNTIFS('Liste outils'!$E$6:$E65,"&gt;"&amp;(Convertisseur!$C$16-0.0005),'Liste outils'!$E$6:$E65,"&lt;"&amp;(Convertisseur!$C$16+0.0005)),""),"")</f>
        <v/>
      </c>
      <c r="P119" s="58" t="n">
        <f aca="false">IF(AND(OR('Recherche outils'!$B$5="Tous",'Recherche outils'!$B$5='Liste outils'!$C$65),OR(TRIM('Recherche outils'!$B$4&amp;"")="",ISNUMBER(SEARCH(TRIM('Recherche outils'!$B$4&amp;""),'Liste outils'!$B$65&amp;" "&amp;'Liste outils'!$C$65&amp;" "&amp;'Liste outils'!$J$65&amp;" "&amp;'Liste outils'!$O$65&amp;" "&amp;'Liste outils'!$P$65&amp;" "&amp;'Liste outils'!$Q$65&amp;" "&amp;'Liste outils'!$AA$65&amp;" "&amp;'Liste outils'!$AB$65&amp;" "&amp;'Liste outils'!$AC$65&amp;" "&amp;'Liste outils'!$T$65))),OR(NOT(ISNUMBER(Calcul!$L$11)),AND(ISNUMBER('Liste outils'!$E$65),ABS('Liste outils'!$E$65-IF(ISNUMBER(Calcul!$L$11),Calcul!$L$11,0))&lt;0.002)),OR(NOT(ISNUMBER(Calcul!$O$11)),AND(ISNUMBER('Liste outils'!$H$65),'Liste outils'!$H$65+0.000001&gt;=IF(ISNUMBER(Calcul!$O$11),Calcul!$O$11,0)))),IF(ISNUMBER('Liste outils'!$E$65),'Liste outils'!$E$65,99)*100000+IF(ISNUMBER('Liste outils'!$H$65),'Liste outils'!$H$65,99)*100+60/1000,"")</f>
        <v>9825.06</v>
      </c>
      <c r="BY119" s="59" t="n">
        <f aca="false">IFERROR(MATCH(SMALL(Calcul!$P$60:$P$184,60),Calcul!$P$60:$P$184,0),0)</f>
        <v>93</v>
      </c>
    </row>
    <row r="120" customFormat="false" ht="15" hidden="false" customHeight="false" outlineLevel="0" collapsed="false">
      <c r="M120" s="0" t="str">
        <f aca="false">IF(AND(ISNUMBER('Liste outils'!$E$66),Convertisseur!$C$14&gt;0),IF(ABS('Liste outils'!$E$66-Convertisseur!$C$14)&lt;0.0005,COUNTIFS('Liste outils'!$E$6:$E66,"&gt;"&amp;(Convertisseur!$C$14-0.0005),'Liste outils'!$E$6:$E66,"&lt;"&amp;(Convertisseur!$C$14+0.0005)),""),"")</f>
        <v/>
      </c>
      <c r="N120" s="0" t="str">
        <f aca="false">IF(AND(ISNUMBER('Liste outils'!$E$66),Convertisseur!$C$15&gt;0),IF(ABS('Liste outils'!$E$66-Convertisseur!$C$15)&lt;0.0005,COUNTIFS('Liste outils'!$E$6:$E66,"&gt;"&amp;(Convertisseur!$C$15-0.0005),'Liste outils'!$E$6:$E66,"&lt;"&amp;(Convertisseur!$C$15+0.0005)),""),"")</f>
        <v/>
      </c>
      <c r="O120" s="0" t="str">
        <f aca="false">IF(AND(ISNUMBER('Liste outils'!$E$66),Convertisseur!$C$16&gt;0),IF(ABS('Liste outils'!$E$66-Convertisseur!$C$16)&lt;0.0005,COUNTIFS('Liste outils'!$E$6:$E66,"&gt;"&amp;(Convertisseur!$C$16-0.0005),'Liste outils'!$E$6:$E66,"&lt;"&amp;(Convertisseur!$C$16+0.0005)),""),"")</f>
        <v/>
      </c>
      <c r="P120" s="58" t="n">
        <f aca="false">IF(AND(OR('Recherche outils'!$B$5="Tous",'Recherche outils'!$B$5='Liste outils'!$C$66),OR(TRIM('Recherche outils'!$B$4&amp;"")="",ISNUMBER(SEARCH(TRIM('Recherche outils'!$B$4&amp;""),'Liste outils'!$B$66&amp;" "&amp;'Liste outils'!$C$66&amp;" "&amp;'Liste outils'!$J$66&amp;" "&amp;'Liste outils'!$O$66&amp;" "&amp;'Liste outils'!$P$66&amp;" "&amp;'Liste outils'!$Q$66&amp;" "&amp;'Liste outils'!$AA$66&amp;" "&amp;'Liste outils'!$AB$66&amp;" "&amp;'Liste outils'!$AC$66&amp;" "&amp;'Liste outils'!$T$66))),OR(NOT(ISNUMBER(Calcul!$L$11)),AND(ISNUMBER('Liste outils'!$E$66),ABS('Liste outils'!$E$66-IF(ISNUMBER(Calcul!$L$11),Calcul!$L$11,0))&lt;0.002)),OR(NOT(ISNUMBER(Calcul!$O$11)),AND(ISNUMBER('Liste outils'!$H$66),'Liste outils'!$H$66+0.000001&gt;=IF(ISNUMBER(Calcul!$O$11),Calcul!$O$11,0)))),IF(ISNUMBER('Liste outils'!$E$66),'Liste outils'!$E$66,99)*100000+IF(ISNUMBER('Liste outils'!$H$66),'Liste outils'!$H$66,99)*100+61/1000,"")</f>
        <v>18050.061</v>
      </c>
      <c r="BY120" s="59" t="n">
        <f aca="false">IFERROR(MATCH(SMALL(Calcul!$P$60:$P$184,61),Calcul!$P$60:$P$184,0),0)</f>
        <v>20</v>
      </c>
    </row>
    <row r="121" customFormat="false" ht="15" hidden="false" customHeight="false" outlineLevel="0" collapsed="false">
      <c r="M121" s="0" t="str">
        <f aca="false">IF(AND(ISNUMBER('Liste outils'!$E$67),Convertisseur!$C$14&gt;0),IF(ABS('Liste outils'!$E$67-Convertisseur!$C$14)&lt;0.0005,COUNTIFS('Liste outils'!$E$6:$E67,"&gt;"&amp;(Convertisseur!$C$14-0.0005),'Liste outils'!$E$6:$E67,"&lt;"&amp;(Convertisseur!$C$14+0.0005)),""),"")</f>
        <v/>
      </c>
      <c r="N121" s="0" t="str">
        <f aca="false">IF(AND(ISNUMBER('Liste outils'!$E$67),Convertisseur!$C$15&gt;0),IF(ABS('Liste outils'!$E$67-Convertisseur!$C$15)&lt;0.0005,COUNTIFS('Liste outils'!$E$6:$E67,"&gt;"&amp;(Convertisseur!$C$15-0.0005),'Liste outils'!$E$6:$E67,"&lt;"&amp;(Convertisseur!$C$15+0.0005)),""),"")</f>
        <v/>
      </c>
      <c r="O121" s="0" t="str">
        <f aca="false">IF(AND(ISNUMBER('Liste outils'!$E$67),Convertisseur!$C$16&gt;0),IF(ABS('Liste outils'!$E$67-Convertisseur!$C$16)&lt;0.0005,COUNTIFS('Liste outils'!$E$6:$E67,"&gt;"&amp;(Convertisseur!$C$16-0.0005),'Liste outils'!$E$6:$E67,"&lt;"&amp;(Convertisseur!$C$16+0.0005)),""),"")</f>
        <v/>
      </c>
      <c r="P121" s="58" t="n">
        <f aca="false">IF(AND(OR('Recherche outils'!$B$5="Tous",'Recherche outils'!$B$5='Liste outils'!$C$67),OR(TRIM('Recherche outils'!$B$4&amp;"")="",ISNUMBER(SEARCH(TRIM('Recherche outils'!$B$4&amp;""),'Liste outils'!$B$67&amp;" "&amp;'Liste outils'!$C$67&amp;" "&amp;'Liste outils'!$J$67&amp;" "&amp;'Liste outils'!$O$67&amp;" "&amp;'Liste outils'!$P$67&amp;" "&amp;'Liste outils'!$Q$67&amp;" "&amp;'Liste outils'!$AA$67&amp;" "&amp;'Liste outils'!$AB$67&amp;" "&amp;'Liste outils'!$AC$67&amp;" "&amp;'Liste outils'!$T$67))),OR(NOT(ISNUMBER(Calcul!$L$11)),AND(ISNUMBER('Liste outils'!$E$67),ABS('Liste outils'!$E$67-IF(ISNUMBER(Calcul!$L$11),Calcul!$L$11,0))&lt;0.002)),OR(NOT(ISNUMBER(Calcul!$O$11)),AND(ISNUMBER('Liste outils'!$H$67),'Liste outils'!$H$67+0.000001&gt;=IF(ISNUMBER(Calcul!$O$11),Calcul!$O$11,0)))),IF(ISNUMBER('Liste outils'!$E$67),'Liste outils'!$E$67,99)*100000+IF(ISNUMBER('Liste outils'!$H$67),'Liste outils'!$H$67,99)*100+62/1000,"")</f>
        <v>37550.062</v>
      </c>
      <c r="BY121" s="59" t="n">
        <f aca="false">IFERROR(MATCH(SMALL(Calcul!$P$60:$P$184,62),Calcul!$P$60:$P$184,0),0)</f>
        <v>95</v>
      </c>
    </row>
    <row r="122" customFormat="false" ht="15" hidden="false" customHeight="false" outlineLevel="0" collapsed="false">
      <c r="M122" s="0" t="str">
        <f aca="false">IF(AND(ISNUMBER('Liste outils'!$E$68),Convertisseur!$C$14&gt;0),IF(ABS('Liste outils'!$E$68-Convertisseur!$C$14)&lt;0.0005,COUNTIFS('Liste outils'!$E$6:$E68,"&gt;"&amp;(Convertisseur!$C$14-0.0005),'Liste outils'!$E$6:$E68,"&lt;"&amp;(Convertisseur!$C$14+0.0005)),""),"")</f>
        <v/>
      </c>
      <c r="N122" s="0" t="str">
        <f aca="false">IF(AND(ISNUMBER('Liste outils'!$E$68),Convertisseur!$C$15&gt;0),IF(ABS('Liste outils'!$E$68-Convertisseur!$C$15)&lt;0.0005,COUNTIFS('Liste outils'!$E$6:$E68,"&gt;"&amp;(Convertisseur!$C$15-0.0005),'Liste outils'!$E$6:$E68,"&lt;"&amp;(Convertisseur!$C$15+0.0005)),""),"")</f>
        <v/>
      </c>
      <c r="O122" s="0" t="str">
        <f aca="false">IF(AND(ISNUMBER('Liste outils'!$E$68),Convertisseur!$C$16&gt;0),IF(ABS('Liste outils'!$E$68-Convertisseur!$C$16)&lt;0.0005,COUNTIFS('Liste outils'!$E$6:$E68,"&gt;"&amp;(Convertisseur!$C$16-0.0005),'Liste outils'!$E$6:$E68,"&lt;"&amp;(Convertisseur!$C$16+0.0005)),""),"")</f>
        <v/>
      </c>
      <c r="P122" s="58" t="n">
        <f aca="false">IF(AND(OR('Recherche outils'!$B$5="Tous",'Recherche outils'!$B$5='Liste outils'!$C$68),OR(TRIM('Recherche outils'!$B$4&amp;"")="",ISNUMBER(SEARCH(TRIM('Recherche outils'!$B$4&amp;""),'Liste outils'!$B$68&amp;" "&amp;'Liste outils'!$C$68&amp;" "&amp;'Liste outils'!$J$68&amp;" "&amp;'Liste outils'!$O$68&amp;" "&amp;'Liste outils'!$P$68&amp;" "&amp;'Liste outils'!$Q$68&amp;" "&amp;'Liste outils'!$AA$68&amp;" "&amp;'Liste outils'!$AB$68&amp;" "&amp;'Liste outils'!$AC$68&amp;" "&amp;'Liste outils'!$T$68))),OR(NOT(ISNUMBER(Calcul!$L$11)),AND(ISNUMBER('Liste outils'!$E$68),ABS('Liste outils'!$E$68-IF(ISNUMBER(Calcul!$L$11),Calcul!$L$11,0))&lt;0.002)),OR(NOT(ISNUMBER(Calcul!$O$11)),AND(ISNUMBER('Liste outils'!$H$68),'Liste outils'!$H$68+0.000001&gt;=IF(ISNUMBER(Calcul!$O$11),Calcul!$O$11,0)))),IF(ISNUMBER('Liste outils'!$E$68),'Liste outils'!$E$68,99)*100000+IF(ISNUMBER('Liste outils'!$H$68),'Liste outils'!$H$68,99)*100+63/1000,"")</f>
        <v>150012.563</v>
      </c>
      <c r="BY122" s="59" t="n">
        <f aca="false">IFERROR(MATCH(SMALL(Calcul!$P$60:$P$184,63),Calcul!$P$60:$P$184,0),0)</f>
        <v>63</v>
      </c>
    </row>
    <row r="123" customFormat="false" ht="15" hidden="false" customHeight="false" outlineLevel="0" collapsed="false">
      <c r="M123" s="0" t="str">
        <f aca="false">IF(AND(ISNUMBER('Liste outils'!$E$69),Convertisseur!$C$14&gt;0),IF(ABS('Liste outils'!$E$69-Convertisseur!$C$14)&lt;0.0005,COUNTIFS('Liste outils'!$E$6:$E69,"&gt;"&amp;(Convertisseur!$C$14-0.0005),'Liste outils'!$E$6:$E69,"&lt;"&amp;(Convertisseur!$C$14+0.0005)),""),"")</f>
        <v/>
      </c>
      <c r="N123" s="0" t="str">
        <f aca="false">IF(AND(ISNUMBER('Liste outils'!$E$69),Convertisseur!$C$15&gt;0),IF(ABS('Liste outils'!$E$69-Convertisseur!$C$15)&lt;0.0005,COUNTIFS('Liste outils'!$E$6:$E69,"&gt;"&amp;(Convertisseur!$C$15-0.0005),'Liste outils'!$E$6:$E69,"&lt;"&amp;(Convertisseur!$C$15+0.0005)),""),"")</f>
        <v/>
      </c>
      <c r="O123" s="0" t="str">
        <f aca="false">IF(AND(ISNUMBER('Liste outils'!$E$69),Convertisseur!$C$16&gt;0),IF(ABS('Liste outils'!$E$69-Convertisseur!$C$16)&lt;0.0005,COUNTIFS('Liste outils'!$E$6:$E69,"&gt;"&amp;(Convertisseur!$C$16-0.0005),'Liste outils'!$E$6:$E69,"&lt;"&amp;(Convertisseur!$C$16+0.0005)),""),"")</f>
        <v/>
      </c>
      <c r="P123" s="58" t="n">
        <f aca="false">IF(AND(OR('Recherche outils'!$B$5="Tous",'Recherche outils'!$B$5='Liste outils'!$C$69),OR(TRIM('Recherche outils'!$B$4&amp;"")="",ISNUMBER(SEARCH(TRIM('Recherche outils'!$B$4&amp;""),'Liste outils'!$B$69&amp;" "&amp;'Liste outils'!$C$69&amp;" "&amp;'Liste outils'!$J$69&amp;" "&amp;'Liste outils'!$O$69&amp;" "&amp;'Liste outils'!$P$69&amp;" "&amp;'Liste outils'!$Q$69&amp;" "&amp;'Liste outils'!$AA$69&amp;" "&amp;'Liste outils'!$AB$69&amp;" "&amp;'Liste outils'!$AC$69&amp;" "&amp;'Liste outils'!$T$69))),OR(NOT(ISNUMBER(Calcul!$L$11)),AND(ISNUMBER('Liste outils'!$E$69),ABS('Liste outils'!$E$69-IF(ISNUMBER(Calcul!$L$11),Calcul!$L$11,0))&lt;0.002)),OR(NOT(ISNUMBER(Calcul!$O$11)),AND(ISNUMBER('Liste outils'!$H$69),'Liste outils'!$H$69+0.000001&gt;=IF(ISNUMBER(Calcul!$O$11),Calcul!$O$11,0)))),IF(ISNUMBER('Liste outils'!$E$69),'Liste outils'!$E$69,99)*100000+IF(ISNUMBER('Liste outils'!$H$69),'Liste outils'!$H$69,99)*100+64/1000,"")</f>
        <v>37612.564</v>
      </c>
      <c r="BY123" s="59" t="n">
        <f aca="false">IFERROR(MATCH(SMALL(Calcul!$P$60:$P$184,64),Calcul!$P$60:$P$184,0),0)</f>
        <v>97</v>
      </c>
    </row>
    <row r="124" customFormat="false" ht="15" hidden="false" customHeight="false" outlineLevel="0" collapsed="false">
      <c r="M124" s="0" t="str">
        <f aca="false">IF(AND(ISNUMBER('Liste outils'!$E$70),Convertisseur!$C$14&gt;0),IF(ABS('Liste outils'!$E$70-Convertisseur!$C$14)&lt;0.0005,COUNTIFS('Liste outils'!$E$6:$E70,"&gt;"&amp;(Convertisseur!$C$14-0.0005),'Liste outils'!$E$6:$E70,"&lt;"&amp;(Convertisseur!$C$14+0.0005)),""),"")</f>
        <v/>
      </c>
      <c r="N124" s="0" t="str">
        <f aca="false">IF(AND(ISNUMBER('Liste outils'!$E$70),Convertisseur!$C$15&gt;0),IF(ABS('Liste outils'!$E$70-Convertisseur!$C$15)&lt;0.0005,COUNTIFS('Liste outils'!$E$6:$E70,"&gt;"&amp;(Convertisseur!$C$15-0.0005),'Liste outils'!$E$6:$E70,"&lt;"&amp;(Convertisseur!$C$15+0.0005)),""),"")</f>
        <v/>
      </c>
      <c r="O124" s="0" t="str">
        <f aca="false">IF(AND(ISNUMBER('Liste outils'!$E$70),Convertisseur!$C$16&gt;0),IF(ABS('Liste outils'!$E$70-Convertisseur!$C$16)&lt;0.0005,COUNTIFS('Liste outils'!$E$6:$E70,"&gt;"&amp;(Convertisseur!$C$16-0.0005),'Liste outils'!$E$6:$E70,"&lt;"&amp;(Convertisseur!$C$16+0.0005)),""),"")</f>
        <v/>
      </c>
      <c r="P124" s="58" t="n">
        <f aca="false">IF(AND(OR('Recherche outils'!$B$5="Tous",'Recherche outils'!$B$5='Liste outils'!$C$70),OR(TRIM('Recherche outils'!$B$4&amp;"")="",ISNUMBER(SEARCH(TRIM('Recherche outils'!$B$4&amp;""),'Liste outils'!$B$70&amp;" "&amp;'Liste outils'!$C$70&amp;" "&amp;'Liste outils'!$J$70&amp;" "&amp;'Liste outils'!$O$70&amp;" "&amp;'Liste outils'!$P$70&amp;" "&amp;'Liste outils'!$Q$70&amp;" "&amp;'Liste outils'!$AA$70&amp;" "&amp;'Liste outils'!$AB$70&amp;" "&amp;'Liste outils'!$AC$70&amp;" "&amp;'Liste outils'!$T$70))),OR(NOT(ISNUMBER(Calcul!$L$11)),AND(ISNUMBER('Liste outils'!$E$70),ABS('Liste outils'!$E$70-IF(ISNUMBER(Calcul!$L$11),Calcul!$L$11,0))&lt;0.002)),OR(NOT(ISNUMBER(Calcul!$O$11)),AND(ISNUMBER('Liste outils'!$H$70),'Liste outils'!$H$70+0.000001&gt;=IF(ISNUMBER(Calcul!$O$11),Calcul!$O$11,0)))),IF(ISNUMBER('Liste outils'!$E$70),'Liste outils'!$E$70,99)*100000+IF(ISNUMBER('Liste outils'!$H$70),'Liste outils'!$H$70,99)*100+65/1000,"")</f>
        <v>37662.565</v>
      </c>
      <c r="BY124" s="59" t="n">
        <f aca="false">IFERROR(MATCH(SMALL(Calcul!$P$60:$P$184,65),Calcul!$P$60:$P$184,0),0)</f>
        <v>105</v>
      </c>
    </row>
    <row r="125" customFormat="false" ht="15" hidden="false" customHeight="false" outlineLevel="0" collapsed="false">
      <c r="M125" s="0" t="str">
        <f aca="false">IF(AND(ISNUMBER('Liste outils'!$E$71),Convertisseur!$C$14&gt;0),IF(ABS('Liste outils'!$E$71-Convertisseur!$C$14)&lt;0.0005,COUNTIFS('Liste outils'!$E$6:$E71,"&gt;"&amp;(Convertisseur!$C$14-0.0005),'Liste outils'!$E$6:$E71,"&lt;"&amp;(Convertisseur!$C$14+0.0005)),""),"")</f>
        <v/>
      </c>
      <c r="N125" s="0" t="str">
        <f aca="false">IF(AND(ISNUMBER('Liste outils'!$E$71),Convertisseur!$C$15&gt;0),IF(ABS('Liste outils'!$E$71-Convertisseur!$C$15)&lt;0.0005,COUNTIFS('Liste outils'!$E$6:$E71,"&gt;"&amp;(Convertisseur!$C$15-0.0005),'Liste outils'!$E$6:$E71,"&lt;"&amp;(Convertisseur!$C$15+0.0005)),""),"")</f>
        <v/>
      </c>
      <c r="O125" s="0" t="str">
        <f aca="false">IF(AND(ISNUMBER('Liste outils'!$E$71),Convertisseur!$C$16&gt;0),IF(ABS('Liste outils'!$E$71-Convertisseur!$C$16)&lt;0.0005,COUNTIFS('Liste outils'!$E$6:$E71,"&gt;"&amp;(Convertisseur!$C$16-0.0005),'Liste outils'!$E$6:$E71,"&lt;"&amp;(Convertisseur!$C$16+0.0005)),""),"")</f>
        <v/>
      </c>
      <c r="P125" s="58" t="n">
        <f aca="false">IF(AND(OR('Recherche outils'!$B$5="Tous",'Recherche outils'!$B$5='Liste outils'!$C$71),OR(TRIM('Recherche outils'!$B$4&amp;"")="",ISNUMBER(SEARCH(TRIM('Recherche outils'!$B$4&amp;""),'Liste outils'!$B$71&amp;" "&amp;'Liste outils'!$C$71&amp;" "&amp;'Liste outils'!$J$71&amp;" "&amp;'Liste outils'!$O$71&amp;" "&amp;'Liste outils'!$P$71&amp;" "&amp;'Liste outils'!$Q$71&amp;" "&amp;'Liste outils'!$AA$71&amp;" "&amp;'Liste outils'!$AB$71&amp;" "&amp;'Liste outils'!$AC$71&amp;" "&amp;'Liste outils'!$T$71))),OR(NOT(ISNUMBER(Calcul!$L$11)),AND(ISNUMBER('Liste outils'!$E$71),ABS('Liste outils'!$E$71-IF(ISNUMBER(Calcul!$L$11),Calcul!$L$11,0))&lt;0.002)),OR(NOT(ISNUMBER(Calcul!$O$11)),AND(ISNUMBER('Liste outils'!$H$71),'Liste outils'!$H$71+0.000001&gt;=IF(ISNUMBER(Calcul!$O$11),Calcul!$O$11,0)))),IF(ISNUMBER('Liste outils'!$E$71),'Liste outils'!$E$71,99)*100000+IF(ISNUMBER('Liste outils'!$H$71),'Liste outils'!$H$71,99)*100+66/1000,"")</f>
        <v>6275.066</v>
      </c>
      <c r="BY125" s="59" t="n">
        <f aca="false">IFERROR(MATCH(SMALL(Calcul!$P$60:$P$184,66),Calcul!$P$60:$P$184,0),0)</f>
        <v>13</v>
      </c>
    </row>
    <row r="126" customFormat="false" ht="15" hidden="false" customHeight="false" outlineLevel="0" collapsed="false">
      <c r="M126" s="0" t="str">
        <f aca="false">IF(AND(ISNUMBER('Liste outils'!$E$72),Convertisseur!$C$14&gt;0),IF(ABS('Liste outils'!$E$72-Convertisseur!$C$14)&lt;0.0005,COUNTIFS('Liste outils'!$E$6:$E72,"&gt;"&amp;(Convertisseur!$C$14-0.0005),'Liste outils'!$E$6:$E72,"&lt;"&amp;(Convertisseur!$C$14+0.0005)),""),"")</f>
        <v/>
      </c>
      <c r="N126" s="0" t="str">
        <f aca="false">IF(AND(ISNUMBER('Liste outils'!$E$72),Convertisseur!$C$15&gt;0),IF(ABS('Liste outils'!$E$72-Convertisseur!$C$15)&lt;0.0005,COUNTIFS('Liste outils'!$E$6:$E72,"&gt;"&amp;(Convertisseur!$C$15-0.0005),'Liste outils'!$E$6:$E72,"&lt;"&amp;(Convertisseur!$C$15+0.0005)),""),"")</f>
        <v/>
      </c>
      <c r="O126" s="0" t="str">
        <f aca="false">IF(AND(ISNUMBER('Liste outils'!$E$72),Convertisseur!$C$16&gt;0),IF(ABS('Liste outils'!$E$72-Convertisseur!$C$16)&lt;0.0005,COUNTIFS('Liste outils'!$E$6:$E72,"&gt;"&amp;(Convertisseur!$C$16-0.0005),'Liste outils'!$E$6:$E72,"&lt;"&amp;(Convertisseur!$C$16+0.0005)),""),"")</f>
        <v/>
      </c>
      <c r="P126" s="58" t="n">
        <f aca="false">IF(AND(OR('Recherche outils'!$B$5="Tous",'Recherche outils'!$B$5='Liste outils'!$C$72),OR(TRIM('Recherche outils'!$B$4&amp;"")="",ISNUMBER(SEARCH(TRIM('Recherche outils'!$B$4&amp;""),'Liste outils'!$B$72&amp;" "&amp;'Liste outils'!$C$72&amp;" "&amp;'Liste outils'!$J$72&amp;" "&amp;'Liste outils'!$O$72&amp;" "&amp;'Liste outils'!$P$72&amp;" "&amp;'Liste outils'!$Q$72&amp;" "&amp;'Liste outils'!$AA$72&amp;" "&amp;'Liste outils'!$AB$72&amp;" "&amp;'Liste outils'!$AC$72&amp;" "&amp;'Liste outils'!$T$72))),OR(NOT(ISNUMBER(Calcul!$L$11)),AND(ISNUMBER('Liste outils'!$E$72),ABS('Liste outils'!$E$72-IF(ISNUMBER(Calcul!$L$11),Calcul!$L$11,0))&lt;0.002)),OR(NOT(ISNUMBER(Calcul!$O$11)),AND(ISNUMBER('Liste outils'!$H$72),'Liste outils'!$H$72+0.000001&gt;=IF(ISNUMBER(Calcul!$O$11),Calcul!$O$11,0)))),IF(ISNUMBER('Liste outils'!$E$72),'Liste outils'!$E$72,99)*100000+IF(ISNUMBER('Liste outils'!$H$72),'Liste outils'!$H$72,99)*100+67/1000,"")</f>
        <v>50087.567</v>
      </c>
      <c r="BY126" s="59" t="n">
        <f aca="false">IFERROR(MATCH(SMALL(Calcul!$P$60:$P$184,67),Calcul!$P$60:$P$184,0),0)</f>
        <v>16</v>
      </c>
    </row>
    <row r="127" customFormat="false" ht="15" hidden="false" customHeight="false" outlineLevel="0" collapsed="false">
      <c r="M127" s="0" t="str">
        <f aca="false">IF(AND(ISNUMBER('Liste outils'!$E$73),Convertisseur!$C$14&gt;0),IF(ABS('Liste outils'!$E$73-Convertisseur!$C$14)&lt;0.0005,COUNTIFS('Liste outils'!$E$6:$E73,"&gt;"&amp;(Convertisseur!$C$14-0.0005),'Liste outils'!$E$6:$E73,"&lt;"&amp;(Convertisseur!$C$14+0.0005)),""),"")</f>
        <v/>
      </c>
      <c r="N127" s="0" t="str">
        <f aca="false">IF(AND(ISNUMBER('Liste outils'!$E$73),Convertisseur!$C$15&gt;0),IF(ABS('Liste outils'!$E$73-Convertisseur!$C$15)&lt;0.0005,COUNTIFS('Liste outils'!$E$6:$E73,"&gt;"&amp;(Convertisseur!$C$15-0.0005),'Liste outils'!$E$6:$E73,"&lt;"&amp;(Convertisseur!$C$15+0.0005)),""),"")</f>
        <v/>
      </c>
      <c r="O127" s="0" t="str">
        <f aca="false">IF(AND(ISNUMBER('Liste outils'!$E$73),Convertisseur!$C$16&gt;0),IF(ABS('Liste outils'!$E$73-Convertisseur!$C$16)&lt;0.0005,COUNTIFS('Liste outils'!$E$6:$E73,"&gt;"&amp;(Convertisseur!$C$16-0.0005),'Liste outils'!$E$6:$E73,"&lt;"&amp;(Convertisseur!$C$16+0.0005)),""),"")</f>
        <v/>
      </c>
      <c r="P127" s="58" t="n">
        <f aca="false">IF(AND(OR('Recherche outils'!$B$5="Tous",'Recherche outils'!$B$5='Liste outils'!$C$73),OR(TRIM('Recherche outils'!$B$4&amp;"")="",ISNUMBER(SEARCH(TRIM('Recherche outils'!$B$4&amp;""),'Liste outils'!$B$73&amp;" "&amp;'Liste outils'!$C$73&amp;" "&amp;'Liste outils'!$J$73&amp;" "&amp;'Liste outils'!$O$73&amp;" "&amp;'Liste outils'!$P$73&amp;" "&amp;'Liste outils'!$Q$73&amp;" "&amp;'Liste outils'!$AA$73&amp;" "&amp;'Liste outils'!$AB$73&amp;" "&amp;'Liste outils'!$AC$73&amp;" "&amp;'Liste outils'!$T$73))),OR(NOT(ISNUMBER(Calcul!$L$11)),AND(ISNUMBER('Liste outils'!$E$73),ABS('Liste outils'!$E$73-IF(ISNUMBER(Calcul!$L$11),Calcul!$L$11,0))&lt;0.002)),OR(NOT(ISNUMBER(Calcul!$O$11)),AND(ISNUMBER('Liste outils'!$H$73),'Liste outils'!$H$73+0.000001&gt;=IF(ISNUMBER(Calcul!$O$11),Calcul!$O$11,0)))),IF(ISNUMBER('Liste outils'!$E$73),'Liste outils'!$E$73,99)*100000+IF(ISNUMBER('Liste outils'!$H$73),'Liste outils'!$H$73,99)*100+68/1000,"")</f>
        <v>50175.068</v>
      </c>
      <c r="BY127" s="59" t="n">
        <f aca="false">IFERROR(MATCH(SMALL(Calcul!$P$60:$P$184,68),Calcul!$P$60:$P$184,0),0)</f>
        <v>8</v>
      </c>
    </row>
    <row r="128" customFormat="false" ht="15" hidden="false" customHeight="false" outlineLevel="0" collapsed="false">
      <c r="M128" s="0" t="str">
        <f aca="false">IF(AND(ISNUMBER('Liste outils'!$E$74),Convertisseur!$C$14&gt;0),IF(ABS('Liste outils'!$E$74-Convertisseur!$C$14)&lt;0.0005,COUNTIFS('Liste outils'!$E$6:$E74,"&gt;"&amp;(Convertisseur!$C$14-0.0005),'Liste outils'!$E$6:$E74,"&lt;"&amp;(Convertisseur!$C$14+0.0005)),""),"")</f>
        <v/>
      </c>
      <c r="N128" s="0" t="str">
        <f aca="false">IF(AND(ISNUMBER('Liste outils'!$E$74),Convertisseur!$C$15&gt;0),IF(ABS('Liste outils'!$E$74-Convertisseur!$C$15)&lt;0.0005,COUNTIFS('Liste outils'!$E$6:$E74,"&gt;"&amp;(Convertisseur!$C$15-0.0005),'Liste outils'!$E$6:$E74,"&lt;"&amp;(Convertisseur!$C$15+0.0005)),""),"")</f>
        <v/>
      </c>
      <c r="O128" s="0" t="str">
        <f aca="false">IF(AND(ISNUMBER('Liste outils'!$E$74),Convertisseur!$C$16&gt;0),IF(ABS('Liste outils'!$E$74-Convertisseur!$C$16)&lt;0.0005,COUNTIFS('Liste outils'!$E$6:$E74,"&gt;"&amp;(Convertisseur!$C$16-0.0005),'Liste outils'!$E$6:$E74,"&lt;"&amp;(Convertisseur!$C$16+0.0005)),""),"")</f>
        <v/>
      </c>
      <c r="P128" s="58" t="n">
        <f aca="false">IF(AND(OR('Recherche outils'!$B$5="Tous",'Recherche outils'!$B$5='Liste outils'!$C$74),OR(TRIM('Recherche outils'!$B$4&amp;"")="",ISNUMBER(SEARCH(TRIM('Recherche outils'!$B$4&amp;""),'Liste outils'!$B$74&amp;" "&amp;'Liste outils'!$C$74&amp;" "&amp;'Liste outils'!$J$74&amp;" "&amp;'Liste outils'!$O$74&amp;" "&amp;'Liste outils'!$P$74&amp;" "&amp;'Liste outils'!$Q$74&amp;" "&amp;'Liste outils'!$AA$74&amp;" "&amp;'Liste outils'!$AB$74&amp;" "&amp;'Liste outils'!$AC$74&amp;" "&amp;'Liste outils'!$T$74))),OR(NOT(ISNUMBER(Calcul!$L$11)),AND(ISNUMBER('Liste outils'!$E$74),ABS('Liste outils'!$E$74-IF(ISNUMBER(Calcul!$L$11),Calcul!$L$11,0))&lt;0.002)),OR(NOT(ISNUMBER(Calcul!$O$11)),AND(ISNUMBER('Liste outils'!$H$74),'Liste outils'!$H$74+0.000001&gt;=IF(ISNUMBER(Calcul!$O$11),Calcul!$O$11,0)))),IF(ISNUMBER('Liste outils'!$E$74),'Liste outils'!$E$74,99)*100000+IF(ISNUMBER('Liste outils'!$H$74),'Liste outils'!$H$74,99)*100+69/1000,"")</f>
        <v>59900.069</v>
      </c>
      <c r="BY128" s="59" t="n">
        <f aca="false">IFERROR(MATCH(SMALL(Calcul!$P$60:$P$184,69),Calcul!$P$60:$P$184,0),0)</f>
        <v>17</v>
      </c>
    </row>
    <row r="129" customFormat="false" ht="15" hidden="false" customHeight="false" outlineLevel="0" collapsed="false">
      <c r="M129" s="0" t="str">
        <f aca="false">IF(AND(ISNUMBER('Liste outils'!$E$75),Convertisseur!$C$14&gt;0),IF(ABS('Liste outils'!$E$75-Convertisseur!$C$14)&lt;0.0005,COUNTIFS('Liste outils'!$E$6:$E75,"&gt;"&amp;(Convertisseur!$C$14-0.0005),'Liste outils'!$E$6:$E75,"&lt;"&amp;(Convertisseur!$C$14+0.0005)),""),"")</f>
        <v/>
      </c>
      <c r="N129" s="0" t="str">
        <f aca="false">IF(AND(ISNUMBER('Liste outils'!$E$75),Convertisseur!$C$15&gt;0),IF(ABS('Liste outils'!$E$75-Convertisseur!$C$15)&lt;0.0005,COUNTIFS('Liste outils'!$E$6:$E75,"&gt;"&amp;(Convertisseur!$C$15-0.0005),'Liste outils'!$E$6:$E75,"&lt;"&amp;(Convertisseur!$C$15+0.0005)),""),"")</f>
        <v/>
      </c>
      <c r="O129" s="0" t="str">
        <f aca="false">IF(AND(ISNUMBER('Liste outils'!$E$75),Convertisseur!$C$16&gt;0),IF(ABS('Liste outils'!$E$75-Convertisseur!$C$16)&lt;0.0005,COUNTIFS('Liste outils'!$E$6:$E75,"&gt;"&amp;(Convertisseur!$C$16-0.0005),'Liste outils'!$E$6:$E75,"&lt;"&amp;(Convertisseur!$C$16+0.0005)),""),"")</f>
        <v/>
      </c>
      <c r="P129" s="58" t="n">
        <f aca="false">IF(AND(OR('Recherche outils'!$B$5="Tous",'Recherche outils'!$B$5='Liste outils'!$C$75),OR(TRIM('Recherche outils'!$B$4&amp;"")="",ISNUMBER(SEARCH(TRIM('Recherche outils'!$B$4&amp;""),'Liste outils'!$B$75&amp;" "&amp;'Liste outils'!$C$75&amp;" "&amp;'Liste outils'!$J$75&amp;" "&amp;'Liste outils'!$O$75&amp;" "&amp;'Liste outils'!$P$75&amp;" "&amp;'Liste outils'!$Q$75&amp;" "&amp;'Liste outils'!$AA$75&amp;" "&amp;'Liste outils'!$AB$75&amp;" "&amp;'Liste outils'!$AC$75&amp;" "&amp;'Liste outils'!$T$75))),OR(NOT(ISNUMBER(Calcul!$L$11)),AND(ISNUMBER('Liste outils'!$E$75),ABS('Liste outils'!$E$75-IF(ISNUMBER(Calcul!$L$11),Calcul!$L$11,0))&lt;0.002)),OR(NOT(ISNUMBER(Calcul!$O$11)),AND(ISNUMBER('Liste outils'!$H$75),'Liste outils'!$H$75+0.000001&gt;=IF(ISNUMBER(Calcul!$O$11),Calcul!$O$11,0)))),IF(ISNUMBER('Liste outils'!$E$75),'Liste outils'!$E$75,99)*100000+IF(ISNUMBER('Liste outils'!$H$75),'Liste outils'!$H$75,99)*100+70/1000,"")</f>
        <v>59900.07</v>
      </c>
      <c r="BY129" s="59" t="n">
        <f aca="false">IFERROR(MATCH(SMALL(Calcul!$P$60:$P$184,70),Calcul!$P$60:$P$184,0),0)</f>
        <v>10</v>
      </c>
    </row>
    <row r="130" customFormat="false" ht="15" hidden="false" customHeight="false" outlineLevel="0" collapsed="false">
      <c r="M130" s="0" t="str">
        <f aca="false">IF(AND(ISNUMBER('Liste outils'!$E$76),Convertisseur!$C$14&gt;0),IF(ABS('Liste outils'!$E$76-Convertisseur!$C$14)&lt;0.0005,COUNTIFS('Liste outils'!$E$6:$E76,"&gt;"&amp;(Convertisseur!$C$14-0.0005),'Liste outils'!$E$6:$E76,"&lt;"&amp;(Convertisseur!$C$14+0.0005)),""),"")</f>
        <v/>
      </c>
      <c r="N130" s="0" t="str">
        <f aca="false">IF(AND(ISNUMBER('Liste outils'!$E$76),Convertisseur!$C$15&gt;0),IF(ABS('Liste outils'!$E$76-Convertisseur!$C$15)&lt;0.0005,COUNTIFS('Liste outils'!$E$6:$E76,"&gt;"&amp;(Convertisseur!$C$15-0.0005),'Liste outils'!$E$6:$E76,"&lt;"&amp;(Convertisseur!$C$15+0.0005)),""),"")</f>
        <v/>
      </c>
      <c r="O130" s="0" t="str">
        <f aca="false">IF(AND(ISNUMBER('Liste outils'!$E$76),Convertisseur!$C$16&gt;0),IF(ABS('Liste outils'!$E$76-Convertisseur!$C$16)&lt;0.0005,COUNTIFS('Liste outils'!$E$6:$E76,"&gt;"&amp;(Convertisseur!$C$16-0.0005),'Liste outils'!$E$6:$E76,"&lt;"&amp;(Convertisseur!$C$16+0.0005)),""),"")</f>
        <v/>
      </c>
      <c r="P130" s="58" t="n">
        <f aca="false">IF(AND(OR('Recherche outils'!$B$5="Tous",'Recherche outils'!$B$5='Liste outils'!$C$76),OR(TRIM('Recherche outils'!$B$4&amp;"")="",ISNUMBER(SEARCH(TRIM('Recherche outils'!$B$4&amp;""),'Liste outils'!$B$76&amp;" "&amp;'Liste outils'!$C$76&amp;" "&amp;'Liste outils'!$J$76&amp;" "&amp;'Liste outils'!$O$76&amp;" "&amp;'Liste outils'!$P$76&amp;" "&amp;'Liste outils'!$Q$76&amp;" "&amp;'Liste outils'!$AA$76&amp;" "&amp;'Liste outils'!$AB$76&amp;" "&amp;'Liste outils'!$AC$76&amp;" "&amp;'Liste outils'!$T$76))),OR(NOT(ISNUMBER(Calcul!$L$11)),AND(ISNUMBER('Liste outils'!$E$76),ABS('Liste outils'!$E$76-IF(ISNUMBER(Calcul!$L$11),Calcul!$L$11,0))&lt;0.002)),OR(NOT(ISNUMBER(Calcul!$O$11)),AND(ISNUMBER('Liste outils'!$H$76),'Liste outils'!$H$76+0.000001&gt;=IF(ISNUMBER(Calcul!$O$11),Calcul!$O$11,0)))),IF(ISNUMBER('Liste outils'!$E$76),'Liste outils'!$E$76,99)*100000+IF(ISNUMBER('Liste outils'!$H$76),'Liste outils'!$H$76,99)*100+71/1000,"")</f>
        <v>12550.071</v>
      </c>
      <c r="BY130" s="59" t="n">
        <f aca="false">IFERROR(MATCH(SMALL(Calcul!$P$60:$P$184,71),Calcul!$P$60:$P$184,0),0)</f>
        <v>12</v>
      </c>
    </row>
    <row r="131" customFormat="false" ht="15" hidden="false" customHeight="false" outlineLevel="0" collapsed="false">
      <c r="M131" s="0" t="str">
        <f aca="false">IF(AND(ISNUMBER('Liste outils'!$E$77),Convertisseur!$C$14&gt;0),IF(ABS('Liste outils'!$E$77-Convertisseur!$C$14)&lt;0.0005,COUNTIFS('Liste outils'!$E$6:$E77,"&gt;"&amp;(Convertisseur!$C$14-0.0005),'Liste outils'!$E$6:$E77,"&lt;"&amp;(Convertisseur!$C$14+0.0005)),""),"")</f>
        <v/>
      </c>
      <c r="N131" s="0" t="str">
        <f aca="false">IF(AND(ISNUMBER('Liste outils'!$E$77),Convertisseur!$C$15&gt;0),IF(ABS('Liste outils'!$E$77-Convertisseur!$C$15)&lt;0.0005,COUNTIFS('Liste outils'!$E$6:$E77,"&gt;"&amp;(Convertisseur!$C$15-0.0005),'Liste outils'!$E$6:$E77,"&lt;"&amp;(Convertisseur!$C$15+0.0005)),""),"")</f>
        <v/>
      </c>
      <c r="O131" s="0" t="str">
        <f aca="false">IF(AND(ISNUMBER('Liste outils'!$E$77),Convertisseur!$C$16&gt;0),IF(ABS('Liste outils'!$E$77-Convertisseur!$C$16)&lt;0.0005,COUNTIFS('Liste outils'!$E$6:$E77,"&gt;"&amp;(Convertisseur!$C$16-0.0005),'Liste outils'!$E$6:$E77,"&lt;"&amp;(Convertisseur!$C$16+0.0005)),""),"")</f>
        <v/>
      </c>
      <c r="P131" s="58" t="n">
        <f aca="false">IF(AND(OR('Recherche outils'!$B$5="Tous",'Recherche outils'!$B$5='Liste outils'!$C$77),OR(TRIM('Recherche outils'!$B$4&amp;"")="",ISNUMBER(SEARCH(TRIM('Recherche outils'!$B$4&amp;""),'Liste outils'!$B$77&amp;" "&amp;'Liste outils'!$C$77&amp;" "&amp;'Liste outils'!$J$77&amp;" "&amp;'Liste outils'!$O$77&amp;" "&amp;'Liste outils'!$P$77&amp;" "&amp;'Liste outils'!$Q$77&amp;" "&amp;'Liste outils'!$AA$77&amp;" "&amp;'Liste outils'!$AB$77&amp;" "&amp;'Liste outils'!$AC$77&amp;" "&amp;'Liste outils'!$T$77))),OR(NOT(ISNUMBER(Calcul!$L$11)),AND(ISNUMBER('Liste outils'!$E$77),ABS('Liste outils'!$E$77-IF(ISNUMBER(Calcul!$L$11),Calcul!$L$11,0))&lt;0.002)),OR(NOT(ISNUMBER(Calcul!$O$11)),AND(ISNUMBER('Liste outils'!$H$77),'Liste outils'!$H$77+0.000001&gt;=IF(ISNUMBER(Calcul!$O$11),Calcul!$O$11,0)))),IF(ISNUMBER('Liste outils'!$E$77),'Liste outils'!$E$77,99)*100000+IF(ISNUMBER('Liste outils'!$H$77),'Liste outils'!$H$77,99)*100+72/1000,"")</f>
        <v>50019.772</v>
      </c>
      <c r="BY131" s="59" t="n">
        <f aca="false">IFERROR(MATCH(SMALL(Calcul!$P$60:$P$184,72),Calcul!$P$60:$P$184,0),0)</f>
        <v>1</v>
      </c>
    </row>
    <row r="132" customFormat="false" ht="15" hidden="false" customHeight="false" outlineLevel="0" collapsed="false">
      <c r="M132" s="0" t="str">
        <f aca="false">IF(AND(ISNUMBER('Liste outils'!$E$78),Convertisseur!$C$14&gt;0),IF(ABS('Liste outils'!$E$78-Convertisseur!$C$14)&lt;0.0005,COUNTIFS('Liste outils'!$E$6:$E78,"&gt;"&amp;(Convertisseur!$C$14-0.0005),'Liste outils'!$E$6:$E78,"&lt;"&amp;(Convertisseur!$C$14+0.0005)),""),"")</f>
        <v/>
      </c>
      <c r="N132" s="0" t="str">
        <f aca="false">IF(AND(ISNUMBER('Liste outils'!$E$78),Convertisseur!$C$15&gt;0),IF(ABS('Liste outils'!$E$78-Convertisseur!$C$15)&lt;0.0005,COUNTIFS('Liste outils'!$E$6:$E78,"&gt;"&amp;(Convertisseur!$C$15-0.0005),'Liste outils'!$E$6:$E78,"&lt;"&amp;(Convertisseur!$C$15+0.0005)),""),"")</f>
        <v/>
      </c>
      <c r="O132" s="0" t="n">
        <f aca="false">IF(AND(ISNUMBER('Liste outils'!$E$78),Convertisseur!$C$16&gt;0),IF(ABS('Liste outils'!$E$78-Convertisseur!$C$16)&lt;0.0005,COUNTIFS('Liste outils'!$E$6:$E78,"&gt;"&amp;(Convertisseur!$C$16-0.0005),'Liste outils'!$E$6:$E78,"&lt;"&amp;(Convertisseur!$C$16+0.0005)),""),"")</f>
        <v>4</v>
      </c>
      <c r="P132" s="58" t="n">
        <f aca="false">IF(AND(OR('Recherche outils'!$B$5="Tous",'Recherche outils'!$B$5='Liste outils'!$C$78),OR(TRIM('Recherche outils'!$B$4&amp;"")="",ISNUMBER(SEARCH(TRIM('Recherche outils'!$B$4&amp;""),'Liste outils'!$B$78&amp;" "&amp;'Liste outils'!$C$78&amp;" "&amp;'Liste outils'!$J$78&amp;" "&amp;'Liste outils'!$O$78&amp;" "&amp;'Liste outils'!$P$78&amp;" "&amp;'Liste outils'!$Q$78&amp;" "&amp;'Liste outils'!$AA$78&amp;" "&amp;'Liste outils'!$AB$78&amp;" "&amp;'Liste outils'!$AC$78&amp;" "&amp;'Liste outils'!$T$78))),OR(NOT(ISNUMBER(Calcul!$L$11)),AND(ISNUMBER('Liste outils'!$E$78),ABS('Liste outils'!$E$78-IF(ISNUMBER(Calcul!$L$11),Calcul!$L$11,0))&lt;0.002)),OR(NOT(ISNUMBER(Calcul!$O$11)),AND(ISNUMBER('Liste outils'!$H$78),'Liste outils'!$H$78+0.000001&gt;=IF(ISNUMBER(Calcul!$O$11),Calcul!$O$11,0)))),IF(ISNUMBER('Liste outils'!$E$78),'Liste outils'!$E$78,99)*100000+IF(ISNUMBER('Liste outils'!$H$78),'Liste outils'!$H$78,99)*100+73/1000,"")</f>
        <v>18875.073</v>
      </c>
      <c r="BY132" s="59" t="n">
        <f aca="false">IFERROR(MATCH(SMALL(Calcul!$P$60:$P$184,73),Calcul!$P$60:$P$184,0),0)</f>
        <v>2</v>
      </c>
    </row>
    <row r="133" customFormat="false" ht="15" hidden="false" customHeight="false" outlineLevel="0" collapsed="false">
      <c r="M133" s="0" t="str">
        <f aca="false">IF(AND(ISNUMBER('Liste outils'!$E$79),Convertisseur!$C$14&gt;0),IF(ABS('Liste outils'!$E$79-Convertisseur!$C$14)&lt;0.0005,COUNTIFS('Liste outils'!$E$6:$E79,"&gt;"&amp;(Convertisseur!$C$14-0.0005),'Liste outils'!$E$6:$E79,"&lt;"&amp;(Convertisseur!$C$14+0.0005)),""),"")</f>
        <v/>
      </c>
      <c r="N133" s="0" t="n">
        <f aca="false">IF(AND(ISNUMBER('Liste outils'!$E$79),Convertisseur!$C$15&gt;0),IF(ABS('Liste outils'!$E$79-Convertisseur!$C$15)&lt;0.0005,COUNTIFS('Liste outils'!$E$6:$E79,"&gt;"&amp;(Convertisseur!$C$15-0.0005),'Liste outils'!$E$6:$E79,"&lt;"&amp;(Convertisseur!$C$15+0.0005)),""),"")</f>
        <v>14</v>
      </c>
      <c r="O133" s="0" t="str">
        <f aca="false">IF(AND(ISNUMBER('Liste outils'!$E$79),Convertisseur!$C$16&gt;0),IF(ABS('Liste outils'!$E$79-Convertisseur!$C$16)&lt;0.0005,COUNTIFS('Liste outils'!$E$6:$E79,"&gt;"&amp;(Convertisseur!$C$16-0.0005),'Liste outils'!$E$6:$E79,"&lt;"&amp;(Convertisseur!$C$16+0.0005)),""),"")</f>
        <v/>
      </c>
      <c r="P133" s="58" t="n">
        <f aca="false">IF(AND(OR('Recherche outils'!$B$5="Tous",'Recherche outils'!$B$5='Liste outils'!$C$79),OR(TRIM('Recherche outils'!$B$4&amp;"")="",ISNUMBER(SEARCH(TRIM('Recherche outils'!$B$4&amp;""),'Liste outils'!$B$79&amp;" "&amp;'Liste outils'!$C$79&amp;" "&amp;'Liste outils'!$J$79&amp;" "&amp;'Liste outils'!$O$79&amp;" "&amp;'Liste outils'!$P$79&amp;" "&amp;'Liste outils'!$Q$79&amp;" "&amp;'Liste outils'!$AA$79&amp;" "&amp;'Liste outils'!$AB$79&amp;" "&amp;'Liste outils'!$AC$79&amp;" "&amp;'Liste outils'!$T$79))),OR(NOT(ISNUMBER(Calcul!$L$11)),AND(ISNUMBER('Liste outils'!$E$79),ABS('Liste outils'!$E$79-IF(ISNUMBER(Calcul!$L$11),Calcul!$L$11,0))&lt;0.002)),OR(NOT(ISNUMBER(Calcul!$O$11)),AND(ISNUMBER('Liste outils'!$H$79),'Liste outils'!$H$79+0.000001&gt;=IF(ISNUMBER(Calcul!$O$11),Calcul!$O$11,0)))),IF(ISNUMBER('Liste outils'!$E$79),'Liste outils'!$E$79,99)*100000+IF(ISNUMBER('Liste outils'!$H$79),'Liste outils'!$H$79,99)*100+74/1000,"")</f>
        <v>25075.074</v>
      </c>
      <c r="BY133" s="59" t="n">
        <f aca="false">IFERROR(MATCH(SMALL(Calcul!$P$60:$P$184,74),Calcul!$P$60:$P$184,0),0)</f>
        <v>3</v>
      </c>
    </row>
    <row r="134" customFormat="false" ht="15" hidden="false" customHeight="false" outlineLevel="0" collapsed="false">
      <c r="M134" s="0" t="str">
        <f aca="false">IF(AND(ISNUMBER('Liste outils'!$E$80),Convertisseur!$C$14&gt;0),IF(ABS('Liste outils'!$E$80-Convertisseur!$C$14)&lt;0.0005,COUNTIFS('Liste outils'!$E$6:$E80,"&gt;"&amp;(Convertisseur!$C$14-0.0005),'Liste outils'!$E$6:$E80,"&lt;"&amp;(Convertisseur!$C$14+0.0005)),""),"")</f>
        <v/>
      </c>
      <c r="N134" s="0" t="str">
        <f aca="false">IF(AND(ISNUMBER('Liste outils'!$E$80),Convertisseur!$C$15&gt;0),IF(ABS('Liste outils'!$E$80-Convertisseur!$C$15)&lt;0.0005,COUNTIFS('Liste outils'!$E$6:$E80,"&gt;"&amp;(Convertisseur!$C$15-0.0005),'Liste outils'!$E$6:$E80,"&lt;"&amp;(Convertisseur!$C$15+0.0005)),""),"")</f>
        <v/>
      </c>
      <c r="O134" s="0" t="str">
        <f aca="false">IF(AND(ISNUMBER('Liste outils'!$E$80),Convertisseur!$C$16&gt;0),IF(ABS('Liste outils'!$E$80-Convertisseur!$C$16)&lt;0.0005,COUNTIFS('Liste outils'!$E$6:$E80,"&gt;"&amp;(Convertisseur!$C$16-0.0005),'Liste outils'!$E$6:$E80,"&lt;"&amp;(Convertisseur!$C$16+0.0005)),""),"")</f>
        <v/>
      </c>
      <c r="P134" s="58" t="n">
        <f aca="false">IF(AND(OR('Recherche outils'!$B$5="Tous",'Recherche outils'!$B$5='Liste outils'!$C$80),OR(TRIM('Recherche outils'!$B$4&amp;"")="",ISNUMBER(SEARCH(TRIM('Recherche outils'!$B$4&amp;""),'Liste outils'!$B$80&amp;" "&amp;'Liste outils'!$C$80&amp;" "&amp;'Liste outils'!$J$80&amp;" "&amp;'Liste outils'!$O$80&amp;" "&amp;'Liste outils'!$P$80&amp;" "&amp;'Liste outils'!$Q$80&amp;" "&amp;'Liste outils'!$AA$80&amp;" "&amp;'Liste outils'!$AB$80&amp;" "&amp;'Liste outils'!$AC$80&amp;" "&amp;'Liste outils'!$T$80))),OR(NOT(ISNUMBER(Calcul!$L$11)),AND(ISNUMBER('Liste outils'!$E$80),ABS('Liste outils'!$E$80-IF(ISNUMBER(Calcul!$L$11),Calcul!$L$11,0))&lt;0.002)),OR(NOT(ISNUMBER(Calcul!$O$11)),AND(ISNUMBER('Liste outils'!$H$80),'Liste outils'!$H$80+0.000001&gt;=IF(ISNUMBER(Calcul!$O$11),Calcul!$O$11,0)))),IF(ISNUMBER('Liste outils'!$E$80),'Liste outils'!$E$80,99)*100000+IF(ISNUMBER('Liste outils'!$H$80),'Liste outils'!$H$80,99)*100+75/1000,"")</f>
        <v>6275.075</v>
      </c>
      <c r="BY134" s="59" t="n">
        <f aca="false">IFERROR(MATCH(SMALL(Calcul!$P$60:$P$184,75),Calcul!$P$60:$P$184,0),0)</f>
        <v>4</v>
      </c>
    </row>
    <row r="135" customFormat="false" ht="15" hidden="false" customHeight="false" outlineLevel="0" collapsed="false">
      <c r="M135" s="0" t="str">
        <f aca="false">IF(AND(ISNUMBER('Liste outils'!$E$81),Convertisseur!$C$14&gt;0),IF(ABS('Liste outils'!$E$81-Convertisseur!$C$14)&lt;0.0005,COUNTIFS('Liste outils'!$E$6:$E81,"&gt;"&amp;(Convertisseur!$C$14-0.0005),'Liste outils'!$E$6:$E81,"&lt;"&amp;(Convertisseur!$C$14+0.0005)),""),"")</f>
        <v/>
      </c>
      <c r="N135" s="0" t="str">
        <f aca="false">IF(AND(ISNUMBER('Liste outils'!$E$81),Convertisseur!$C$15&gt;0),IF(ABS('Liste outils'!$E$81-Convertisseur!$C$15)&lt;0.0005,COUNTIFS('Liste outils'!$E$6:$E81,"&gt;"&amp;(Convertisseur!$C$15-0.0005),'Liste outils'!$E$6:$E81,"&lt;"&amp;(Convertisseur!$C$15+0.0005)),""),"")</f>
        <v/>
      </c>
      <c r="O135" s="0" t="str">
        <f aca="false">IF(AND(ISNUMBER('Liste outils'!$E$81),Convertisseur!$C$16&gt;0),IF(ABS('Liste outils'!$E$81-Convertisseur!$C$16)&lt;0.0005,COUNTIFS('Liste outils'!$E$6:$E81,"&gt;"&amp;(Convertisseur!$C$16-0.0005),'Liste outils'!$E$6:$E81,"&lt;"&amp;(Convertisseur!$C$16+0.0005)),""),"")</f>
        <v/>
      </c>
      <c r="P135" s="58" t="n">
        <f aca="false">IF(AND(OR('Recherche outils'!$B$5="Tous",'Recherche outils'!$B$5='Liste outils'!$C$81),OR(TRIM('Recherche outils'!$B$4&amp;"")="",ISNUMBER(SEARCH(TRIM('Recherche outils'!$B$4&amp;""),'Liste outils'!$B$81&amp;" "&amp;'Liste outils'!$C$81&amp;" "&amp;'Liste outils'!$J$81&amp;" "&amp;'Liste outils'!$O$81&amp;" "&amp;'Liste outils'!$P$81&amp;" "&amp;'Liste outils'!$Q$81&amp;" "&amp;'Liste outils'!$AA$81&amp;" "&amp;'Liste outils'!$AB$81&amp;" "&amp;'Liste outils'!$AC$81&amp;" "&amp;'Liste outils'!$T$81))),OR(NOT(ISNUMBER(Calcul!$L$11)),AND(ISNUMBER('Liste outils'!$E$81),ABS('Liste outils'!$E$81-IF(ISNUMBER(Calcul!$L$11),Calcul!$L$11,0))&lt;0.002)),OR(NOT(ISNUMBER(Calcul!$O$11)),AND(ISNUMBER('Liste outils'!$H$81),'Liste outils'!$H$81+0.000001&gt;=IF(ISNUMBER(Calcul!$O$11),Calcul!$O$11,0)))),IF(ISNUMBER('Liste outils'!$E$81),'Liste outils'!$E$81,99)*100000+IF(ISNUMBER('Liste outils'!$H$81),'Liste outils'!$H$81,99)*100+76/1000,"")</f>
        <v>20324.796</v>
      </c>
      <c r="BY135" s="59" t="n">
        <f aca="false">IFERROR(MATCH(SMALL(Calcul!$P$60:$P$184,76),Calcul!$P$60:$P$184,0),0)</f>
        <v>5</v>
      </c>
    </row>
    <row r="136" customFormat="false" ht="15" hidden="false" customHeight="false" outlineLevel="0" collapsed="false">
      <c r="M136" s="0" t="str">
        <f aca="false">IF(AND(ISNUMBER('Liste outils'!$E$82),Convertisseur!$C$14&gt;0),IF(ABS('Liste outils'!$E$82-Convertisseur!$C$14)&lt;0.0005,COUNTIFS('Liste outils'!$E$6:$E82,"&gt;"&amp;(Convertisseur!$C$14-0.0005),'Liste outils'!$E$6:$E82,"&lt;"&amp;(Convertisseur!$C$14+0.0005)),""),"")</f>
        <v/>
      </c>
      <c r="N136" s="0" t="str">
        <f aca="false">IF(AND(ISNUMBER('Liste outils'!$E$82),Convertisseur!$C$15&gt;0),IF(ABS('Liste outils'!$E$82-Convertisseur!$C$15)&lt;0.0005,COUNTIFS('Liste outils'!$E$6:$E82,"&gt;"&amp;(Convertisseur!$C$15-0.0005),'Liste outils'!$E$6:$E82,"&lt;"&amp;(Convertisseur!$C$15+0.0005)),""),"")</f>
        <v/>
      </c>
      <c r="O136" s="0" t="str">
        <f aca="false">IF(AND(ISNUMBER('Liste outils'!$E$82),Convertisseur!$C$16&gt;0),IF(ABS('Liste outils'!$E$82-Convertisseur!$C$16)&lt;0.0005,COUNTIFS('Liste outils'!$E$6:$E82,"&gt;"&amp;(Convertisseur!$C$16-0.0005),'Liste outils'!$E$6:$E82,"&lt;"&amp;(Convertisseur!$C$16+0.0005)),""),"")</f>
        <v/>
      </c>
      <c r="P136" s="58" t="n">
        <f aca="false">IF(AND(OR('Recherche outils'!$B$5="Tous",'Recherche outils'!$B$5='Liste outils'!$C$82),OR(TRIM('Recherche outils'!$B$4&amp;"")="",ISNUMBER(SEARCH(TRIM('Recherche outils'!$B$4&amp;""),'Liste outils'!$B$82&amp;" "&amp;'Liste outils'!$C$82&amp;" "&amp;'Liste outils'!$J$82&amp;" "&amp;'Liste outils'!$O$82&amp;" "&amp;'Liste outils'!$P$82&amp;" "&amp;'Liste outils'!$Q$82&amp;" "&amp;'Liste outils'!$AA$82&amp;" "&amp;'Liste outils'!$AB$82&amp;" "&amp;'Liste outils'!$AC$82&amp;" "&amp;'Liste outils'!$T$82))),OR(NOT(ISNUMBER(Calcul!$L$11)),AND(ISNUMBER('Liste outils'!$E$82),ABS('Liste outils'!$E$82-IF(ISNUMBER(Calcul!$L$11),Calcul!$L$11,0))&lt;0.002)),OR(NOT(ISNUMBER(Calcul!$O$11)),AND(ISNUMBER('Liste outils'!$H$82),'Liste outils'!$H$82+0.000001&gt;=IF(ISNUMBER(Calcul!$O$11),Calcul!$O$11,0)))),IF(ISNUMBER('Liste outils'!$E$82),'Liste outils'!$E$82,99)*100000+IF(ISNUMBER('Liste outils'!$H$82),'Liste outils'!$H$82,99)*100+77/1000,"")</f>
        <v>9909900.077</v>
      </c>
      <c r="BY136" s="59" t="n">
        <f aca="false">IFERROR(MATCH(SMALL(Calcul!$P$60:$P$184,77),Calcul!$P$60:$P$184,0),0)</f>
        <v>6</v>
      </c>
    </row>
    <row r="137" customFormat="false" ht="15" hidden="false" customHeight="false" outlineLevel="0" collapsed="false">
      <c r="M137" s="0" t="str">
        <f aca="false">IF(AND(ISNUMBER('Liste outils'!$E$83),Convertisseur!$C$14&gt;0),IF(ABS('Liste outils'!$E$83-Convertisseur!$C$14)&lt;0.0005,COUNTIFS('Liste outils'!$E$6:$E83,"&gt;"&amp;(Convertisseur!$C$14-0.0005),'Liste outils'!$E$6:$E83,"&lt;"&amp;(Convertisseur!$C$14+0.0005)),""),"")</f>
        <v/>
      </c>
      <c r="N137" s="0" t="str">
        <f aca="false">IF(AND(ISNUMBER('Liste outils'!$E$83),Convertisseur!$C$15&gt;0),IF(ABS('Liste outils'!$E$83-Convertisseur!$C$15)&lt;0.0005,COUNTIFS('Liste outils'!$E$6:$E83,"&gt;"&amp;(Convertisseur!$C$15-0.0005),'Liste outils'!$E$6:$E83,"&lt;"&amp;(Convertisseur!$C$15+0.0005)),""),"")</f>
        <v/>
      </c>
      <c r="O137" s="0" t="str">
        <f aca="false">IF(AND(ISNUMBER('Liste outils'!$E$83),Convertisseur!$C$16&gt;0),IF(ABS('Liste outils'!$E$83-Convertisseur!$C$16)&lt;0.0005,COUNTIFS('Liste outils'!$E$6:$E83,"&gt;"&amp;(Convertisseur!$C$16-0.0005),'Liste outils'!$E$6:$E83,"&lt;"&amp;(Convertisseur!$C$16+0.0005)),""),"")</f>
        <v/>
      </c>
      <c r="P137" s="58" t="n">
        <f aca="false">IF(AND(OR('Recherche outils'!$B$5="Tous",'Recherche outils'!$B$5='Liste outils'!$C$83),OR(TRIM('Recherche outils'!$B$4&amp;"")="",ISNUMBER(SEARCH(TRIM('Recherche outils'!$B$4&amp;""),'Liste outils'!$B$83&amp;" "&amp;'Liste outils'!$C$83&amp;" "&amp;'Liste outils'!$J$83&amp;" "&amp;'Liste outils'!$O$83&amp;" "&amp;'Liste outils'!$P$83&amp;" "&amp;'Liste outils'!$Q$83&amp;" "&amp;'Liste outils'!$AA$83&amp;" "&amp;'Liste outils'!$AB$83&amp;" "&amp;'Liste outils'!$AC$83&amp;" "&amp;'Liste outils'!$T$83))),OR(NOT(ISNUMBER(Calcul!$L$11)),AND(ISNUMBER('Liste outils'!$E$83),ABS('Liste outils'!$E$83-IF(ISNUMBER(Calcul!$L$11),Calcul!$L$11,0))&lt;0.002)),OR(NOT(ISNUMBER(Calcul!$O$11)),AND(ISNUMBER('Liste outils'!$H$83),'Liste outils'!$H$83+0.000001&gt;=IF(ISNUMBER(Calcul!$O$11),Calcul!$O$11,0)))),IF(ISNUMBER('Liste outils'!$E$83),'Liste outils'!$E$83,99)*100000+IF(ISNUMBER('Liste outils'!$H$83),'Liste outils'!$H$83,99)*100+78/1000,"")</f>
        <v>15891.808</v>
      </c>
      <c r="BY137" s="59" t="n">
        <f aca="false">IFERROR(MATCH(SMALL(Calcul!$P$60:$P$184,78),Calcul!$P$60:$P$184,0),0)</f>
        <v>7</v>
      </c>
    </row>
    <row r="138" customFormat="false" ht="15" hidden="false" customHeight="false" outlineLevel="0" collapsed="false">
      <c r="M138" s="0" t="str">
        <f aca="false">IF(AND(ISNUMBER('Liste outils'!$E$84),Convertisseur!$C$14&gt;0),IF(ABS('Liste outils'!$E$84-Convertisseur!$C$14)&lt;0.0005,COUNTIFS('Liste outils'!$E$6:$E84,"&gt;"&amp;(Convertisseur!$C$14-0.0005),'Liste outils'!$E$6:$E84,"&lt;"&amp;(Convertisseur!$C$14+0.0005)),""),"")</f>
        <v/>
      </c>
      <c r="N138" s="0" t="str">
        <f aca="false">IF(AND(ISNUMBER('Liste outils'!$E$84),Convertisseur!$C$15&gt;0),IF(ABS('Liste outils'!$E$84-Convertisseur!$C$15)&lt;0.0005,COUNTIFS('Liste outils'!$E$6:$E84,"&gt;"&amp;(Convertisseur!$C$15-0.0005),'Liste outils'!$E$6:$E84,"&lt;"&amp;(Convertisseur!$C$15+0.0005)),""),"")</f>
        <v/>
      </c>
      <c r="O138" s="0" t="str">
        <f aca="false">IF(AND(ISNUMBER('Liste outils'!$E$84),Convertisseur!$C$16&gt;0),IF(ABS('Liste outils'!$E$84-Convertisseur!$C$16)&lt;0.0005,COUNTIFS('Liste outils'!$E$6:$E84,"&gt;"&amp;(Convertisseur!$C$16-0.0005),'Liste outils'!$E$6:$E84,"&lt;"&amp;(Convertisseur!$C$16+0.0005)),""),"")</f>
        <v/>
      </c>
      <c r="P138" s="58" t="n">
        <f aca="false">IF(AND(OR('Recherche outils'!$B$5="Tous",'Recherche outils'!$B$5='Liste outils'!$C$84),OR(TRIM('Recherche outils'!$B$4&amp;"")="",ISNUMBER(SEARCH(TRIM('Recherche outils'!$B$4&amp;""),'Liste outils'!$B$84&amp;" "&amp;'Liste outils'!$C$84&amp;" "&amp;'Liste outils'!$J$84&amp;" "&amp;'Liste outils'!$O$84&amp;" "&amp;'Liste outils'!$P$84&amp;" "&amp;'Liste outils'!$Q$84&amp;" "&amp;'Liste outils'!$AA$84&amp;" "&amp;'Liste outils'!$AB$84&amp;" "&amp;'Liste outils'!$AC$84&amp;" "&amp;'Liste outils'!$T$84))),OR(NOT(ISNUMBER(Calcul!$L$11)),AND(ISNUMBER('Liste outils'!$E$84),ABS('Liste outils'!$E$84-IF(ISNUMBER(Calcul!$L$11),Calcul!$L$11,0))&lt;0.002)),OR(NOT(ISNUMBER(Calcul!$O$11)),AND(ISNUMBER('Liste outils'!$H$84),'Liste outils'!$H$84+0.000001&gt;=IF(ISNUMBER(Calcul!$O$11),Calcul!$O$11,0)))),IF(ISNUMBER('Liste outils'!$E$84),'Liste outils'!$E$84,99)*100000+IF(ISNUMBER('Liste outils'!$H$84),'Liste outils'!$H$84,99)*100+79/1000,"")</f>
        <v>9909900.079</v>
      </c>
      <c r="BY138" s="59" t="n">
        <f aca="false">IFERROR(MATCH(SMALL(Calcul!$P$60:$P$184,79),Calcul!$P$60:$P$184,0),0)</f>
        <v>9</v>
      </c>
    </row>
    <row r="139" customFormat="false" ht="15" hidden="false" customHeight="false" outlineLevel="0" collapsed="false">
      <c r="M139" s="0" t="str">
        <f aca="false">IF(AND(ISNUMBER('Liste outils'!$E$85),Convertisseur!$C$14&gt;0),IF(ABS('Liste outils'!$E$85-Convertisseur!$C$14)&lt;0.0005,COUNTIFS('Liste outils'!$E$6:$E85,"&gt;"&amp;(Convertisseur!$C$14-0.0005),'Liste outils'!$E$6:$E85,"&lt;"&amp;(Convertisseur!$C$14+0.0005)),""),"")</f>
        <v/>
      </c>
      <c r="N139" s="0" t="str">
        <f aca="false">IF(AND(ISNUMBER('Liste outils'!$E$85),Convertisseur!$C$15&gt;0),IF(ABS('Liste outils'!$E$85-Convertisseur!$C$15)&lt;0.0005,COUNTIFS('Liste outils'!$E$6:$E85,"&gt;"&amp;(Convertisseur!$C$15-0.0005),'Liste outils'!$E$6:$E85,"&lt;"&amp;(Convertisseur!$C$15+0.0005)),""),"")</f>
        <v/>
      </c>
      <c r="O139" s="0" t="str">
        <f aca="false">IF(AND(ISNUMBER('Liste outils'!$E$85),Convertisseur!$C$16&gt;0),IF(ABS('Liste outils'!$E$85-Convertisseur!$C$16)&lt;0.0005,COUNTIFS('Liste outils'!$E$6:$E85,"&gt;"&amp;(Convertisseur!$C$16-0.0005),'Liste outils'!$E$6:$E85,"&lt;"&amp;(Convertisseur!$C$16+0.0005)),""),"")</f>
        <v/>
      </c>
      <c r="P139" s="58" t="n">
        <f aca="false">IF(AND(OR('Recherche outils'!$B$5="Tous",'Recherche outils'!$B$5='Liste outils'!$C$85),OR(TRIM('Recherche outils'!$B$4&amp;"")="",ISNUMBER(SEARCH(TRIM('Recherche outils'!$B$4&amp;""),'Liste outils'!$B$85&amp;" "&amp;'Liste outils'!$C$85&amp;" "&amp;'Liste outils'!$J$85&amp;" "&amp;'Liste outils'!$O$85&amp;" "&amp;'Liste outils'!$P$85&amp;" "&amp;'Liste outils'!$Q$85&amp;" "&amp;'Liste outils'!$AA$85&amp;" "&amp;'Liste outils'!$AB$85&amp;" "&amp;'Liste outils'!$AC$85&amp;" "&amp;'Liste outils'!$T$85))),OR(NOT(ISNUMBER(Calcul!$L$11)),AND(ISNUMBER('Liste outils'!$E$85),ABS('Liste outils'!$E$85-IF(ISNUMBER(Calcul!$L$11),Calcul!$L$11,0))&lt;0.002)),OR(NOT(ISNUMBER(Calcul!$O$11)),AND(ISNUMBER('Liste outils'!$H$85),'Liste outils'!$H$85+0.000001&gt;=IF(ISNUMBER(Calcul!$O$11),Calcul!$O$11,0)))),IF(ISNUMBER('Liste outils'!$E$85),'Liste outils'!$E$85,99)*100000+IF(ISNUMBER('Liste outils'!$H$85),'Liste outils'!$H$85,99)*100+80/1000,"")</f>
        <v>9909900.08</v>
      </c>
      <c r="BY139" s="59" t="n">
        <f aca="false">IFERROR(MATCH(SMALL(Calcul!$P$60:$P$184,80),Calcul!$P$60:$P$184,0),0)</f>
        <v>11</v>
      </c>
    </row>
    <row r="140" customFormat="false" ht="15" hidden="false" customHeight="false" outlineLevel="0" collapsed="false">
      <c r="M140" s="0" t="str">
        <f aca="false">IF(AND(ISNUMBER('Liste outils'!$E$86),Convertisseur!$C$14&gt;0),IF(ABS('Liste outils'!$E$86-Convertisseur!$C$14)&lt;0.0005,COUNTIFS('Liste outils'!$E$6:$E86,"&gt;"&amp;(Convertisseur!$C$14-0.0005),'Liste outils'!$E$6:$E86,"&lt;"&amp;(Convertisseur!$C$14+0.0005)),""),"")</f>
        <v/>
      </c>
      <c r="N140" s="0" t="str">
        <f aca="false">IF(AND(ISNUMBER('Liste outils'!$E$86),Convertisseur!$C$15&gt;0),IF(ABS('Liste outils'!$E$86-Convertisseur!$C$15)&lt;0.0005,COUNTIFS('Liste outils'!$E$6:$E86,"&gt;"&amp;(Convertisseur!$C$15-0.0005),'Liste outils'!$E$6:$E86,"&lt;"&amp;(Convertisseur!$C$15+0.0005)),""),"")</f>
        <v/>
      </c>
      <c r="O140" s="0" t="str">
        <f aca="false">IF(AND(ISNUMBER('Liste outils'!$E$86),Convertisseur!$C$16&gt;0),IF(ABS('Liste outils'!$E$86-Convertisseur!$C$16)&lt;0.0005,COUNTIFS('Liste outils'!$E$6:$E86,"&gt;"&amp;(Convertisseur!$C$16-0.0005),'Liste outils'!$E$6:$E86,"&lt;"&amp;(Convertisseur!$C$16+0.0005)),""),"")</f>
        <v/>
      </c>
      <c r="P140" s="58" t="n">
        <f aca="false">IF(AND(OR('Recherche outils'!$B$5="Tous",'Recherche outils'!$B$5='Liste outils'!$C$86),OR(TRIM('Recherche outils'!$B$4&amp;"")="",ISNUMBER(SEARCH(TRIM('Recherche outils'!$B$4&amp;""),'Liste outils'!$B$86&amp;" "&amp;'Liste outils'!$C$86&amp;" "&amp;'Liste outils'!$J$86&amp;" "&amp;'Liste outils'!$O$86&amp;" "&amp;'Liste outils'!$P$86&amp;" "&amp;'Liste outils'!$Q$86&amp;" "&amp;'Liste outils'!$AA$86&amp;" "&amp;'Liste outils'!$AB$86&amp;" "&amp;'Liste outils'!$AC$86&amp;" "&amp;'Liste outils'!$T$86))),OR(NOT(ISNUMBER(Calcul!$L$11)),AND(ISNUMBER('Liste outils'!$E$86),ABS('Liste outils'!$E$86-IF(ISNUMBER(Calcul!$L$11),Calcul!$L$11,0))&lt;0.002)),OR(NOT(ISNUMBER(Calcul!$O$11)),AND(ISNUMBER('Liste outils'!$H$86),'Liste outils'!$H$86+0.000001&gt;=IF(ISNUMBER(Calcul!$O$11),Calcul!$O$11,0)))),IF(ISNUMBER('Liste outils'!$E$86),'Liste outils'!$E$86,99)*100000+IF(ISNUMBER('Liste outils'!$H$86),'Liste outils'!$H$86,99)*100+81/1000,"")</f>
        <v>9909900.081</v>
      </c>
    </row>
    <row r="141" customFormat="false" ht="15" hidden="false" customHeight="false" outlineLevel="0" collapsed="false">
      <c r="M141" s="0" t="str">
        <f aca="false">IF(AND(ISNUMBER('Liste outils'!$E$87),Convertisseur!$C$14&gt;0),IF(ABS('Liste outils'!$E$87-Convertisseur!$C$14)&lt;0.0005,COUNTIFS('Liste outils'!$E$6:$E87,"&gt;"&amp;(Convertisseur!$C$14-0.0005),'Liste outils'!$E$6:$E87,"&lt;"&amp;(Convertisseur!$C$14+0.0005)),""),"")</f>
        <v/>
      </c>
      <c r="N141" s="0" t="str">
        <f aca="false">IF(AND(ISNUMBER('Liste outils'!$E$87),Convertisseur!$C$15&gt;0),IF(ABS('Liste outils'!$E$87-Convertisseur!$C$15)&lt;0.0005,COUNTIFS('Liste outils'!$E$6:$E87,"&gt;"&amp;(Convertisseur!$C$15-0.0005),'Liste outils'!$E$6:$E87,"&lt;"&amp;(Convertisseur!$C$15+0.0005)),""),"")</f>
        <v/>
      </c>
      <c r="O141" s="0" t="str">
        <f aca="false">IF(AND(ISNUMBER('Liste outils'!$E$87),Convertisseur!$C$16&gt;0),IF(ABS('Liste outils'!$E$87-Convertisseur!$C$16)&lt;0.0005,COUNTIFS('Liste outils'!$E$6:$E87,"&gt;"&amp;(Convertisseur!$C$16-0.0005),'Liste outils'!$E$6:$E87,"&lt;"&amp;(Convertisseur!$C$16+0.0005)),""),"")</f>
        <v/>
      </c>
      <c r="P141" s="58" t="n">
        <f aca="false">IF(AND(OR('Recherche outils'!$B$5="Tous",'Recherche outils'!$B$5='Liste outils'!$C$87),OR(TRIM('Recherche outils'!$B$4&amp;"")="",ISNUMBER(SEARCH(TRIM('Recherche outils'!$B$4&amp;""),'Liste outils'!$B$87&amp;" "&amp;'Liste outils'!$C$87&amp;" "&amp;'Liste outils'!$J$87&amp;" "&amp;'Liste outils'!$O$87&amp;" "&amp;'Liste outils'!$P$87&amp;" "&amp;'Liste outils'!$Q$87&amp;" "&amp;'Liste outils'!$AA$87&amp;" "&amp;'Liste outils'!$AB$87&amp;" "&amp;'Liste outils'!$AC$87&amp;" "&amp;'Liste outils'!$T$87))),OR(NOT(ISNUMBER(Calcul!$L$11)),AND(ISNUMBER('Liste outils'!$E$87),ABS('Liste outils'!$E$87-IF(ISNUMBER(Calcul!$L$11),Calcul!$L$11,0))&lt;0.002)),OR(NOT(ISNUMBER(Calcul!$O$11)),AND(ISNUMBER('Liste outils'!$H$87),'Liste outils'!$H$87+0.000001&gt;=IF(ISNUMBER(Calcul!$O$11),Calcul!$O$11,0)))),IF(ISNUMBER('Liste outils'!$E$87),'Liste outils'!$E$87,99)*100000+IF(ISNUMBER('Liste outils'!$H$87),'Liste outils'!$H$87,99)*100+82/1000,"")</f>
        <v>9909900.082</v>
      </c>
    </row>
    <row r="142" customFormat="false" ht="15" hidden="false" customHeight="false" outlineLevel="0" collapsed="false">
      <c r="M142" s="0" t="str">
        <f aca="false">IF(AND(ISNUMBER('Liste outils'!$E$88),Convertisseur!$C$14&gt;0),IF(ABS('Liste outils'!$E$88-Convertisseur!$C$14)&lt;0.0005,COUNTIFS('Liste outils'!$E$6:$E88,"&gt;"&amp;(Convertisseur!$C$14-0.0005),'Liste outils'!$E$6:$E88,"&lt;"&amp;(Convertisseur!$C$14+0.0005)),""),"")</f>
        <v/>
      </c>
      <c r="N142" s="0" t="str">
        <f aca="false">IF(AND(ISNUMBER('Liste outils'!$E$88),Convertisseur!$C$15&gt;0),IF(ABS('Liste outils'!$E$88-Convertisseur!$C$15)&lt;0.0005,COUNTIFS('Liste outils'!$E$6:$E88,"&gt;"&amp;(Convertisseur!$C$15-0.0005),'Liste outils'!$E$6:$E88,"&lt;"&amp;(Convertisseur!$C$15+0.0005)),""),"")</f>
        <v/>
      </c>
      <c r="O142" s="0" t="str">
        <f aca="false">IF(AND(ISNUMBER('Liste outils'!$E$88),Convertisseur!$C$16&gt;0),IF(ABS('Liste outils'!$E$88-Convertisseur!$C$16)&lt;0.0005,COUNTIFS('Liste outils'!$E$6:$E88,"&gt;"&amp;(Convertisseur!$C$16-0.0005),'Liste outils'!$E$6:$E88,"&lt;"&amp;(Convertisseur!$C$16+0.0005)),""),"")</f>
        <v/>
      </c>
      <c r="P142" s="58" t="n">
        <f aca="false">IF(AND(OR('Recherche outils'!$B$5="Tous",'Recherche outils'!$B$5='Liste outils'!$C$88),OR(TRIM('Recherche outils'!$B$4&amp;"")="",ISNUMBER(SEARCH(TRIM('Recherche outils'!$B$4&amp;""),'Liste outils'!$B$88&amp;" "&amp;'Liste outils'!$C$88&amp;" "&amp;'Liste outils'!$J$88&amp;" "&amp;'Liste outils'!$O$88&amp;" "&amp;'Liste outils'!$P$88&amp;" "&amp;'Liste outils'!$Q$88&amp;" "&amp;'Liste outils'!$AA$88&amp;" "&amp;'Liste outils'!$AB$88&amp;" "&amp;'Liste outils'!$AC$88&amp;" "&amp;'Liste outils'!$T$88))),OR(NOT(ISNUMBER(Calcul!$L$11)),AND(ISNUMBER('Liste outils'!$E$88),ABS('Liste outils'!$E$88-IF(ISNUMBER(Calcul!$L$11),Calcul!$L$11,0))&lt;0.002)),OR(NOT(ISNUMBER(Calcul!$O$11)),AND(ISNUMBER('Liste outils'!$H$88),'Liste outils'!$H$88+0.000001&gt;=IF(ISNUMBER(Calcul!$O$11),Calcul!$O$11,0)))),IF(ISNUMBER('Liste outils'!$E$88),'Liste outils'!$E$88,99)*100000+IF(ISNUMBER('Liste outils'!$H$88),'Liste outils'!$H$88,99)*100+83/1000,"")</f>
        <v>9909900.083</v>
      </c>
    </row>
    <row r="143" customFormat="false" ht="15" hidden="false" customHeight="false" outlineLevel="0" collapsed="false">
      <c r="M143" s="0" t="str">
        <f aca="false">IF(AND(ISNUMBER('Liste outils'!$E$89),Convertisseur!$C$14&gt;0),IF(ABS('Liste outils'!$E$89-Convertisseur!$C$14)&lt;0.0005,COUNTIFS('Liste outils'!$E$6:$E89,"&gt;"&amp;(Convertisseur!$C$14-0.0005),'Liste outils'!$E$6:$E89,"&lt;"&amp;(Convertisseur!$C$14+0.0005)),""),"")</f>
        <v/>
      </c>
      <c r="N143" s="0" t="str">
        <f aca="false">IF(AND(ISNUMBER('Liste outils'!$E$89),Convertisseur!$C$15&gt;0),IF(ABS('Liste outils'!$E$89-Convertisseur!$C$15)&lt;0.0005,COUNTIFS('Liste outils'!$E$6:$E89,"&gt;"&amp;(Convertisseur!$C$15-0.0005),'Liste outils'!$E$6:$E89,"&lt;"&amp;(Convertisseur!$C$15+0.0005)),""),"")</f>
        <v/>
      </c>
      <c r="O143" s="0" t="str">
        <f aca="false">IF(AND(ISNUMBER('Liste outils'!$E$89),Convertisseur!$C$16&gt;0),IF(ABS('Liste outils'!$E$89-Convertisseur!$C$16)&lt;0.0005,COUNTIFS('Liste outils'!$E$6:$E89,"&gt;"&amp;(Convertisseur!$C$16-0.0005),'Liste outils'!$E$6:$E89,"&lt;"&amp;(Convertisseur!$C$16+0.0005)),""),"")</f>
        <v/>
      </c>
      <c r="P143" s="58" t="n">
        <f aca="false">IF(AND(OR('Recherche outils'!$B$5="Tous",'Recherche outils'!$B$5='Liste outils'!$C$89),OR(TRIM('Recherche outils'!$B$4&amp;"")="",ISNUMBER(SEARCH(TRIM('Recherche outils'!$B$4&amp;""),'Liste outils'!$B$89&amp;" "&amp;'Liste outils'!$C$89&amp;" "&amp;'Liste outils'!$J$89&amp;" "&amp;'Liste outils'!$O$89&amp;" "&amp;'Liste outils'!$P$89&amp;" "&amp;'Liste outils'!$Q$89&amp;" "&amp;'Liste outils'!$AA$89&amp;" "&amp;'Liste outils'!$AB$89&amp;" "&amp;'Liste outils'!$AC$89&amp;" "&amp;'Liste outils'!$T$89))),OR(NOT(ISNUMBER(Calcul!$L$11)),AND(ISNUMBER('Liste outils'!$E$89),ABS('Liste outils'!$E$89-IF(ISNUMBER(Calcul!$L$11),Calcul!$L$11,0))&lt;0.002)),OR(NOT(ISNUMBER(Calcul!$O$11)),AND(ISNUMBER('Liste outils'!$H$89),'Liste outils'!$H$89+0.000001&gt;=IF(ISNUMBER(Calcul!$O$11),Calcul!$O$11,0)))),IF(ISNUMBER('Liste outils'!$E$89),'Liste outils'!$E$89,99)*100000+IF(ISNUMBER('Liste outils'!$H$89),'Liste outils'!$H$89,99)*100+84/1000,"")</f>
        <v>9909900.084</v>
      </c>
    </row>
    <row r="144" customFormat="false" ht="15" hidden="false" customHeight="false" outlineLevel="0" collapsed="false">
      <c r="M144" s="0" t="str">
        <f aca="false">IF(AND(ISNUMBER('Liste outils'!$E$90),Convertisseur!$C$14&gt;0),IF(ABS('Liste outils'!$E$90-Convertisseur!$C$14)&lt;0.0005,COUNTIFS('Liste outils'!$E$6:$E90,"&gt;"&amp;(Convertisseur!$C$14-0.0005),'Liste outils'!$E$6:$E90,"&lt;"&amp;(Convertisseur!$C$14+0.0005)),""),"")</f>
        <v/>
      </c>
      <c r="N144" s="0" t="str">
        <f aca="false">IF(AND(ISNUMBER('Liste outils'!$E$90),Convertisseur!$C$15&gt;0),IF(ABS('Liste outils'!$E$90-Convertisseur!$C$15)&lt;0.0005,COUNTIFS('Liste outils'!$E$6:$E90,"&gt;"&amp;(Convertisseur!$C$15-0.0005),'Liste outils'!$E$6:$E90,"&lt;"&amp;(Convertisseur!$C$15+0.0005)),""),"")</f>
        <v/>
      </c>
      <c r="O144" s="0" t="str">
        <f aca="false">IF(AND(ISNUMBER('Liste outils'!$E$90),Convertisseur!$C$16&gt;0),IF(ABS('Liste outils'!$E$90-Convertisseur!$C$16)&lt;0.0005,COUNTIFS('Liste outils'!$E$6:$E90,"&gt;"&amp;(Convertisseur!$C$16-0.0005),'Liste outils'!$E$6:$E90,"&lt;"&amp;(Convertisseur!$C$16+0.0005)),""),"")</f>
        <v/>
      </c>
      <c r="P144" s="58" t="n">
        <f aca="false">IF(AND(OR('Recherche outils'!$B$5="Tous",'Recherche outils'!$B$5='Liste outils'!$C$90),OR(TRIM('Recherche outils'!$B$4&amp;"")="",ISNUMBER(SEARCH(TRIM('Recherche outils'!$B$4&amp;""),'Liste outils'!$B$90&amp;" "&amp;'Liste outils'!$C$90&amp;" "&amp;'Liste outils'!$J$90&amp;" "&amp;'Liste outils'!$O$90&amp;" "&amp;'Liste outils'!$P$90&amp;" "&amp;'Liste outils'!$Q$90&amp;" "&amp;'Liste outils'!$AA$90&amp;" "&amp;'Liste outils'!$AB$90&amp;" "&amp;'Liste outils'!$AC$90&amp;" "&amp;'Liste outils'!$T$90))),OR(NOT(ISNUMBER(Calcul!$L$11)),AND(ISNUMBER('Liste outils'!$E$90),ABS('Liste outils'!$E$90-IF(ISNUMBER(Calcul!$L$11),Calcul!$L$11,0))&lt;0.002)),OR(NOT(ISNUMBER(Calcul!$O$11)),AND(ISNUMBER('Liste outils'!$H$90),'Liste outils'!$H$90+0.000001&gt;=IF(ISNUMBER(Calcul!$O$11),Calcul!$O$11,0)))),IF(ISNUMBER('Liste outils'!$E$90),'Liste outils'!$E$90,99)*100000+IF(ISNUMBER('Liste outils'!$H$90),'Liste outils'!$H$90,99)*100+85/1000,"")</f>
        <v>28800.085</v>
      </c>
    </row>
    <row r="145" customFormat="false" ht="15" hidden="false" customHeight="false" outlineLevel="0" collapsed="false">
      <c r="M145" s="0" t="str">
        <f aca="false">IF(AND(ISNUMBER('Liste outils'!$E$91),Convertisseur!$C$14&gt;0),IF(ABS('Liste outils'!$E$91-Convertisseur!$C$14)&lt;0.0005,COUNTIFS('Liste outils'!$E$6:$E91,"&gt;"&amp;(Convertisseur!$C$14-0.0005),'Liste outils'!$E$6:$E91,"&lt;"&amp;(Convertisseur!$C$14+0.0005)),""),"")</f>
        <v/>
      </c>
      <c r="N145" s="0" t="str">
        <f aca="false">IF(AND(ISNUMBER('Liste outils'!$E$91),Convertisseur!$C$15&gt;0),IF(ABS('Liste outils'!$E$91-Convertisseur!$C$15)&lt;0.0005,COUNTIFS('Liste outils'!$E$6:$E91,"&gt;"&amp;(Convertisseur!$C$15-0.0005),'Liste outils'!$E$6:$E91,"&lt;"&amp;(Convertisseur!$C$15+0.0005)),""),"")</f>
        <v/>
      </c>
      <c r="O145" s="0" t="str">
        <f aca="false">IF(AND(ISNUMBER('Liste outils'!$E$91),Convertisseur!$C$16&gt;0),IF(ABS('Liste outils'!$E$91-Convertisseur!$C$16)&lt;0.0005,COUNTIFS('Liste outils'!$E$6:$E91,"&gt;"&amp;(Convertisseur!$C$16-0.0005),'Liste outils'!$E$6:$E91,"&lt;"&amp;(Convertisseur!$C$16+0.0005)),""),"")</f>
        <v/>
      </c>
      <c r="P145" s="58" t="n">
        <f aca="false">IF(AND(OR('Recherche outils'!$B$5="Tous",'Recherche outils'!$B$5='Liste outils'!$C$91),OR(TRIM('Recherche outils'!$B$4&amp;"")="",ISNUMBER(SEARCH(TRIM('Recherche outils'!$B$4&amp;""),'Liste outils'!$B$91&amp;" "&amp;'Liste outils'!$C$91&amp;" "&amp;'Liste outils'!$J$91&amp;" "&amp;'Liste outils'!$O$91&amp;" "&amp;'Liste outils'!$P$91&amp;" "&amp;'Liste outils'!$Q$91&amp;" "&amp;'Liste outils'!$AA$91&amp;" "&amp;'Liste outils'!$AB$91&amp;" "&amp;'Liste outils'!$AC$91&amp;" "&amp;'Liste outils'!$T$91))),OR(NOT(ISNUMBER(Calcul!$L$11)),AND(ISNUMBER('Liste outils'!$E$91),ABS('Liste outils'!$E$91-IF(ISNUMBER(Calcul!$L$11),Calcul!$L$11,0))&lt;0.002)),OR(NOT(ISNUMBER(Calcul!$O$11)),AND(ISNUMBER('Liste outils'!$H$91),'Liste outils'!$H$91+0.000001&gt;=IF(ISNUMBER(Calcul!$O$11),Calcul!$O$11,0)))),IF(ISNUMBER('Liste outils'!$E$91),'Liste outils'!$E$91,99)*100000+IF(ISNUMBER('Liste outils'!$H$91),'Liste outils'!$H$91,99)*100+86/1000,"")</f>
        <v>9909900.086</v>
      </c>
    </row>
    <row r="146" customFormat="false" ht="15" hidden="false" customHeight="false" outlineLevel="0" collapsed="false">
      <c r="M146" s="0" t="str">
        <f aca="false">IF(AND(ISNUMBER('Liste outils'!$E$92),Convertisseur!$C$14&gt;0),IF(ABS('Liste outils'!$E$92-Convertisseur!$C$14)&lt;0.0005,COUNTIFS('Liste outils'!$E$6:$E92,"&gt;"&amp;(Convertisseur!$C$14-0.0005),'Liste outils'!$E$6:$E92,"&lt;"&amp;(Convertisseur!$C$14+0.0005)),""),"")</f>
        <v/>
      </c>
      <c r="N146" s="0" t="str">
        <f aca="false">IF(AND(ISNUMBER('Liste outils'!$E$92),Convertisseur!$C$15&gt;0),IF(ABS('Liste outils'!$E$92-Convertisseur!$C$15)&lt;0.0005,COUNTIFS('Liste outils'!$E$6:$E92,"&gt;"&amp;(Convertisseur!$C$15-0.0005),'Liste outils'!$E$6:$E92,"&lt;"&amp;(Convertisseur!$C$15+0.0005)),""),"")</f>
        <v/>
      </c>
      <c r="O146" s="0" t="str">
        <f aca="false">IF(AND(ISNUMBER('Liste outils'!$E$92),Convertisseur!$C$16&gt;0),IF(ABS('Liste outils'!$E$92-Convertisseur!$C$16)&lt;0.0005,COUNTIFS('Liste outils'!$E$6:$E92,"&gt;"&amp;(Convertisseur!$C$16-0.0005),'Liste outils'!$E$6:$E92,"&lt;"&amp;(Convertisseur!$C$16+0.0005)),""),"")</f>
        <v/>
      </c>
      <c r="P146" s="58" t="n">
        <f aca="false">IF(AND(OR('Recherche outils'!$B$5="Tous",'Recherche outils'!$B$5='Liste outils'!$C$92),OR(TRIM('Recherche outils'!$B$4&amp;"")="",ISNUMBER(SEARCH(TRIM('Recherche outils'!$B$4&amp;""),'Liste outils'!$B$92&amp;" "&amp;'Liste outils'!$C$92&amp;" "&amp;'Liste outils'!$J$92&amp;" "&amp;'Liste outils'!$O$92&amp;" "&amp;'Liste outils'!$P$92&amp;" "&amp;'Liste outils'!$Q$92&amp;" "&amp;'Liste outils'!$AA$92&amp;" "&amp;'Liste outils'!$AB$92&amp;" "&amp;'Liste outils'!$AC$92&amp;" "&amp;'Liste outils'!$T$92))),OR(NOT(ISNUMBER(Calcul!$L$11)),AND(ISNUMBER('Liste outils'!$E$92),ABS('Liste outils'!$E$92-IF(ISNUMBER(Calcul!$L$11),Calcul!$L$11,0))&lt;0.002)),OR(NOT(ISNUMBER(Calcul!$O$11)),AND(ISNUMBER('Liste outils'!$H$92),'Liste outils'!$H$92+0.000001&gt;=IF(ISNUMBER(Calcul!$O$11),Calcul!$O$11,0)))),IF(ISNUMBER('Liste outils'!$E$92),'Liste outils'!$E$92,99)*100000+IF(ISNUMBER('Liste outils'!$H$92),'Liste outils'!$H$92,99)*100+87/1000,"")</f>
        <v>9909900.087</v>
      </c>
    </row>
    <row r="147" customFormat="false" ht="15" hidden="false" customHeight="false" outlineLevel="0" collapsed="false">
      <c r="M147" s="0" t="str">
        <f aca="false">IF(AND(ISNUMBER('Liste outils'!$E$93),Convertisseur!$C$14&gt;0),IF(ABS('Liste outils'!$E$93-Convertisseur!$C$14)&lt;0.0005,COUNTIFS('Liste outils'!$E$6:$E93,"&gt;"&amp;(Convertisseur!$C$14-0.0005),'Liste outils'!$E$6:$E93,"&lt;"&amp;(Convertisseur!$C$14+0.0005)),""),"")</f>
        <v/>
      </c>
      <c r="N147" s="0" t="str">
        <f aca="false">IF(AND(ISNUMBER('Liste outils'!$E$93),Convertisseur!$C$15&gt;0),IF(ABS('Liste outils'!$E$93-Convertisseur!$C$15)&lt;0.0005,COUNTIFS('Liste outils'!$E$6:$E93,"&gt;"&amp;(Convertisseur!$C$15-0.0005),'Liste outils'!$E$6:$E93,"&lt;"&amp;(Convertisseur!$C$15+0.0005)),""),"")</f>
        <v/>
      </c>
      <c r="O147" s="0" t="str">
        <f aca="false">IF(AND(ISNUMBER('Liste outils'!$E$93),Convertisseur!$C$16&gt;0),IF(ABS('Liste outils'!$E$93-Convertisseur!$C$16)&lt;0.0005,COUNTIFS('Liste outils'!$E$6:$E93,"&gt;"&amp;(Convertisseur!$C$16-0.0005),'Liste outils'!$E$6:$E93,"&lt;"&amp;(Convertisseur!$C$16+0.0005)),""),"")</f>
        <v/>
      </c>
      <c r="P147" s="58" t="n">
        <f aca="false">IF(AND(OR('Recherche outils'!$B$5="Tous",'Recherche outils'!$B$5='Liste outils'!$C$93),OR(TRIM('Recherche outils'!$B$4&amp;"")="",ISNUMBER(SEARCH(TRIM('Recherche outils'!$B$4&amp;""),'Liste outils'!$B$93&amp;" "&amp;'Liste outils'!$C$93&amp;" "&amp;'Liste outils'!$J$93&amp;" "&amp;'Liste outils'!$O$93&amp;" "&amp;'Liste outils'!$P$93&amp;" "&amp;'Liste outils'!$Q$93&amp;" "&amp;'Liste outils'!$AA$93&amp;" "&amp;'Liste outils'!$AB$93&amp;" "&amp;'Liste outils'!$AC$93&amp;" "&amp;'Liste outils'!$T$93))),OR(NOT(ISNUMBER(Calcul!$L$11)),AND(ISNUMBER('Liste outils'!$E$93),ABS('Liste outils'!$E$93-IF(ISNUMBER(Calcul!$L$11),Calcul!$L$11,0))&lt;0.002)),OR(NOT(ISNUMBER(Calcul!$O$11)),AND(ISNUMBER('Liste outils'!$H$93),'Liste outils'!$H$93+0.000001&gt;=IF(ISNUMBER(Calcul!$O$11),Calcul!$O$11,0)))),IF(ISNUMBER('Liste outils'!$E$93),'Liste outils'!$E$93,99)*100000+IF(ISNUMBER('Liste outils'!$H$93),'Liste outils'!$H$93,99)*100+88/1000,"")</f>
        <v>51400.088</v>
      </c>
    </row>
    <row r="148" customFormat="false" ht="15" hidden="false" customHeight="false" outlineLevel="0" collapsed="false">
      <c r="M148" s="0" t="str">
        <f aca="false">IF(AND(ISNUMBER('Liste outils'!$E$94),Convertisseur!$C$14&gt;0),IF(ABS('Liste outils'!$E$94-Convertisseur!$C$14)&lt;0.0005,COUNTIFS('Liste outils'!$E$6:$E94,"&gt;"&amp;(Convertisseur!$C$14-0.0005),'Liste outils'!$E$6:$E94,"&lt;"&amp;(Convertisseur!$C$14+0.0005)),""),"")</f>
        <v/>
      </c>
      <c r="N148" s="0" t="str">
        <f aca="false">IF(AND(ISNUMBER('Liste outils'!$E$94),Convertisseur!$C$15&gt;0),IF(ABS('Liste outils'!$E$94-Convertisseur!$C$15)&lt;0.0005,COUNTIFS('Liste outils'!$E$6:$E94,"&gt;"&amp;(Convertisseur!$C$15-0.0005),'Liste outils'!$E$6:$E94,"&lt;"&amp;(Convertisseur!$C$15+0.0005)),""),"")</f>
        <v/>
      </c>
      <c r="O148" s="0" t="str">
        <f aca="false">IF(AND(ISNUMBER('Liste outils'!$E$94),Convertisseur!$C$16&gt;0),IF(ABS('Liste outils'!$E$94-Convertisseur!$C$16)&lt;0.0005,COUNTIFS('Liste outils'!$E$6:$E94,"&gt;"&amp;(Convertisseur!$C$16-0.0005),'Liste outils'!$E$6:$E94,"&lt;"&amp;(Convertisseur!$C$16+0.0005)),""),"")</f>
        <v/>
      </c>
      <c r="P148" s="58" t="n">
        <f aca="false">IF(AND(OR('Recherche outils'!$B$5="Tous",'Recherche outils'!$B$5='Liste outils'!$C$94),OR(TRIM('Recherche outils'!$B$4&amp;"")="",ISNUMBER(SEARCH(TRIM('Recherche outils'!$B$4&amp;""),'Liste outils'!$B$94&amp;" "&amp;'Liste outils'!$C$94&amp;" "&amp;'Liste outils'!$J$94&amp;" "&amp;'Liste outils'!$O$94&amp;" "&amp;'Liste outils'!$P$94&amp;" "&amp;'Liste outils'!$Q$94&amp;" "&amp;'Liste outils'!$AA$94&amp;" "&amp;'Liste outils'!$AB$94&amp;" "&amp;'Liste outils'!$AC$94&amp;" "&amp;'Liste outils'!$T$94))),OR(NOT(ISNUMBER(Calcul!$L$11)),AND(ISNUMBER('Liste outils'!$E$94),ABS('Liste outils'!$E$94-IF(ISNUMBER(Calcul!$L$11),Calcul!$L$11,0))&lt;0.002)),OR(NOT(ISNUMBER(Calcul!$O$11)),AND(ISNUMBER('Liste outils'!$H$94),'Liste outils'!$H$94+0.000001&gt;=IF(ISNUMBER(Calcul!$O$11),Calcul!$O$11,0)))),IF(ISNUMBER('Liste outils'!$E$94),'Liste outils'!$E$94,99)*100000+IF(ISNUMBER('Liste outils'!$H$94),'Liste outils'!$H$94,99)*100+89/1000,"")</f>
        <v>9909900.089</v>
      </c>
    </row>
    <row r="149" customFormat="false" ht="15" hidden="false" customHeight="false" outlineLevel="0" collapsed="false">
      <c r="M149" s="0" t="str">
        <f aca="false">IF(AND(ISNUMBER('Liste outils'!$E$95),Convertisseur!$C$14&gt;0),IF(ABS('Liste outils'!$E$95-Convertisseur!$C$14)&lt;0.0005,COUNTIFS('Liste outils'!$E$6:$E95,"&gt;"&amp;(Convertisseur!$C$14-0.0005),'Liste outils'!$E$6:$E95,"&lt;"&amp;(Convertisseur!$C$14+0.0005)),""),"")</f>
        <v/>
      </c>
      <c r="N149" s="0" t="str">
        <f aca="false">IF(AND(ISNUMBER('Liste outils'!$E$95),Convertisseur!$C$15&gt;0),IF(ABS('Liste outils'!$E$95-Convertisseur!$C$15)&lt;0.0005,COUNTIFS('Liste outils'!$E$6:$E95,"&gt;"&amp;(Convertisseur!$C$15-0.0005),'Liste outils'!$E$6:$E95,"&lt;"&amp;(Convertisseur!$C$15+0.0005)),""),"")</f>
        <v/>
      </c>
      <c r="O149" s="0" t="str">
        <f aca="false">IF(AND(ISNUMBER('Liste outils'!$E$95),Convertisseur!$C$16&gt;0),IF(ABS('Liste outils'!$E$95-Convertisseur!$C$16)&lt;0.0005,COUNTIFS('Liste outils'!$E$6:$E95,"&gt;"&amp;(Convertisseur!$C$16-0.0005),'Liste outils'!$E$6:$E95,"&lt;"&amp;(Convertisseur!$C$16+0.0005)),""),"")</f>
        <v/>
      </c>
      <c r="P149" s="58" t="n">
        <f aca="false">IF(AND(OR('Recherche outils'!$B$5="Tous",'Recherche outils'!$B$5='Liste outils'!$C$95),OR(TRIM('Recherche outils'!$B$4&amp;"")="",ISNUMBER(SEARCH(TRIM('Recherche outils'!$B$4&amp;""),'Liste outils'!$B$95&amp;" "&amp;'Liste outils'!$C$95&amp;" "&amp;'Liste outils'!$J$95&amp;" "&amp;'Liste outils'!$O$95&amp;" "&amp;'Liste outils'!$P$95&amp;" "&amp;'Liste outils'!$Q$95&amp;" "&amp;'Liste outils'!$AA$95&amp;" "&amp;'Liste outils'!$AB$95&amp;" "&amp;'Liste outils'!$AC$95&amp;" "&amp;'Liste outils'!$T$95))),OR(NOT(ISNUMBER(Calcul!$L$11)),AND(ISNUMBER('Liste outils'!$E$95),ABS('Liste outils'!$E$95-IF(ISNUMBER(Calcul!$L$11),Calcul!$L$11,0))&lt;0.002)),OR(NOT(ISNUMBER(Calcul!$O$11)),AND(ISNUMBER('Liste outils'!$H$95),'Liste outils'!$H$95+0.000001&gt;=IF(ISNUMBER(Calcul!$O$11),Calcul!$O$11,0)))),IF(ISNUMBER('Liste outils'!$E$95),'Liste outils'!$E$95,99)*100000+IF(ISNUMBER('Liste outils'!$H$95),'Liste outils'!$H$95,99)*100+90/1000,"")</f>
        <v>65020.09</v>
      </c>
    </row>
    <row r="150" customFormat="false" ht="15" hidden="false" customHeight="false" outlineLevel="0" collapsed="false">
      <c r="M150" s="0" t="str">
        <f aca="false">IF(AND(ISNUMBER('Liste outils'!$E$96),Convertisseur!$C$14&gt;0),IF(ABS('Liste outils'!$E$96-Convertisseur!$C$14)&lt;0.0005,COUNTIFS('Liste outils'!$E$6:$E96,"&gt;"&amp;(Convertisseur!$C$14-0.0005),'Liste outils'!$E$6:$E96,"&lt;"&amp;(Convertisseur!$C$14+0.0005)),""),"")</f>
        <v/>
      </c>
      <c r="N150" s="0" t="str">
        <f aca="false">IF(AND(ISNUMBER('Liste outils'!$E$96),Convertisseur!$C$15&gt;0),IF(ABS('Liste outils'!$E$96-Convertisseur!$C$15)&lt;0.0005,COUNTIFS('Liste outils'!$E$6:$E96,"&gt;"&amp;(Convertisseur!$C$15-0.0005),'Liste outils'!$E$6:$E96,"&lt;"&amp;(Convertisseur!$C$15+0.0005)),""),"")</f>
        <v/>
      </c>
      <c r="O150" s="0" t="str">
        <f aca="false">IF(AND(ISNUMBER('Liste outils'!$E$96),Convertisseur!$C$16&gt;0),IF(ABS('Liste outils'!$E$96-Convertisseur!$C$16)&lt;0.0005,COUNTIFS('Liste outils'!$E$6:$E96,"&gt;"&amp;(Convertisseur!$C$16-0.0005),'Liste outils'!$E$6:$E96,"&lt;"&amp;(Convertisseur!$C$16+0.0005)),""),"")</f>
        <v/>
      </c>
      <c r="P150" s="58" t="n">
        <f aca="false">IF(AND(OR('Recherche outils'!$B$5="Tous",'Recherche outils'!$B$5='Liste outils'!$C$96),OR(TRIM('Recherche outils'!$B$4&amp;"")="",ISNUMBER(SEARCH(TRIM('Recherche outils'!$B$4&amp;""),'Liste outils'!$B$96&amp;" "&amp;'Liste outils'!$C$96&amp;" "&amp;'Liste outils'!$J$96&amp;" "&amp;'Liste outils'!$O$96&amp;" "&amp;'Liste outils'!$P$96&amp;" "&amp;'Liste outils'!$Q$96&amp;" "&amp;'Liste outils'!$AA$96&amp;" "&amp;'Liste outils'!$AB$96&amp;" "&amp;'Liste outils'!$AC$96&amp;" "&amp;'Liste outils'!$T$96))),OR(NOT(ISNUMBER(Calcul!$L$11)),AND(ISNUMBER('Liste outils'!$E$96),ABS('Liste outils'!$E$96-IF(ISNUMBER(Calcul!$L$11),Calcul!$L$11,0))&lt;0.002)),OR(NOT(ISNUMBER(Calcul!$O$11)),AND(ISNUMBER('Liste outils'!$H$96),'Liste outils'!$H$96+0.000001&gt;=IF(ISNUMBER(Calcul!$O$11),Calcul!$O$11,0)))),IF(ISNUMBER('Liste outils'!$E$96),'Liste outils'!$E$96,99)*100000+IF(ISNUMBER('Liste outils'!$H$96),'Liste outils'!$H$96,99)*100+91/1000,"")</f>
        <v>9909900.091</v>
      </c>
    </row>
    <row r="151" customFormat="false" ht="15" hidden="false" customHeight="false" outlineLevel="0" collapsed="false">
      <c r="M151" s="0" t="str">
        <f aca="false">IF(AND(ISNUMBER('Liste outils'!$E$97),Convertisseur!$C$14&gt;0),IF(ABS('Liste outils'!$E$97-Convertisseur!$C$14)&lt;0.0005,COUNTIFS('Liste outils'!$E$6:$E97,"&gt;"&amp;(Convertisseur!$C$14-0.0005),'Liste outils'!$E$6:$E97,"&lt;"&amp;(Convertisseur!$C$14+0.0005)),""),"")</f>
        <v/>
      </c>
      <c r="N151" s="0" t="str">
        <f aca="false">IF(AND(ISNUMBER('Liste outils'!$E$97),Convertisseur!$C$15&gt;0),IF(ABS('Liste outils'!$E$97-Convertisseur!$C$15)&lt;0.0005,COUNTIFS('Liste outils'!$E$6:$E97,"&gt;"&amp;(Convertisseur!$C$15-0.0005),'Liste outils'!$E$6:$E97,"&lt;"&amp;(Convertisseur!$C$15+0.0005)),""),"")</f>
        <v/>
      </c>
      <c r="O151" s="0" t="str">
        <f aca="false">IF(AND(ISNUMBER('Liste outils'!$E$97),Convertisseur!$C$16&gt;0),IF(ABS('Liste outils'!$E$97-Convertisseur!$C$16)&lt;0.0005,COUNTIFS('Liste outils'!$E$6:$E97,"&gt;"&amp;(Convertisseur!$C$16-0.0005),'Liste outils'!$E$6:$E97,"&lt;"&amp;(Convertisseur!$C$16+0.0005)),""),"")</f>
        <v/>
      </c>
      <c r="P151" s="58" t="n">
        <f aca="false">IF(AND(OR('Recherche outils'!$B$5="Tous",'Recherche outils'!$B$5='Liste outils'!$C$97),OR(TRIM('Recherche outils'!$B$4&amp;"")="",ISNUMBER(SEARCH(TRIM('Recherche outils'!$B$4&amp;""),'Liste outils'!$B$97&amp;" "&amp;'Liste outils'!$C$97&amp;" "&amp;'Liste outils'!$J$97&amp;" "&amp;'Liste outils'!$O$97&amp;" "&amp;'Liste outils'!$P$97&amp;" "&amp;'Liste outils'!$Q$97&amp;" "&amp;'Liste outils'!$AA$97&amp;" "&amp;'Liste outils'!$AB$97&amp;" "&amp;'Liste outils'!$AC$97&amp;" "&amp;'Liste outils'!$T$97))),OR(NOT(ISNUMBER(Calcul!$L$11)),AND(ISNUMBER('Liste outils'!$E$97),ABS('Liste outils'!$E$97-IF(ISNUMBER(Calcul!$L$11),Calcul!$L$11,0))&lt;0.002)),OR(NOT(ISNUMBER(Calcul!$O$11)),AND(ISNUMBER('Liste outils'!$H$97),'Liste outils'!$H$97+0.000001&gt;=IF(ISNUMBER(Calcul!$O$11),Calcul!$O$11,0)))),IF(ISNUMBER('Liste outils'!$E$97),'Liste outils'!$E$97,99)*100000+IF(ISNUMBER('Liste outils'!$H$97),'Liste outils'!$H$97,99)*100+92/1000,"")</f>
        <v>59900.092</v>
      </c>
    </row>
    <row r="152" customFormat="false" ht="15" hidden="false" customHeight="false" outlineLevel="0" collapsed="false">
      <c r="M152" s="0" t="str">
        <f aca="false">IF(AND(ISNUMBER('Liste outils'!$E$98),Convertisseur!$C$14&gt;0),IF(ABS('Liste outils'!$E$98-Convertisseur!$C$14)&lt;0.0005,COUNTIFS('Liste outils'!$E$6:$E98,"&gt;"&amp;(Convertisseur!$C$14-0.0005),'Liste outils'!$E$6:$E98,"&lt;"&amp;(Convertisseur!$C$14+0.0005)),""),"")</f>
        <v/>
      </c>
      <c r="N152" s="0" t="str">
        <f aca="false">IF(AND(ISNUMBER('Liste outils'!$E$98),Convertisseur!$C$15&gt;0),IF(ABS('Liste outils'!$E$98-Convertisseur!$C$15)&lt;0.0005,COUNTIFS('Liste outils'!$E$6:$E98,"&gt;"&amp;(Convertisseur!$C$15-0.0005),'Liste outils'!$E$6:$E98,"&lt;"&amp;(Convertisseur!$C$15+0.0005)),""),"")</f>
        <v/>
      </c>
      <c r="O152" s="0" t="str">
        <f aca="false">IF(AND(ISNUMBER('Liste outils'!$E$98),Convertisseur!$C$16&gt;0),IF(ABS('Liste outils'!$E$98-Convertisseur!$C$16)&lt;0.0005,COUNTIFS('Liste outils'!$E$6:$E98,"&gt;"&amp;(Convertisseur!$C$16-0.0005),'Liste outils'!$E$6:$E98,"&lt;"&amp;(Convertisseur!$C$16+0.0005)),""),"")</f>
        <v/>
      </c>
      <c r="P152" s="58" t="n">
        <f aca="false">IF(AND(OR('Recherche outils'!$B$5="Tous",'Recherche outils'!$B$5='Liste outils'!$C$98),OR(TRIM('Recherche outils'!$B$4&amp;"")="",ISNUMBER(SEARCH(TRIM('Recherche outils'!$B$4&amp;""),'Liste outils'!$B$98&amp;" "&amp;'Liste outils'!$C$98&amp;" "&amp;'Liste outils'!$J$98&amp;" "&amp;'Liste outils'!$O$98&amp;" "&amp;'Liste outils'!$P$98&amp;" "&amp;'Liste outils'!$Q$98&amp;" "&amp;'Liste outils'!$AA$98&amp;" "&amp;'Liste outils'!$AB$98&amp;" "&amp;'Liste outils'!$AC$98&amp;" "&amp;'Liste outils'!$T$98))),OR(NOT(ISNUMBER(Calcul!$L$11)),AND(ISNUMBER('Liste outils'!$E$98),ABS('Liste outils'!$E$98-IF(ISNUMBER(Calcul!$L$11),Calcul!$L$11,0))&lt;0.002)),OR(NOT(ISNUMBER(Calcul!$O$11)),AND(ISNUMBER('Liste outils'!$H$98),'Liste outils'!$H$98+0.000001&gt;=IF(ISNUMBER(Calcul!$O$11),Calcul!$O$11,0)))),IF(ISNUMBER('Liste outils'!$E$98),'Liste outils'!$E$98,99)*100000+IF(ISNUMBER('Liste outils'!$H$98),'Liste outils'!$H$98,99)*100+93/1000,"")</f>
        <v>87400.093</v>
      </c>
    </row>
    <row r="153" customFormat="false" ht="15" hidden="false" customHeight="false" outlineLevel="0" collapsed="false">
      <c r="M153" s="0" t="str">
        <f aca="false">IF(AND(ISNUMBER('Liste outils'!$E$99),Convertisseur!$C$14&gt;0),IF(ABS('Liste outils'!$E$99-Convertisseur!$C$14)&lt;0.0005,COUNTIFS('Liste outils'!$E$6:$E99,"&gt;"&amp;(Convertisseur!$C$14-0.0005),'Liste outils'!$E$6:$E99,"&lt;"&amp;(Convertisseur!$C$14+0.0005)),""),"")</f>
        <v/>
      </c>
      <c r="N153" s="0" t="str">
        <f aca="false">IF(AND(ISNUMBER('Liste outils'!$E$99),Convertisseur!$C$15&gt;0),IF(ABS('Liste outils'!$E$99-Convertisseur!$C$15)&lt;0.0005,COUNTIFS('Liste outils'!$E$6:$E99,"&gt;"&amp;(Convertisseur!$C$15-0.0005),'Liste outils'!$E$6:$E99,"&lt;"&amp;(Convertisseur!$C$15+0.0005)),""),"")</f>
        <v/>
      </c>
      <c r="O153" s="0" t="str">
        <f aca="false">IF(AND(ISNUMBER('Liste outils'!$E$99),Convertisseur!$C$16&gt;0),IF(ABS('Liste outils'!$E$99-Convertisseur!$C$16)&lt;0.0005,COUNTIFS('Liste outils'!$E$6:$E99,"&gt;"&amp;(Convertisseur!$C$16-0.0005),'Liste outils'!$E$6:$E99,"&lt;"&amp;(Convertisseur!$C$16+0.0005)),""),"")</f>
        <v/>
      </c>
      <c r="P153" s="58" t="n">
        <f aca="false">IF(AND(OR('Recherche outils'!$B$5="Tous",'Recherche outils'!$B$5='Liste outils'!$C$99),OR(TRIM('Recherche outils'!$B$4&amp;"")="",ISNUMBER(SEARCH(TRIM('Recherche outils'!$B$4&amp;""),'Liste outils'!$B$99&amp;" "&amp;'Liste outils'!$C$99&amp;" "&amp;'Liste outils'!$J$99&amp;" "&amp;'Liste outils'!$O$99&amp;" "&amp;'Liste outils'!$P$99&amp;" "&amp;'Liste outils'!$Q$99&amp;" "&amp;'Liste outils'!$AA$99&amp;" "&amp;'Liste outils'!$AB$99&amp;" "&amp;'Liste outils'!$AC$99&amp;" "&amp;'Liste outils'!$T$99))),OR(NOT(ISNUMBER(Calcul!$L$11)),AND(ISNUMBER('Liste outils'!$E$99),ABS('Liste outils'!$E$99-IF(ISNUMBER(Calcul!$L$11),Calcul!$L$11,0))&lt;0.002)),OR(NOT(ISNUMBER(Calcul!$O$11)),AND(ISNUMBER('Liste outils'!$H$99),'Liste outils'!$H$99+0.000001&gt;=IF(ISNUMBER(Calcul!$O$11),Calcul!$O$11,0)))),IF(ISNUMBER('Liste outils'!$E$99),'Liste outils'!$E$99,99)*100000+IF(ISNUMBER('Liste outils'!$H$99),'Liste outils'!$H$99,99)*100+94/1000,"")</f>
        <v>67687.594</v>
      </c>
    </row>
    <row r="154" customFormat="false" ht="15" hidden="false" customHeight="false" outlineLevel="0" collapsed="false">
      <c r="M154" s="0" t="str">
        <f aca="false">IF(AND(ISNUMBER('Liste outils'!$E$100),Convertisseur!$C$14&gt;0),IF(ABS('Liste outils'!$E$100-Convertisseur!$C$14)&lt;0.0005,COUNTIFS('Liste outils'!$E$6:$E100,"&gt;"&amp;(Convertisseur!$C$14-0.0005),'Liste outils'!$E$6:$E100,"&lt;"&amp;(Convertisseur!$C$14+0.0005)),""),"")</f>
        <v/>
      </c>
      <c r="N154" s="0" t="str">
        <f aca="false">IF(AND(ISNUMBER('Liste outils'!$E$100),Convertisseur!$C$15&gt;0),IF(ABS('Liste outils'!$E$100-Convertisseur!$C$15)&lt;0.0005,COUNTIFS('Liste outils'!$E$6:$E100,"&gt;"&amp;(Convertisseur!$C$15-0.0005),'Liste outils'!$E$6:$E100,"&lt;"&amp;(Convertisseur!$C$15+0.0005)),""),"")</f>
        <v/>
      </c>
      <c r="O154" s="0" t="str">
        <f aca="false">IF(AND(ISNUMBER('Liste outils'!$E$100),Convertisseur!$C$16&gt;0),IF(ABS('Liste outils'!$E$100-Convertisseur!$C$16)&lt;0.0005,COUNTIFS('Liste outils'!$E$6:$E100,"&gt;"&amp;(Convertisseur!$C$16-0.0005),'Liste outils'!$E$6:$E100,"&lt;"&amp;(Convertisseur!$C$16+0.0005)),""),"")</f>
        <v/>
      </c>
      <c r="P154" s="58" t="n">
        <f aca="false">IF(AND(OR('Recherche outils'!$B$5="Tous",'Recherche outils'!$B$5='Liste outils'!$C$100),OR(TRIM('Recherche outils'!$B$4&amp;"")="",ISNUMBER(SEARCH(TRIM('Recherche outils'!$B$4&amp;""),'Liste outils'!$B$100&amp;" "&amp;'Liste outils'!$C$100&amp;" "&amp;'Liste outils'!$J$100&amp;" "&amp;'Liste outils'!$O$100&amp;" "&amp;'Liste outils'!$P$100&amp;" "&amp;'Liste outils'!$Q$100&amp;" "&amp;'Liste outils'!$AA$100&amp;" "&amp;'Liste outils'!$AB$100&amp;" "&amp;'Liste outils'!$AC$100&amp;" "&amp;'Liste outils'!$T$100))),OR(NOT(ISNUMBER(Calcul!$L$11)),AND(ISNUMBER('Liste outils'!$E$100),ABS('Liste outils'!$E$100-IF(ISNUMBER(Calcul!$L$11),Calcul!$L$11,0))&lt;0.002)),OR(NOT(ISNUMBER(Calcul!$O$11)),AND(ISNUMBER('Liste outils'!$H$100),'Liste outils'!$H$100+0.000001&gt;=IF(ISNUMBER(Calcul!$O$11),Calcul!$O$11,0)))),IF(ISNUMBER('Liste outils'!$E$100),'Liste outils'!$E$100,99)*100000+IF(ISNUMBER('Liste outils'!$H$100),'Liste outils'!$H$100,99)*100+95/1000,"")</f>
        <v>135880.095</v>
      </c>
    </row>
    <row r="155" customFormat="false" ht="15" hidden="false" customHeight="false" outlineLevel="0" collapsed="false">
      <c r="M155" s="0" t="str">
        <f aca="false">IF(AND(ISNUMBER('Liste outils'!$E$101),Convertisseur!$C$14&gt;0),IF(ABS('Liste outils'!$E$101-Convertisseur!$C$14)&lt;0.0005,COUNTIFS('Liste outils'!$E$6:$E101,"&gt;"&amp;(Convertisseur!$C$14-0.0005),'Liste outils'!$E$6:$E101,"&lt;"&amp;(Convertisseur!$C$14+0.0005)),""),"")</f>
        <v/>
      </c>
      <c r="N155" s="0" t="str">
        <f aca="false">IF(AND(ISNUMBER('Liste outils'!$E$101),Convertisseur!$C$15&gt;0),IF(ABS('Liste outils'!$E$101-Convertisseur!$C$15)&lt;0.0005,COUNTIFS('Liste outils'!$E$6:$E101,"&gt;"&amp;(Convertisseur!$C$15-0.0005),'Liste outils'!$E$6:$E101,"&lt;"&amp;(Convertisseur!$C$15+0.0005)),""),"")</f>
        <v/>
      </c>
      <c r="O155" s="0" t="str">
        <f aca="false">IF(AND(ISNUMBER('Liste outils'!$E$101),Convertisseur!$C$16&gt;0),IF(ABS('Liste outils'!$E$101-Convertisseur!$C$16)&lt;0.0005,COUNTIFS('Liste outils'!$E$6:$E101,"&gt;"&amp;(Convertisseur!$C$16-0.0005),'Liste outils'!$E$6:$E101,"&lt;"&amp;(Convertisseur!$C$16+0.0005)),""),"")</f>
        <v/>
      </c>
      <c r="P155" s="58" t="n">
        <f aca="false">IF(AND(OR('Recherche outils'!$B$5="Tous",'Recherche outils'!$B$5='Liste outils'!$C$101),OR(TRIM('Recherche outils'!$B$4&amp;"")="",ISNUMBER(SEARCH(TRIM('Recherche outils'!$B$4&amp;""),'Liste outils'!$B$101&amp;" "&amp;'Liste outils'!$C$101&amp;" "&amp;'Liste outils'!$J$101&amp;" "&amp;'Liste outils'!$O$101&amp;" "&amp;'Liste outils'!$P$101&amp;" "&amp;'Liste outils'!$Q$101&amp;" "&amp;'Liste outils'!$AA$101&amp;" "&amp;'Liste outils'!$AB$101&amp;" "&amp;'Liste outils'!$AC$101&amp;" "&amp;'Liste outils'!$T$101))),OR(NOT(ISNUMBER(Calcul!$L$11)),AND(ISNUMBER('Liste outils'!$E$101),ABS('Liste outils'!$E$101-IF(ISNUMBER(Calcul!$L$11),Calcul!$L$11,0))&lt;0.002)),OR(NOT(ISNUMBER(Calcul!$O$11)),AND(ISNUMBER('Liste outils'!$H$101),'Liste outils'!$H$101+0.000001&gt;=IF(ISNUMBER(Calcul!$O$11),Calcul!$O$11,0)))),IF(ISNUMBER('Liste outils'!$E$101),'Liste outils'!$E$101,99)*100000+IF(ISNUMBER('Liste outils'!$H$101),'Liste outils'!$H$101,99)*100+96/1000,"")</f>
        <v>9909900.096</v>
      </c>
    </row>
    <row r="156" customFormat="false" ht="15" hidden="false" customHeight="false" outlineLevel="0" collapsed="false">
      <c r="M156" s="0" t="str">
        <f aca="false">IF(AND(ISNUMBER('Liste outils'!$E$102),Convertisseur!$C$14&gt;0),IF(ABS('Liste outils'!$E$102-Convertisseur!$C$14)&lt;0.0005,COUNTIFS('Liste outils'!$E$6:$E102,"&gt;"&amp;(Convertisseur!$C$14-0.0005),'Liste outils'!$E$6:$E102,"&lt;"&amp;(Convertisseur!$C$14+0.0005)),""),"")</f>
        <v/>
      </c>
      <c r="N156" s="0" t="str">
        <f aca="false">IF(AND(ISNUMBER('Liste outils'!$E$102),Convertisseur!$C$15&gt;0),IF(ABS('Liste outils'!$E$102-Convertisseur!$C$15)&lt;0.0005,COUNTIFS('Liste outils'!$E$6:$E102,"&gt;"&amp;(Convertisseur!$C$15-0.0005),'Liste outils'!$E$6:$E102,"&lt;"&amp;(Convertisseur!$C$15+0.0005)),""),"")</f>
        <v/>
      </c>
      <c r="O156" s="0" t="str">
        <f aca="false">IF(AND(ISNUMBER('Liste outils'!$E$102),Convertisseur!$C$16&gt;0),IF(ABS('Liste outils'!$E$102-Convertisseur!$C$16)&lt;0.0005,COUNTIFS('Liste outils'!$E$6:$E102,"&gt;"&amp;(Convertisseur!$C$16-0.0005),'Liste outils'!$E$6:$E102,"&lt;"&amp;(Convertisseur!$C$16+0.0005)),""),"")</f>
        <v/>
      </c>
      <c r="P156" s="58" t="n">
        <f aca="false">IF(AND(OR('Recherche outils'!$B$5="Tous",'Recherche outils'!$B$5='Liste outils'!$C$102),OR(TRIM('Recherche outils'!$B$4&amp;"")="",ISNUMBER(SEARCH(TRIM('Recherche outils'!$B$4&amp;""),'Liste outils'!$B$102&amp;" "&amp;'Liste outils'!$C$102&amp;" "&amp;'Liste outils'!$J$102&amp;" "&amp;'Liste outils'!$O$102&amp;" "&amp;'Liste outils'!$P$102&amp;" "&amp;'Liste outils'!$Q$102&amp;" "&amp;'Liste outils'!$AA$102&amp;" "&amp;'Liste outils'!$AB$102&amp;" "&amp;'Liste outils'!$AC$102&amp;" "&amp;'Liste outils'!$T$102))),OR(NOT(ISNUMBER(Calcul!$L$11)),AND(ISNUMBER('Liste outils'!$E$102),ABS('Liste outils'!$E$102-IF(ISNUMBER(Calcul!$L$11),Calcul!$L$11,0))&lt;0.002)),OR(NOT(ISNUMBER(Calcul!$O$11)),AND(ISNUMBER('Liste outils'!$H$102),'Liste outils'!$H$102+0.000001&gt;=IF(ISNUMBER(Calcul!$O$11),Calcul!$O$11,0)))),IF(ISNUMBER('Liste outils'!$E$102),'Liste outils'!$E$102,99)*100000+IF(ISNUMBER('Liste outils'!$H$102),'Liste outils'!$H$102,99)*100+97/1000,"")</f>
        <v>159900.097</v>
      </c>
    </row>
    <row r="157" customFormat="false" ht="15" hidden="false" customHeight="false" outlineLevel="0" collapsed="false">
      <c r="M157" s="0" t="str">
        <f aca="false">IF(AND(ISNUMBER('Liste outils'!$E$103),Convertisseur!$C$14&gt;0),IF(ABS('Liste outils'!$E$103-Convertisseur!$C$14)&lt;0.0005,COUNTIFS('Liste outils'!$E$6:$E103,"&gt;"&amp;(Convertisseur!$C$14-0.0005),'Liste outils'!$E$6:$E103,"&lt;"&amp;(Convertisseur!$C$14+0.0005)),""),"")</f>
        <v/>
      </c>
      <c r="N157" s="0" t="str">
        <f aca="false">IF(AND(ISNUMBER('Liste outils'!$E$103),Convertisseur!$C$15&gt;0),IF(ABS('Liste outils'!$E$103-Convertisseur!$C$15)&lt;0.0005,COUNTIFS('Liste outils'!$E$6:$E103,"&gt;"&amp;(Convertisseur!$C$15-0.0005),'Liste outils'!$E$6:$E103,"&lt;"&amp;(Convertisseur!$C$15+0.0005)),""),"")</f>
        <v/>
      </c>
      <c r="O157" s="0" t="str">
        <f aca="false">IF(AND(ISNUMBER('Liste outils'!$E$103),Convertisseur!$C$16&gt;0),IF(ABS('Liste outils'!$E$103-Convertisseur!$C$16)&lt;0.0005,COUNTIFS('Liste outils'!$E$6:$E103,"&gt;"&amp;(Convertisseur!$C$16-0.0005),'Liste outils'!$E$6:$E103,"&lt;"&amp;(Convertisseur!$C$16+0.0005)),""),"")</f>
        <v/>
      </c>
      <c r="P157" s="58" t="n">
        <f aca="false">IF(AND(OR('Recherche outils'!$B$5="Tous",'Recherche outils'!$B$5='Liste outils'!$C$103),OR(TRIM('Recherche outils'!$B$4&amp;"")="",ISNUMBER(SEARCH(TRIM('Recherche outils'!$B$4&amp;""),'Liste outils'!$B$103&amp;" "&amp;'Liste outils'!$C$103&amp;" "&amp;'Liste outils'!$J$103&amp;" "&amp;'Liste outils'!$O$103&amp;" "&amp;'Liste outils'!$P$103&amp;" "&amp;'Liste outils'!$Q$103&amp;" "&amp;'Liste outils'!$AA$103&amp;" "&amp;'Liste outils'!$AB$103&amp;" "&amp;'Liste outils'!$AC$103&amp;" "&amp;'Liste outils'!$T$103))),OR(NOT(ISNUMBER(Calcul!$L$11)),AND(ISNUMBER('Liste outils'!$E$103),ABS('Liste outils'!$E$103-IF(ISNUMBER(Calcul!$L$11),Calcul!$L$11,0))&lt;0.002)),OR(NOT(ISNUMBER(Calcul!$O$11)),AND(ISNUMBER('Liste outils'!$H$103),'Liste outils'!$H$103+0.000001&gt;=IF(ISNUMBER(Calcul!$O$11),Calcul!$O$11,0)))),IF(ISNUMBER('Liste outils'!$E$103),'Liste outils'!$E$103,99)*100000+IF(ISNUMBER('Liste outils'!$H$103),'Liste outils'!$H$103,99)*100+98/1000,"")</f>
        <v>9909900.098</v>
      </c>
    </row>
    <row r="158" customFormat="false" ht="15" hidden="false" customHeight="false" outlineLevel="0" collapsed="false">
      <c r="M158" s="0" t="str">
        <f aca="false">IF(AND(ISNUMBER('Liste outils'!$E$104),Convertisseur!$C$14&gt;0),IF(ABS('Liste outils'!$E$104-Convertisseur!$C$14)&lt;0.0005,COUNTIFS('Liste outils'!$E$6:$E104,"&gt;"&amp;(Convertisseur!$C$14-0.0005),'Liste outils'!$E$6:$E104,"&lt;"&amp;(Convertisseur!$C$14+0.0005)),""),"")</f>
        <v/>
      </c>
      <c r="N158" s="0" t="str">
        <f aca="false">IF(AND(ISNUMBER('Liste outils'!$E$104),Convertisseur!$C$15&gt;0),IF(ABS('Liste outils'!$E$104-Convertisseur!$C$15)&lt;0.0005,COUNTIFS('Liste outils'!$E$6:$E104,"&gt;"&amp;(Convertisseur!$C$15-0.0005),'Liste outils'!$E$6:$E104,"&lt;"&amp;(Convertisseur!$C$15+0.0005)),""),"")</f>
        <v/>
      </c>
      <c r="O158" s="0" t="str">
        <f aca="false">IF(AND(ISNUMBER('Liste outils'!$E$104),Convertisseur!$C$16&gt;0),IF(ABS('Liste outils'!$E$104-Convertisseur!$C$16)&lt;0.0005,COUNTIFS('Liste outils'!$E$6:$E104,"&gt;"&amp;(Convertisseur!$C$16-0.0005),'Liste outils'!$E$6:$E104,"&lt;"&amp;(Convertisseur!$C$16+0.0005)),""),"")</f>
        <v/>
      </c>
      <c r="P158" s="58" t="n">
        <f aca="false">IF(AND(OR('Recherche outils'!$B$5="Tous",'Recherche outils'!$B$5='Liste outils'!$C$104),OR(TRIM('Recherche outils'!$B$4&amp;"")="",ISNUMBER(SEARCH(TRIM('Recherche outils'!$B$4&amp;""),'Liste outils'!$B$104&amp;" "&amp;'Liste outils'!$C$104&amp;" "&amp;'Liste outils'!$J$104&amp;" "&amp;'Liste outils'!$O$104&amp;" "&amp;'Liste outils'!$P$104&amp;" "&amp;'Liste outils'!$Q$104&amp;" "&amp;'Liste outils'!$AA$104&amp;" "&amp;'Liste outils'!$AB$104&amp;" "&amp;'Liste outils'!$AC$104&amp;" "&amp;'Liste outils'!$T$104))),OR(NOT(ISNUMBER(Calcul!$L$11)),AND(ISNUMBER('Liste outils'!$E$104),ABS('Liste outils'!$E$104-IF(ISNUMBER(Calcul!$L$11),Calcul!$L$11,0))&lt;0.002)),OR(NOT(ISNUMBER(Calcul!$O$11)),AND(ISNUMBER('Liste outils'!$H$104),'Liste outils'!$H$104+0.000001&gt;=IF(ISNUMBER(Calcul!$O$11),Calcul!$O$11,0)))),IF(ISNUMBER('Liste outils'!$E$104),'Liste outils'!$E$104,99)*100000+IF(ISNUMBER('Liste outils'!$H$104),'Liste outils'!$H$104,99)*100+99/1000,"")</f>
        <v>9909900.099</v>
      </c>
    </row>
    <row r="159" customFormat="false" ht="15" hidden="false" customHeight="false" outlineLevel="0" collapsed="false">
      <c r="M159" s="0" t="str">
        <f aca="false">IF(AND(ISNUMBER('Liste outils'!$E$105),Convertisseur!$C$14&gt;0),IF(ABS('Liste outils'!$E$105-Convertisseur!$C$14)&lt;0.0005,COUNTIFS('Liste outils'!$E$6:$E105,"&gt;"&amp;(Convertisseur!$C$14-0.0005),'Liste outils'!$E$6:$E105,"&lt;"&amp;(Convertisseur!$C$14+0.0005)),""),"")</f>
        <v/>
      </c>
      <c r="N159" s="0" t="str">
        <f aca="false">IF(AND(ISNUMBER('Liste outils'!$E$105),Convertisseur!$C$15&gt;0),IF(ABS('Liste outils'!$E$105-Convertisseur!$C$15)&lt;0.0005,COUNTIFS('Liste outils'!$E$6:$E105,"&gt;"&amp;(Convertisseur!$C$15-0.0005),'Liste outils'!$E$6:$E105,"&lt;"&amp;(Convertisseur!$C$15+0.0005)),""),"")</f>
        <v/>
      </c>
      <c r="O159" s="0" t="str">
        <f aca="false">IF(AND(ISNUMBER('Liste outils'!$E$105),Convertisseur!$C$16&gt;0),IF(ABS('Liste outils'!$E$105-Convertisseur!$C$16)&lt;0.0005,COUNTIFS('Liste outils'!$E$6:$E105,"&gt;"&amp;(Convertisseur!$C$16-0.0005),'Liste outils'!$E$6:$E105,"&lt;"&amp;(Convertisseur!$C$16+0.0005)),""),"")</f>
        <v/>
      </c>
      <c r="P159" s="58" t="n">
        <f aca="false">IF(AND(OR('Recherche outils'!$B$5="Tous",'Recherche outils'!$B$5='Liste outils'!$C$105),OR(TRIM('Recherche outils'!$B$4&amp;"")="",ISNUMBER(SEARCH(TRIM('Recherche outils'!$B$4&amp;""),'Liste outils'!$B$105&amp;" "&amp;'Liste outils'!$C$105&amp;" "&amp;'Liste outils'!$J$105&amp;" "&amp;'Liste outils'!$O$105&amp;" "&amp;'Liste outils'!$P$105&amp;" "&amp;'Liste outils'!$Q$105&amp;" "&amp;'Liste outils'!$AA$105&amp;" "&amp;'Liste outils'!$AB$105&amp;" "&amp;'Liste outils'!$AC$105&amp;" "&amp;'Liste outils'!$T$105))),OR(NOT(ISNUMBER(Calcul!$L$11)),AND(ISNUMBER('Liste outils'!$E$105),ABS('Liste outils'!$E$105-IF(ISNUMBER(Calcul!$L$11),Calcul!$L$11,0))&lt;0.002)),OR(NOT(ISNUMBER(Calcul!$O$11)),AND(ISNUMBER('Liste outils'!$H$105),'Liste outils'!$H$105+0.000001&gt;=IF(ISNUMBER(Calcul!$O$11),Calcul!$O$11,0)))),IF(ISNUMBER('Liste outils'!$E$105),'Liste outils'!$E$105,99)*100000+IF(ISNUMBER('Liste outils'!$H$105),'Liste outils'!$H$105,99)*100+100/1000,"")</f>
        <v>9909900.1</v>
      </c>
    </row>
    <row r="160" customFormat="false" ht="15" hidden="false" customHeight="false" outlineLevel="0" collapsed="false">
      <c r="M160" s="0" t="str">
        <f aca="false">IF(AND(ISNUMBER('Liste outils'!$E$106),Convertisseur!$C$14&gt;0),IF(ABS('Liste outils'!$E$106-Convertisseur!$C$14)&lt;0.0005,COUNTIFS('Liste outils'!$E$6:$E106,"&gt;"&amp;(Convertisseur!$C$14-0.0005),'Liste outils'!$E$6:$E106,"&lt;"&amp;(Convertisseur!$C$14+0.0005)),""),"")</f>
        <v/>
      </c>
      <c r="N160" s="0" t="str">
        <f aca="false">IF(AND(ISNUMBER('Liste outils'!$E$106),Convertisseur!$C$15&gt;0),IF(ABS('Liste outils'!$E$106-Convertisseur!$C$15)&lt;0.0005,COUNTIFS('Liste outils'!$E$6:$E106,"&gt;"&amp;(Convertisseur!$C$15-0.0005),'Liste outils'!$E$6:$E106,"&lt;"&amp;(Convertisseur!$C$15+0.0005)),""),"")</f>
        <v/>
      </c>
      <c r="O160" s="0" t="str">
        <f aca="false">IF(AND(ISNUMBER('Liste outils'!$E$106),Convertisseur!$C$16&gt;0),IF(ABS('Liste outils'!$E$106-Convertisseur!$C$16)&lt;0.0005,COUNTIFS('Liste outils'!$E$6:$E106,"&gt;"&amp;(Convertisseur!$C$16-0.0005),'Liste outils'!$E$6:$E106,"&lt;"&amp;(Convertisseur!$C$16+0.0005)),""),"")</f>
        <v/>
      </c>
      <c r="P160" s="58" t="n">
        <f aca="false">IF(AND(OR('Recherche outils'!$B$5="Tous",'Recherche outils'!$B$5='Liste outils'!$C$106),OR(TRIM('Recherche outils'!$B$4&amp;"")="",ISNUMBER(SEARCH(TRIM('Recherche outils'!$B$4&amp;""),'Liste outils'!$B$106&amp;" "&amp;'Liste outils'!$C$106&amp;" "&amp;'Liste outils'!$J$106&amp;" "&amp;'Liste outils'!$O$106&amp;" "&amp;'Liste outils'!$P$106&amp;" "&amp;'Liste outils'!$Q$106&amp;" "&amp;'Liste outils'!$AA$106&amp;" "&amp;'Liste outils'!$AB$106&amp;" "&amp;'Liste outils'!$AC$106&amp;" "&amp;'Liste outils'!$T$106))),OR(NOT(ISNUMBER(Calcul!$L$11)),AND(ISNUMBER('Liste outils'!$E$106),ABS('Liste outils'!$E$106-IF(ISNUMBER(Calcul!$L$11),Calcul!$L$11,0))&lt;0.002)),OR(NOT(ISNUMBER(Calcul!$O$11)),AND(ISNUMBER('Liste outils'!$H$106),'Liste outils'!$H$106+0.000001&gt;=IF(ISNUMBER(Calcul!$O$11),Calcul!$O$11,0)))),IF(ISNUMBER('Liste outils'!$E$106),'Liste outils'!$E$106,99)*100000+IF(ISNUMBER('Liste outils'!$H$106),'Liste outils'!$H$106,99)*100+101/1000,"")</f>
        <v>9909900.101</v>
      </c>
    </row>
    <row r="161" customFormat="false" ht="15" hidden="false" customHeight="false" outlineLevel="0" collapsed="false">
      <c r="M161" s="0" t="str">
        <f aca="false">IF(AND(ISNUMBER('Liste outils'!$E$107),Convertisseur!$C$14&gt;0),IF(ABS('Liste outils'!$E$107-Convertisseur!$C$14)&lt;0.0005,COUNTIFS('Liste outils'!$E$6:$E107,"&gt;"&amp;(Convertisseur!$C$14-0.0005),'Liste outils'!$E$6:$E107,"&lt;"&amp;(Convertisseur!$C$14+0.0005)),""),"")</f>
        <v/>
      </c>
      <c r="N161" s="0" t="str">
        <f aca="false">IF(AND(ISNUMBER('Liste outils'!$E$107),Convertisseur!$C$15&gt;0),IF(ABS('Liste outils'!$E$107-Convertisseur!$C$15)&lt;0.0005,COUNTIFS('Liste outils'!$E$6:$E107,"&gt;"&amp;(Convertisseur!$C$15-0.0005),'Liste outils'!$E$6:$E107,"&lt;"&amp;(Convertisseur!$C$15+0.0005)),""),"")</f>
        <v/>
      </c>
      <c r="O161" s="0" t="str">
        <f aca="false">IF(AND(ISNUMBER('Liste outils'!$E$107),Convertisseur!$C$16&gt;0),IF(ABS('Liste outils'!$E$107-Convertisseur!$C$16)&lt;0.0005,COUNTIFS('Liste outils'!$E$6:$E107,"&gt;"&amp;(Convertisseur!$C$16-0.0005),'Liste outils'!$E$6:$E107,"&lt;"&amp;(Convertisseur!$C$16+0.0005)),""),"")</f>
        <v/>
      </c>
      <c r="P161" s="58" t="n">
        <f aca="false">IF(AND(OR('Recherche outils'!$B$5="Tous",'Recherche outils'!$B$5='Liste outils'!$C$107),OR(TRIM('Recherche outils'!$B$4&amp;"")="",ISNUMBER(SEARCH(TRIM('Recherche outils'!$B$4&amp;""),'Liste outils'!$B$107&amp;" "&amp;'Liste outils'!$C$107&amp;" "&amp;'Liste outils'!$J$107&amp;" "&amp;'Liste outils'!$O$107&amp;" "&amp;'Liste outils'!$P$107&amp;" "&amp;'Liste outils'!$Q$107&amp;" "&amp;'Liste outils'!$AA$107&amp;" "&amp;'Liste outils'!$AB$107&amp;" "&amp;'Liste outils'!$AC$107&amp;" "&amp;'Liste outils'!$T$107))),OR(NOT(ISNUMBER(Calcul!$L$11)),AND(ISNUMBER('Liste outils'!$E$107),ABS('Liste outils'!$E$107-IF(ISNUMBER(Calcul!$L$11),Calcul!$L$11,0))&lt;0.002)),OR(NOT(ISNUMBER(Calcul!$O$11)),AND(ISNUMBER('Liste outils'!$H$107),'Liste outils'!$H$107+0.000001&gt;=IF(ISNUMBER(Calcul!$O$11),Calcul!$O$11,0)))),IF(ISNUMBER('Liste outils'!$E$107),'Liste outils'!$E$107,99)*100000+IF(ISNUMBER('Liste outils'!$H$107),'Liste outils'!$H$107,99)*100+102/1000,"")</f>
        <v>9909900.102</v>
      </c>
    </row>
    <row r="162" customFormat="false" ht="15" hidden="false" customHeight="false" outlineLevel="0" collapsed="false">
      <c r="M162" s="0" t="str">
        <f aca="false">IF(AND(ISNUMBER('Liste outils'!$E$108),Convertisseur!$C$14&gt;0),IF(ABS('Liste outils'!$E$108-Convertisseur!$C$14)&lt;0.0005,COUNTIFS('Liste outils'!$E$6:$E108,"&gt;"&amp;(Convertisseur!$C$14-0.0005),'Liste outils'!$E$6:$E108,"&lt;"&amp;(Convertisseur!$C$14+0.0005)),""),"")</f>
        <v/>
      </c>
      <c r="N162" s="0" t="str">
        <f aca="false">IF(AND(ISNUMBER('Liste outils'!$E$108),Convertisseur!$C$15&gt;0),IF(ABS('Liste outils'!$E$108-Convertisseur!$C$15)&lt;0.0005,COUNTIFS('Liste outils'!$E$6:$E108,"&gt;"&amp;(Convertisseur!$C$15-0.0005),'Liste outils'!$E$6:$E108,"&lt;"&amp;(Convertisseur!$C$15+0.0005)),""),"")</f>
        <v/>
      </c>
      <c r="O162" s="0" t="str">
        <f aca="false">IF(AND(ISNUMBER('Liste outils'!$E$108),Convertisseur!$C$16&gt;0),IF(ABS('Liste outils'!$E$108-Convertisseur!$C$16)&lt;0.0005,COUNTIFS('Liste outils'!$E$6:$E108,"&gt;"&amp;(Convertisseur!$C$16-0.0005),'Liste outils'!$E$6:$E108,"&lt;"&amp;(Convertisseur!$C$16+0.0005)),""),"")</f>
        <v/>
      </c>
      <c r="P162" s="58" t="n">
        <f aca="false">IF(AND(OR('Recherche outils'!$B$5="Tous",'Recherche outils'!$B$5='Liste outils'!$C$108),OR(TRIM('Recherche outils'!$B$4&amp;"")="",ISNUMBER(SEARCH(TRIM('Recherche outils'!$B$4&amp;""),'Liste outils'!$B$108&amp;" "&amp;'Liste outils'!$C$108&amp;" "&amp;'Liste outils'!$J$108&amp;" "&amp;'Liste outils'!$O$108&amp;" "&amp;'Liste outils'!$P$108&amp;" "&amp;'Liste outils'!$Q$108&amp;" "&amp;'Liste outils'!$AA$108&amp;" "&amp;'Liste outils'!$AB$108&amp;" "&amp;'Liste outils'!$AC$108&amp;" "&amp;'Liste outils'!$T$108))),OR(NOT(ISNUMBER(Calcul!$L$11)),AND(ISNUMBER('Liste outils'!$E$108),ABS('Liste outils'!$E$108-IF(ISNUMBER(Calcul!$L$11),Calcul!$L$11,0))&lt;0.002)),OR(NOT(ISNUMBER(Calcul!$O$11)),AND(ISNUMBER('Liste outils'!$H$108),'Liste outils'!$H$108+0.000001&gt;=IF(ISNUMBER(Calcul!$O$11),Calcul!$O$11,0)))),IF(ISNUMBER('Liste outils'!$E$108),'Liste outils'!$E$108,99)*100000+IF(ISNUMBER('Liste outils'!$H$108),'Liste outils'!$H$108,99)*100+103/1000,"")</f>
        <v>9909900.103</v>
      </c>
    </row>
    <row r="163" customFormat="false" ht="15" hidden="false" customHeight="false" outlineLevel="0" collapsed="false">
      <c r="M163" s="0" t="str">
        <f aca="false">IF(AND(ISNUMBER('Liste outils'!$E$109),Convertisseur!$C$14&gt;0),IF(ABS('Liste outils'!$E$109-Convertisseur!$C$14)&lt;0.0005,COUNTIFS('Liste outils'!$E$6:$E109,"&gt;"&amp;(Convertisseur!$C$14-0.0005),'Liste outils'!$E$6:$E109,"&lt;"&amp;(Convertisseur!$C$14+0.0005)),""),"")</f>
        <v/>
      </c>
      <c r="N163" s="0" t="str">
        <f aca="false">IF(AND(ISNUMBER('Liste outils'!$E$109),Convertisseur!$C$15&gt;0),IF(ABS('Liste outils'!$E$109-Convertisseur!$C$15)&lt;0.0005,COUNTIFS('Liste outils'!$E$6:$E109,"&gt;"&amp;(Convertisseur!$C$15-0.0005),'Liste outils'!$E$6:$E109,"&lt;"&amp;(Convertisseur!$C$15+0.0005)),""),"")</f>
        <v/>
      </c>
      <c r="O163" s="0" t="str">
        <f aca="false">IF(AND(ISNUMBER('Liste outils'!$E$109),Convertisseur!$C$16&gt;0),IF(ABS('Liste outils'!$E$109-Convertisseur!$C$16)&lt;0.0005,COUNTIFS('Liste outils'!$E$6:$E109,"&gt;"&amp;(Convertisseur!$C$16-0.0005),'Liste outils'!$E$6:$E109,"&lt;"&amp;(Convertisseur!$C$16+0.0005)),""),"")</f>
        <v/>
      </c>
      <c r="P163" s="58" t="n">
        <f aca="false">IF(AND(OR('Recherche outils'!$B$5="Tous",'Recherche outils'!$B$5='Liste outils'!$C$109),OR(TRIM('Recherche outils'!$B$4&amp;"")="",ISNUMBER(SEARCH(TRIM('Recherche outils'!$B$4&amp;""),'Liste outils'!$B$109&amp;" "&amp;'Liste outils'!$C$109&amp;" "&amp;'Liste outils'!$J$109&amp;" "&amp;'Liste outils'!$O$109&amp;" "&amp;'Liste outils'!$P$109&amp;" "&amp;'Liste outils'!$Q$109&amp;" "&amp;'Liste outils'!$AA$109&amp;" "&amp;'Liste outils'!$AB$109&amp;" "&amp;'Liste outils'!$AC$109&amp;" "&amp;'Liste outils'!$T$109))),OR(NOT(ISNUMBER(Calcul!$L$11)),AND(ISNUMBER('Liste outils'!$E$109),ABS('Liste outils'!$E$109-IF(ISNUMBER(Calcul!$L$11),Calcul!$L$11,0))&lt;0.002)),OR(NOT(ISNUMBER(Calcul!$O$11)),AND(ISNUMBER('Liste outils'!$H$109),'Liste outils'!$H$109+0.000001&gt;=IF(ISNUMBER(Calcul!$O$11),Calcul!$O$11,0)))),IF(ISNUMBER('Liste outils'!$E$109),'Liste outils'!$E$109,99)*100000+IF(ISNUMBER('Liste outils'!$H$109),'Liste outils'!$H$109,99)*100+104/1000,"")</f>
        <v>9909900.104</v>
      </c>
    </row>
    <row r="164" customFormat="false" ht="15" hidden="false" customHeight="false" outlineLevel="0" collapsed="false">
      <c r="M164" s="0" t="str">
        <f aca="false">IF(AND(ISNUMBER('Liste outils'!$E$110),Convertisseur!$C$14&gt;0),IF(ABS('Liste outils'!$E$110-Convertisseur!$C$14)&lt;0.0005,COUNTIFS('Liste outils'!$E$6:$E110,"&gt;"&amp;(Convertisseur!$C$14-0.0005),'Liste outils'!$E$6:$E110,"&lt;"&amp;(Convertisseur!$C$14+0.0005)),""),"")</f>
        <v/>
      </c>
      <c r="N164" s="0" t="str">
        <f aca="false">IF(AND(ISNUMBER('Liste outils'!$E$110),Convertisseur!$C$15&gt;0),IF(ABS('Liste outils'!$E$110-Convertisseur!$C$15)&lt;0.0005,COUNTIFS('Liste outils'!$E$6:$E110,"&gt;"&amp;(Convertisseur!$C$15-0.0005),'Liste outils'!$E$6:$E110,"&lt;"&amp;(Convertisseur!$C$15+0.0005)),""),"")</f>
        <v/>
      </c>
      <c r="O164" s="0" t="str">
        <f aca="false">IF(AND(ISNUMBER('Liste outils'!$E$110),Convertisseur!$C$16&gt;0),IF(ABS('Liste outils'!$E$110-Convertisseur!$C$16)&lt;0.0005,COUNTIFS('Liste outils'!$E$6:$E110,"&gt;"&amp;(Convertisseur!$C$16-0.0005),'Liste outils'!$E$6:$E110,"&lt;"&amp;(Convertisseur!$C$16+0.0005)),""),"")</f>
        <v/>
      </c>
      <c r="P164" s="58" t="n">
        <f aca="false">IF(AND(OR('Recherche outils'!$B$5="Tous",'Recherche outils'!$B$5='Liste outils'!$C$110),OR(TRIM('Recherche outils'!$B$4&amp;"")="",ISNUMBER(SEARCH(TRIM('Recherche outils'!$B$4&amp;""),'Liste outils'!$B$110&amp;" "&amp;'Liste outils'!$C$110&amp;" "&amp;'Liste outils'!$J$110&amp;" "&amp;'Liste outils'!$O$110&amp;" "&amp;'Liste outils'!$P$110&amp;" "&amp;'Liste outils'!$Q$110&amp;" "&amp;'Liste outils'!$AA$110&amp;" "&amp;'Liste outils'!$AB$110&amp;" "&amp;'Liste outils'!$AC$110&amp;" "&amp;'Liste outils'!$T$110))),OR(NOT(ISNUMBER(Calcul!$L$11)),AND(ISNUMBER('Liste outils'!$E$110),ABS('Liste outils'!$E$110-IF(ISNUMBER(Calcul!$L$11),Calcul!$L$11,0))&lt;0.002)),OR(NOT(ISNUMBER(Calcul!$O$11)),AND(ISNUMBER('Liste outils'!$H$110),'Liste outils'!$H$110+0.000001&gt;=IF(ISNUMBER(Calcul!$O$11),Calcul!$O$11,0)))),IF(ISNUMBER('Liste outils'!$E$110),'Liste outils'!$E$110,99)*100000+IF(ISNUMBER('Liste outils'!$H$110),'Liste outils'!$H$110,99)*100+105/1000,"")</f>
        <v>203900.105</v>
      </c>
    </row>
    <row r="165" customFormat="false" ht="15" hidden="false" customHeight="false" outlineLevel="0" collapsed="false">
      <c r="M165" s="0" t="str">
        <f aca="false">IF(AND(ISNUMBER('Liste outils'!$E$111),Convertisseur!$C$14&gt;0),IF(ABS('Liste outils'!$E$111-Convertisseur!$C$14)&lt;0.0005,COUNTIFS('Liste outils'!$E$6:$E111,"&gt;"&amp;(Convertisseur!$C$14-0.0005),'Liste outils'!$E$6:$E111,"&lt;"&amp;(Convertisseur!$C$14+0.0005)),""),"")</f>
        <v/>
      </c>
      <c r="N165" s="0" t="str">
        <f aca="false">IF(AND(ISNUMBER('Liste outils'!$E$111),Convertisseur!$C$15&gt;0),IF(ABS('Liste outils'!$E$111-Convertisseur!$C$15)&lt;0.0005,COUNTIFS('Liste outils'!$E$6:$E111,"&gt;"&amp;(Convertisseur!$C$15-0.0005),'Liste outils'!$E$6:$E111,"&lt;"&amp;(Convertisseur!$C$15+0.0005)),""),"")</f>
        <v/>
      </c>
      <c r="O165" s="0" t="str">
        <f aca="false">IF(AND(ISNUMBER('Liste outils'!$E$111),Convertisseur!$C$16&gt;0),IF(ABS('Liste outils'!$E$111-Convertisseur!$C$16)&lt;0.0005,COUNTIFS('Liste outils'!$E$6:$E111,"&gt;"&amp;(Convertisseur!$C$16-0.0005),'Liste outils'!$E$6:$E111,"&lt;"&amp;(Convertisseur!$C$16+0.0005)),""),"")</f>
        <v/>
      </c>
      <c r="P165" s="58" t="n">
        <f aca="false">IF(AND(OR('Recherche outils'!$B$5="Tous",'Recherche outils'!$B$5='Liste outils'!$C$111),OR(TRIM('Recherche outils'!$B$4&amp;"")="",ISNUMBER(SEARCH(TRIM('Recherche outils'!$B$4&amp;""),'Liste outils'!$B$111&amp;" "&amp;'Liste outils'!$C$111&amp;" "&amp;'Liste outils'!$J$111&amp;" "&amp;'Liste outils'!$O$111&amp;" "&amp;'Liste outils'!$P$111&amp;" "&amp;'Liste outils'!$Q$111&amp;" "&amp;'Liste outils'!$AA$111&amp;" "&amp;'Liste outils'!$AB$111&amp;" "&amp;'Liste outils'!$AC$111&amp;" "&amp;'Liste outils'!$T$111))),OR(NOT(ISNUMBER(Calcul!$L$11)),AND(ISNUMBER('Liste outils'!$E$111),ABS('Liste outils'!$E$111-IF(ISNUMBER(Calcul!$L$11),Calcul!$L$11,0))&lt;0.002)),OR(NOT(ISNUMBER(Calcul!$O$11)),AND(ISNUMBER('Liste outils'!$H$111),'Liste outils'!$H$111+0.000001&gt;=IF(ISNUMBER(Calcul!$O$11),Calcul!$O$11,0)))),IF(ISNUMBER('Liste outils'!$E$111),'Liste outils'!$E$111,99)*100000+IF(ISNUMBER('Liste outils'!$H$111),'Liste outils'!$H$111,99)*100+106/1000,"")</f>
        <v>9909900.106</v>
      </c>
    </row>
    <row r="166" customFormat="false" ht="15" hidden="false" customHeight="false" outlineLevel="0" collapsed="false">
      <c r="M166" s="0" t="str">
        <f aca="false">IF(AND(ISNUMBER('Liste outils'!$E$112),Convertisseur!$C$14&gt;0),IF(ABS('Liste outils'!$E$112-Convertisseur!$C$14)&lt;0.0005,COUNTIFS('Liste outils'!$E$6:$E112,"&gt;"&amp;(Convertisseur!$C$14-0.0005),'Liste outils'!$E$6:$E112,"&lt;"&amp;(Convertisseur!$C$14+0.0005)),""),"")</f>
        <v/>
      </c>
      <c r="N166" s="0" t="str">
        <f aca="false">IF(AND(ISNUMBER('Liste outils'!$E$112),Convertisseur!$C$15&gt;0),IF(ABS('Liste outils'!$E$112-Convertisseur!$C$15)&lt;0.0005,COUNTIFS('Liste outils'!$E$6:$E112,"&gt;"&amp;(Convertisseur!$C$15-0.0005),'Liste outils'!$E$6:$E112,"&lt;"&amp;(Convertisseur!$C$15+0.0005)),""),"")</f>
        <v/>
      </c>
      <c r="O166" s="0" t="str">
        <f aca="false">IF(AND(ISNUMBER('Liste outils'!$E$112),Convertisseur!$C$16&gt;0),IF(ABS('Liste outils'!$E$112-Convertisseur!$C$16)&lt;0.0005,COUNTIFS('Liste outils'!$E$6:$E112,"&gt;"&amp;(Convertisseur!$C$16-0.0005),'Liste outils'!$E$6:$E112,"&lt;"&amp;(Convertisseur!$C$16+0.0005)),""),"")</f>
        <v/>
      </c>
      <c r="P166" s="58" t="n">
        <f aca="false">IF(AND(OR('Recherche outils'!$B$5="Tous",'Recherche outils'!$B$5='Liste outils'!$C$112),OR(TRIM('Recherche outils'!$B$4&amp;"")="",ISNUMBER(SEARCH(TRIM('Recherche outils'!$B$4&amp;""),'Liste outils'!$B$112&amp;" "&amp;'Liste outils'!$C$112&amp;" "&amp;'Liste outils'!$J$112&amp;" "&amp;'Liste outils'!$O$112&amp;" "&amp;'Liste outils'!$P$112&amp;" "&amp;'Liste outils'!$Q$112&amp;" "&amp;'Liste outils'!$AA$112&amp;" "&amp;'Liste outils'!$AB$112&amp;" "&amp;'Liste outils'!$AC$112&amp;" "&amp;'Liste outils'!$T$112))),OR(NOT(ISNUMBER(Calcul!$L$11)),AND(ISNUMBER('Liste outils'!$E$112),ABS('Liste outils'!$E$112-IF(ISNUMBER(Calcul!$L$11),Calcul!$L$11,0))&lt;0.002)),OR(NOT(ISNUMBER(Calcul!$O$11)),AND(ISNUMBER('Liste outils'!$H$112),'Liste outils'!$H$112+0.000001&gt;=IF(ISNUMBER(Calcul!$O$11),Calcul!$O$11,0)))),IF(ISNUMBER('Liste outils'!$E$112),'Liste outils'!$E$112,99)*100000+IF(ISNUMBER('Liste outils'!$H$112),'Liste outils'!$H$112,99)*100+107/1000,"")</f>
        <v>9909900.107</v>
      </c>
    </row>
    <row r="167" customFormat="false" ht="15" hidden="false" customHeight="false" outlineLevel="0" collapsed="false">
      <c r="M167" s="0" t="str">
        <f aca="false">IF(AND(ISNUMBER('Liste outils'!$E$113),Convertisseur!$C$14&gt;0),IF(ABS('Liste outils'!$E$113-Convertisseur!$C$14)&lt;0.0005,COUNTIFS('Liste outils'!$E$6:$E113,"&gt;"&amp;(Convertisseur!$C$14-0.0005),'Liste outils'!$E$6:$E113,"&lt;"&amp;(Convertisseur!$C$14+0.0005)),""),"")</f>
        <v/>
      </c>
      <c r="N167" s="0" t="str">
        <f aca="false">IF(AND(ISNUMBER('Liste outils'!$E$113),Convertisseur!$C$15&gt;0),IF(ABS('Liste outils'!$E$113-Convertisseur!$C$15)&lt;0.0005,COUNTIFS('Liste outils'!$E$6:$E113,"&gt;"&amp;(Convertisseur!$C$15-0.0005),'Liste outils'!$E$6:$E113,"&lt;"&amp;(Convertisseur!$C$15+0.0005)),""),"")</f>
        <v/>
      </c>
      <c r="O167" s="0" t="str">
        <f aca="false">IF(AND(ISNUMBER('Liste outils'!$E$113),Convertisseur!$C$16&gt;0),IF(ABS('Liste outils'!$E$113-Convertisseur!$C$16)&lt;0.0005,COUNTIFS('Liste outils'!$E$6:$E113,"&gt;"&amp;(Convertisseur!$C$16-0.0005),'Liste outils'!$E$6:$E113,"&lt;"&amp;(Convertisseur!$C$16+0.0005)),""),"")</f>
        <v/>
      </c>
      <c r="P167" s="58" t="n">
        <f aca="false">IF(AND(OR('Recherche outils'!$B$5="Tous",'Recherche outils'!$B$5='Liste outils'!$C$113),OR(TRIM('Recherche outils'!$B$4&amp;"")="",ISNUMBER(SEARCH(TRIM('Recherche outils'!$B$4&amp;""),'Liste outils'!$B$113&amp;" "&amp;'Liste outils'!$C$113&amp;" "&amp;'Liste outils'!$J$113&amp;" "&amp;'Liste outils'!$O$113&amp;" "&amp;'Liste outils'!$P$113&amp;" "&amp;'Liste outils'!$Q$113&amp;" "&amp;'Liste outils'!$AA$113&amp;" "&amp;'Liste outils'!$AB$113&amp;" "&amp;'Liste outils'!$AC$113&amp;" "&amp;'Liste outils'!$T$113))),OR(NOT(ISNUMBER(Calcul!$L$11)),AND(ISNUMBER('Liste outils'!$E$113),ABS('Liste outils'!$E$113-IF(ISNUMBER(Calcul!$L$11),Calcul!$L$11,0))&lt;0.002)),OR(NOT(ISNUMBER(Calcul!$O$11)),AND(ISNUMBER('Liste outils'!$H$113),'Liste outils'!$H$113+0.000001&gt;=IF(ISNUMBER(Calcul!$O$11),Calcul!$O$11,0)))),IF(ISNUMBER('Liste outils'!$E$113),'Liste outils'!$E$113,99)*100000+IF(ISNUMBER('Liste outils'!$H$113),'Liste outils'!$H$113,99)*100+108/1000,"")</f>
        <v>9909900.108</v>
      </c>
    </row>
    <row r="168" customFormat="false" ht="15" hidden="false" customHeight="false" outlineLevel="0" collapsed="false">
      <c r="M168" s="0" t="str">
        <f aca="false">IF(AND(ISNUMBER('Liste outils'!$E$114),Convertisseur!$C$14&gt;0),IF(ABS('Liste outils'!$E$114-Convertisseur!$C$14)&lt;0.0005,COUNTIFS('Liste outils'!$E$6:$E114,"&gt;"&amp;(Convertisseur!$C$14-0.0005),'Liste outils'!$E$6:$E114,"&lt;"&amp;(Convertisseur!$C$14+0.0005)),""),"")</f>
        <v/>
      </c>
      <c r="N168" s="0" t="str">
        <f aca="false">IF(AND(ISNUMBER('Liste outils'!$E$114),Convertisseur!$C$15&gt;0),IF(ABS('Liste outils'!$E$114-Convertisseur!$C$15)&lt;0.0005,COUNTIFS('Liste outils'!$E$6:$E114,"&gt;"&amp;(Convertisseur!$C$15-0.0005),'Liste outils'!$E$6:$E114,"&lt;"&amp;(Convertisseur!$C$15+0.0005)),""),"")</f>
        <v/>
      </c>
      <c r="O168" s="0" t="str">
        <f aca="false">IF(AND(ISNUMBER('Liste outils'!$E$114),Convertisseur!$C$16&gt;0),IF(ABS('Liste outils'!$E$114-Convertisseur!$C$16)&lt;0.0005,COUNTIFS('Liste outils'!$E$6:$E114,"&gt;"&amp;(Convertisseur!$C$16-0.0005),'Liste outils'!$E$6:$E114,"&lt;"&amp;(Convertisseur!$C$16+0.0005)),""),"")</f>
        <v/>
      </c>
      <c r="P168" s="58" t="n">
        <f aca="false">IF(AND(OR('Recherche outils'!$B$5="Tous",'Recherche outils'!$B$5='Liste outils'!$C$114),OR(TRIM('Recherche outils'!$B$4&amp;"")="",ISNUMBER(SEARCH(TRIM('Recherche outils'!$B$4&amp;""),'Liste outils'!$B$114&amp;" "&amp;'Liste outils'!$C$114&amp;" "&amp;'Liste outils'!$J$114&amp;" "&amp;'Liste outils'!$O$114&amp;" "&amp;'Liste outils'!$P$114&amp;" "&amp;'Liste outils'!$Q$114&amp;" "&amp;'Liste outils'!$AA$114&amp;" "&amp;'Liste outils'!$AB$114&amp;" "&amp;'Liste outils'!$AC$114&amp;" "&amp;'Liste outils'!$T$114))),OR(NOT(ISNUMBER(Calcul!$L$11)),AND(ISNUMBER('Liste outils'!$E$114),ABS('Liste outils'!$E$114-IF(ISNUMBER(Calcul!$L$11),Calcul!$L$11,0))&lt;0.002)),OR(NOT(ISNUMBER(Calcul!$O$11)),AND(ISNUMBER('Liste outils'!$H$114),'Liste outils'!$H$114+0.000001&gt;=IF(ISNUMBER(Calcul!$O$11),Calcul!$O$11,0)))),IF(ISNUMBER('Liste outils'!$E$114),'Liste outils'!$E$114,99)*100000+IF(ISNUMBER('Liste outils'!$H$114),'Liste outils'!$H$114,99)*100+109/1000,"")</f>
        <v>9909900.109</v>
      </c>
    </row>
    <row r="169" customFormat="false" ht="15" hidden="false" customHeight="false" outlineLevel="0" collapsed="false">
      <c r="M169" s="0" t="str">
        <f aca="false">IF(AND(ISNUMBER('Liste outils'!$E$115),Convertisseur!$C$14&gt;0),IF(ABS('Liste outils'!$E$115-Convertisseur!$C$14)&lt;0.0005,COUNTIFS('Liste outils'!$E$6:$E115,"&gt;"&amp;(Convertisseur!$C$14-0.0005),'Liste outils'!$E$6:$E115,"&lt;"&amp;(Convertisseur!$C$14+0.0005)),""),"")</f>
        <v/>
      </c>
      <c r="N169" s="0" t="str">
        <f aca="false">IF(AND(ISNUMBER('Liste outils'!$E$115),Convertisseur!$C$15&gt;0),IF(ABS('Liste outils'!$E$115-Convertisseur!$C$15)&lt;0.0005,COUNTIFS('Liste outils'!$E$6:$E115,"&gt;"&amp;(Convertisseur!$C$15-0.0005),'Liste outils'!$E$6:$E115,"&lt;"&amp;(Convertisseur!$C$15+0.0005)),""),"")</f>
        <v/>
      </c>
      <c r="O169" s="0" t="str">
        <f aca="false">IF(AND(ISNUMBER('Liste outils'!$E$115),Convertisseur!$C$16&gt;0),IF(ABS('Liste outils'!$E$115-Convertisseur!$C$16)&lt;0.0005,COUNTIFS('Liste outils'!$E$6:$E115,"&gt;"&amp;(Convertisseur!$C$16-0.0005),'Liste outils'!$E$6:$E115,"&lt;"&amp;(Convertisseur!$C$16+0.0005)),""),"")</f>
        <v/>
      </c>
      <c r="P169" s="58" t="n">
        <f aca="false">IF(AND(OR('Recherche outils'!$B$5="Tous",'Recherche outils'!$B$5='Liste outils'!$C$115),OR(TRIM('Recherche outils'!$B$4&amp;"")="",ISNUMBER(SEARCH(TRIM('Recherche outils'!$B$4&amp;""),'Liste outils'!$B$115&amp;" "&amp;'Liste outils'!$C$115&amp;" "&amp;'Liste outils'!$J$115&amp;" "&amp;'Liste outils'!$O$115&amp;" "&amp;'Liste outils'!$P$115&amp;" "&amp;'Liste outils'!$Q$115&amp;" "&amp;'Liste outils'!$AA$115&amp;" "&amp;'Liste outils'!$AB$115&amp;" "&amp;'Liste outils'!$AC$115&amp;" "&amp;'Liste outils'!$T$115))),OR(NOT(ISNUMBER(Calcul!$L$11)),AND(ISNUMBER('Liste outils'!$E$115),ABS('Liste outils'!$E$115-IF(ISNUMBER(Calcul!$L$11),Calcul!$L$11,0))&lt;0.002)),OR(NOT(ISNUMBER(Calcul!$O$11)),AND(ISNUMBER('Liste outils'!$H$115),'Liste outils'!$H$115+0.000001&gt;=IF(ISNUMBER(Calcul!$O$11),Calcul!$O$11,0)))),IF(ISNUMBER('Liste outils'!$E$115),'Liste outils'!$E$115,99)*100000+IF(ISNUMBER('Liste outils'!$H$115),'Liste outils'!$H$115,99)*100+110/1000,"")</f>
        <v>9909900.11</v>
      </c>
    </row>
    <row r="170" customFormat="false" ht="15" hidden="false" customHeight="false" outlineLevel="0" collapsed="false">
      <c r="M170" s="0" t="str">
        <f aca="false">IF(AND(ISNUMBER('Liste outils'!$E$116),Convertisseur!$C$14&gt;0),IF(ABS('Liste outils'!$E$116-Convertisseur!$C$14)&lt;0.0005,COUNTIFS('Liste outils'!$E$6:$E116,"&gt;"&amp;(Convertisseur!$C$14-0.0005),'Liste outils'!$E$6:$E116,"&lt;"&amp;(Convertisseur!$C$14+0.0005)),""),"")</f>
        <v/>
      </c>
      <c r="N170" s="0" t="str">
        <f aca="false">IF(AND(ISNUMBER('Liste outils'!$E$116),Convertisseur!$C$15&gt;0),IF(ABS('Liste outils'!$E$116-Convertisseur!$C$15)&lt;0.0005,COUNTIFS('Liste outils'!$E$6:$E116,"&gt;"&amp;(Convertisseur!$C$15-0.0005),'Liste outils'!$E$6:$E116,"&lt;"&amp;(Convertisseur!$C$15+0.0005)),""),"")</f>
        <v/>
      </c>
      <c r="O170" s="0" t="str">
        <f aca="false">IF(AND(ISNUMBER('Liste outils'!$E$116),Convertisseur!$C$16&gt;0),IF(ABS('Liste outils'!$E$116-Convertisseur!$C$16)&lt;0.0005,COUNTIFS('Liste outils'!$E$6:$E116,"&gt;"&amp;(Convertisseur!$C$16-0.0005),'Liste outils'!$E$6:$E116,"&lt;"&amp;(Convertisseur!$C$16+0.0005)),""),"")</f>
        <v/>
      </c>
      <c r="P170" s="58" t="n">
        <f aca="false">IF(AND(OR('Recherche outils'!$B$5="Tous",'Recherche outils'!$B$5='Liste outils'!$C$116),OR(TRIM('Recherche outils'!$B$4&amp;"")="",ISNUMBER(SEARCH(TRIM('Recherche outils'!$B$4&amp;""),'Liste outils'!$B$116&amp;" "&amp;'Liste outils'!$C$116&amp;" "&amp;'Liste outils'!$J$116&amp;" "&amp;'Liste outils'!$O$116&amp;" "&amp;'Liste outils'!$P$116&amp;" "&amp;'Liste outils'!$Q$116&amp;" "&amp;'Liste outils'!$AA$116&amp;" "&amp;'Liste outils'!$AB$116&amp;" "&amp;'Liste outils'!$AC$116&amp;" "&amp;'Liste outils'!$T$116))),OR(NOT(ISNUMBER(Calcul!$L$11)),AND(ISNUMBER('Liste outils'!$E$116),ABS('Liste outils'!$E$116-IF(ISNUMBER(Calcul!$L$11),Calcul!$L$11,0))&lt;0.002)),OR(NOT(ISNUMBER(Calcul!$O$11)),AND(ISNUMBER('Liste outils'!$H$116),'Liste outils'!$H$116+0.000001&gt;=IF(ISNUMBER(Calcul!$O$11),Calcul!$O$11,0)))),IF(ISNUMBER('Liste outils'!$E$116),'Liste outils'!$E$116,99)*100000+IF(ISNUMBER('Liste outils'!$H$116),'Liste outils'!$H$116,99)*100+111/1000,"")</f>
        <v>9909900.111</v>
      </c>
    </row>
    <row r="171" customFormat="false" ht="15" hidden="false" customHeight="false" outlineLevel="0" collapsed="false">
      <c r="M171" s="0" t="str">
        <f aca="false">IF(AND(ISNUMBER('Liste outils'!$E$117),Convertisseur!$C$14&gt;0),IF(ABS('Liste outils'!$E$117-Convertisseur!$C$14)&lt;0.0005,COUNTIFS('Liste outils'!$E$6:$E117,"&gt;"&amp;(Convertisseur!$C$14-0.0005),'Liste outils'!$E$6:$E117,"&lt;"&amp;(Convertisseur!$C$14+0.0005)),""),"")</f>
        <v/>
      </c>
      <c r="N171" s="0" t="str">
        <f aca="false">IF(AND(ISNUMBER('Liste outils'!$E$117),Convertisseur!$C$15&gt;0),IF(ABS('Liste outils'!$E$117-Convertisseur!$C$15)&lt;0.0005,COUNTIFS('Liste outils'!$E$6:$E117,"&gt;"&amp;(Convertisseur!$C$15-0.0005),'Liste outils'!$E$6:$E117,"&lt;"&amp;(Convertisseur!$C$15+0.0005)),""),"")</f>
        <v/>
      </c>
      <c r="O171" s="0" t="str">
        <f aca="false">IF(AND(ISNUMBER('Liste outils'!$E$117),Convertisseur!$C$16&gt;0),IF(ABS('Liste outils'!$E$117-Convertisseur!$C$16)&lt;0.0005,COUNTIFS('Liste outils'!$E$6:$E117,"&gt;"&amp;(Convertisseur!$C$16-0.0005),'Liste outils'!$E$6:$E117,"&lt;"&amp;(Convertisseur!$C$16+0.0005)),""),"")</f>
        <v/>
      </c>
      <c r="P171" s="58" t="n">
        <f aca="false">IF(AND(OR('Recherche outils'!$B$5="Tous",'Recherche outils'!$B$5='Liste outils'!$C$117),OR(TRIM('Recherche outils'!$B$4&amp;"")="",ISNUMBER(SEARCH(TRIM('Recherche outils'!$B$4&amp;""),'Liste outils'!$B$117&amp;" "&amp;'Liste outils'!$C$117&amp;" "&amp;'Liste outils'!$J$117&amp;" "&amp;'Liste outils'!$O$117&amp;" "&amp;'Liste outils'!$P$117&amp;" "&amp;'Liste outils'!$Q$117&amp;" "&amp;'Liste outils'!$AA$117&amp;" "&amp;'Liste outils'!$AB$117&amp;" "&amp;'Liste outils'!$AC$117&amp;" "&amp;'Liste outils'!$T$117))),OR(NOT(ISNUMBER(Calcul!$L$11)),AND(ISNUMBER('Liste outils'!$E$117),ABS('Liste outils'!$E$117-IF(ISNUMBER(Calcul!$L$11),Calcul!$L$11,0))&lt;0.002)),OR(NOT(ISNUMBER(Calcul!$O$11)),AND(ISNUMBER('Liste outils'!$H$117),'Liste outils'!$H$117+0.000001&gt;=IF(ISNUMBER(Calcul!$O$11),Calcul!$O$11,0)))),IF(ISNUMBER('Liste outils'!$E$117),'Liste outils'!$E$117,99)*100000+IF(ISNUMBER('Liste outils'!$H$117),'Liste outils'!$H$117,99)*100+112/1000,"")</f>
        <v>9909900.112</v>
      </c>
    </row>
    <row r="172" customFormat="false" ht="15" hidden="false" customHeight="false" outlineLevel="0" collapsed="false">
      <c r="M172" s="0" t="str">
        <f aca="false">IF(AND(ISNUMBER('Liste outils'!$E$118),Convertisseur!$C$14&gt;0),IF(ABS('Liste outils'!$E$118-Convertisseur!$C$14)&lt;0.0005,COUNTIFS('Liste outils'!$E$6:$E118,"&gt;"&amp;(Convertisseur!$C$14-0.0005),'Liste outils'!$E$6:$E118,"&lt;"&amp;(Convertisseur!$C$14+0.0005)),""),"")</f>
        <v/>
      </c>
      <c r="N172" s="0" t="str">
        <f aca="false">IF(AND(ISNUMBER('Liste outils'!$E$118),Convertisseur!$C$15&gt;0),IF(ABS('Liste outils'!$E$118-Convertisseur!$C$15)&lt;0.0005,COUNTIFS('Liste outils'!$E$6:$E118,"&gt;"&amp;(Convertisseur!$C$15-0.0005),'Liste outils'!$E$6:$E118,"&lt;"&amp;(Convertisseur!$C$15+0.0005)),""),"")</f>
        <v/>
      </c>
      <c r="O172" s="0" t="str">
        <f aca="false">IF(AND(ISNUMBER('Liste outils'!$E$118),Convertisseur!$C$16&gt;0),IF(ABS('Liste outils'!$E$118-Convertisseur!$C$16)&lt;0.0005,COUNTIFS('Liste outils'!$E$6:$E118,"&gt;"&amp;(Convertisseur!$C$16-0.0005),'Liste outils'!$E$6:$E118,"&lt;"&amp;(Convertisseur!$C$16+0.0005)),""),"")</f>
        <v/>
      </c>
      <c r="P172" s="58" t="n">
        <f aca="false">IF(AND(OR('Recherche outils'!$B$5="Tous",'Recherche outils'!$B$5='Liste outils'!$C$118),OR(TRIM('Recherche outils'!$B$4&amp;"")="",ISNUMBER(SEARCH(TRIM('Recherche outils'!$B$4&amp;""),'Liste outils'!$B$118&amp;" "&amp;'Liste outils'!$C$118&amp;" "&amp;'Liste outils'!$J$118&amp;" "&amp;'Liste outils'!$O$118&amp;" "&amp;'Liste outils'!$P$118&amp;" "&amp;'Liste outils'!$Q$118&amp;" "&amp;'Liste outils'!$AA$118&amp;" "&amp;'Liste outils'!$AB$118&amp;" "&amp;'Liste outils'!$AC$118&amp;" "&amp;'Liste outils'!$T$118))),OR(NOT(ISNUMBER(Calcul!$L$11)),AND(ISNUMBER('Liste outils'!$E$118),ABS('Liste outils'!$E$118-IF(ISNUMBER(Calcul!$L$11),Calcul!$L$11,0))&lt;0.002)),OR(NOT(ISNUMBER(Calcul!$O$11)),AND(ISNUMBER('Liste outils'!$H$118),'Liste outils'!$H$118+0.000001&gt;=IF(ISNUMBER(Calcul!$O$11),Calcul!$O$11,0)))),IF(ISNUMBER('Liste outils'!$E$118),'Liste outils'!$E$118,99)*100000+IF(ISNUMBER('Liste outils'!$H$118),'Liste outils'!$H$118,99)*100+113/1000,"")</f>
        <v>9909900.113</v>
      </c>
    </row>
    <row r="173" customFormat="false" ht="15" hidden="false" customHeight="false" outlineLevel="0" collapsed="false">
      <c r="M173" s="0" t="str">
        <f aca="false">IF(AND(ISNUMBER('Liste outils'!$E$119),Convertisseur!$C$14&gt;0),IF(ABS('Liste outils'!$E$119-Convertisseur!$C$14)&lt;0.0005,COUNTIFS('Liste outils'!$E$6:$E119,"&gt;"&amp;(Convertisseur!$C$14-0.0005),'Liste outils'!$E$6:$E119,"&lt;"&amp;(Convertisseur!$C$14+0.0005)),""),"")</f>
        <v/>
      </c>
      <c r="N173" s="0" t="str">
        <f aca="false">IF(AND(ISNUMBER('Liste outils'!$E$119),Convertisseur!$C$15&gt;0),IF(ABS('Liste outils'!$E$119-Convertisseur!$C$15)&lt;0.0005,COUNTIFS('Liste outils'!$E$6:$E119,"&gt;"&amp;(Convertisseur!$C$15-0.0005),'Liste outils'!$E$6:$E119,"&lt;"&amp;(Convertisseur!$C$15+0.0005)),""),"")</f>
        <v/>
      </c>
      <c r="O173" s="0" t="str">
        <f aca="false">IF(AND(ISNUMBER('Liste outils'!$E$119),Convertisseur!$C$16&gt;0),IF(ABS('Liste outils'!$E$119-Convertisseur!$C$16)&lt;0.0005,COUNTIFS('Liste outils'!$E$6:$E119,"&gt;"&amp;(Convertisseur!$C$16-0.0005),'Liste outils'!$E$6:$E119,"&lt;"&amp;(Convertisseur!$C$16+0.0005)),""),"")</f>
        <v/>
      </c>
      <c r="P173" s="58" t="n">
        <f aca="false">IF(AND(OR('Recherche outils'!$B$5="Tous",'Recherche outils'!$B$5='Liste outils'!$C$119),OR(TRIM('Recherche outils'!$B$4&amp;"")="",ISNUMBER(SEARCH(TRIM('Recherche outils'!$B$4&amp;""),'Liste outils'!$B$119&amp;" "&amp;'Liste outils'!$C$119&amp;" "&amp;'Liste outils'!$J$119&amp;" "&amp;'Liste outils'!$O$119&amp;" "&amp;'Liste outils'!$P$119&amp;" "&amp;'Liste outils'!$Q$119&amp;" "&amp;'Liste outils'!$AA$119&amp;" "&amp;'Liste outils'!$AB$119&amp;" "&amp;'Liste outils'!$AC$119&amp;" "&amp;'Liste outils'!$T$119))),OR(NOT(ISNUMBER(Calcul!$L$11)),AND(ISNUMBER('Liste outils'!$E$119),ABS('Liste outils'!$E$119-IF(ISNUMBER(Calcul!$L$11),Calcul!$L$11,0))&lt;0.002)),OR(NOT(ISNUMBER(Calcul!$O$11)),AND(ISNUMBER('Liste outils'!$H$119),'Liste outils'!$H$119+0.000001&gt;=IF(ISNUMBER(Calcul!$O$11),Calcul!$O$11,0)))),IF(ISNUMBER('Liste outils'!$E$119),'Liste outils'!$E$119,99)*100000+IF(ISNUMBER('Liste outils'!$H$119),'Liste outils'!$H$119,99)*100+114/1000,"")</f>
        <v>9909900.114</v>
      </c>
    </row>
    <row r="174" customFormat="false" ht="15" hidden="false" customHeight="false" outlineLevel="0" collapsed="false">
      <c r="M174" s="0" t="str">
        <f aca="false">IF(AND(ISNUMBER('Liste outils'!$E$120),Convertisseur!$C$14&gt;0),IF(ABS('Liste outils'!$E$120-Convertisseur!$C$14)&lt;0.0005,COUNTIFS('Liste outils'!$E$6:$E120,"&gt;"&amp;(Convertisseur!$C$14-0.0005),'Liste outils'!$E$6:$E120,"&lt;"&amp;(Convertisseur!$C$14+0.0005)),""),"")</f>
        <v/>
      </c>
      <c r="N174" s="0" t="str">
        <f aca="false">IF(AND(ISNUMBER('Liste outils'!$E$120),Convertisseur!$C$15&gt;0),IF(ABS('Liste outils'!$E$120-Convertisseur!$C$15)&lt;0.0005,COUNTIFS('Liste outils'!$E$6:$E120,"&gt;"&amp;(Convertisseur!$C$15-0.0005),'Liste outils'!$E$6:$E120,"&lt;"&amp;(Convertisseur!$C$15+0.0005)),""),"")</f>
        <v/>
      </c>
      <c r="O174" s="0" t="str">
        <f aca="false">IF(AND(ISNUMBER('Liste outils'!$E$120),Convertisseur!$C$16&gt;0),IF(ABS('Liste outils'!$E$120-Convertisseur!$C$16)&lt;0.0005,COUNTIFS('Liste outils'!$E$6:$E120,"&gt;"&amp;(Convertisseur!$C$16-0.0005),'Liste outils'!$E$6:$E120,"&lt;"&amp;(Convertisseur!$C$16+0.0005)),""),"")</f>
        <v/>
      </c>
      <c r="P174" s="58" t="n">
        <f aca="false">IF(AND(OR('Recherche outils'!$B$5="Tous",'Recherche outils'!$B$5='Liste outils'!$C$120),OR(TRIM('Recherche outils'!$B$4&amp;"")="",ISNUMBER(SEARCH(TRIM('Recherche outils'!$B$4&amp;""),'Liste outils'!$B$120&amp;" "&amp;'Liste outils'!$C$120&amp;" "&amp;'Liste outils'!$J$120&amp;" "&amp;'Liste outils'!$O$120&amp;" "&amp;'Liste outils'!$P$120&amp;" "&amp;'Liste outils'!$Q$120&amp;" "&amp;'Liste outils'!$AA$120&amp;" "&amp;'Liste outils'!$AB$120&amp;" "&amp;'Liste outils'!$AC$120&amp;" "&amp;'Liste outils'!$T$120))),OR(NOT(ISNUMBER(Calcul!$L$11)),AND(ISNUMBER('Liste outils'!$E$120),ABS('Liste outils'!$E$120-IF(ISNUMBER(Calcul!$L$11),Calcul!$L$11,0))&lt;0.002)),OR(NOT(ISNUMBER(Calcul!$O$11)),AND(ISNUMBER('Liste outils'!$H$120),'Liste outils'!$H$120+0.000001&gt;=IF(ISNUMBER(Calcul!$O$11),Calcul!$O$11,0)))),IF(ISNUMBER('Liste outils'!$E$120),'Liste outils'!$E$120,99)*100000+IF(ISNUMBER('Liste outils'!$H$120),'Liste outils'!$H$120,99)*100+115/1000,"")</f>
        <v>9909900.115</v>
      </c>
    </row>
    <row r="175" customFormat="false" ht="15" hidden="false" customHeight="false" outlineLevel="0" collapsed="false">
      <c r="M175" s="0" t="str">
        <f aca="false">IF(AND(ISNUMBER('Liste outils'!$E$121),Convertisseur!$C$14&gt;0),IF(ABS('Liste outils'!$E$121-Convertisseur!$C$14)&lt;0.0005,COUNTIFS('Liste outils'!$E$6:$E121,"&gt;"&amp;(Convertisseur!$C$14-0.0005),'Liste outils'!$E$6:$E121,"&lt;"&amp;(Convertisseur!$C$14+0.0005)),""),"")</f>
        <v/>
      </c>
      <c r="N175" s="0" t="str">
        <f aca="false">IF(AND(ISNUMBER('Liste outils'!$E$121),Convertisseur!$C$15&gt;0),IF(ABS('Liste outils'!$E$121-Convertisseur!$C$15)&lt;0.0005,COUNTIFS('Liste outils'!$E$6:$E121,"&gt;"&amp;(Convertisseur!$C$15-0.0005),'Liste outils'!$E$6:$E121,"&lt;"&amp;(Convertisseur!$C$15+0.0005)),""),"")</f>
        <v/>
      </c>
      <c r="O175" s="0" t="str">
        <f aca="false">IF(AND(ISNUMBER('Liste outils'!$E$121),Convertisseur!$C$16&gt;0),IF(ABS('Liste outils'!$E$121-Convertisseur!$C$16)&lt;0.0005,COUNTIFS('Liste outils'!$E$6:$E121,"&gt;"&amp;(Convertisseur!$C$16-0.0005),'Liste outils'!$E$6:$E121,"&lt;"&amp;(Convertisseur!$C$16+0.0005)),""),"")</f>
        <v/>
      </c>
      <c r="P175" s="58" t="n">
        <f aca="false">IF(AND(OR('Recherche outils'!$B$5="Tous",'Recherche outils'!$B$5='Liste outils'!$C$121),OR(TRIM('Recherche outils'!$B$4&amp;"")="",ISNUMBER(SEARCH(TRIM('Recherche outils'!$B$4&amp;""),'Liste outils'!$B$121&amp;" "&amp;'Liste outils'!$C$121&amp;" "&amp;'Liste outils'!$J$121&amp;" "&amp;'Liste outils'!$O$121&amp;" "&amp;'Liste outils'!$P$121&amp;" "&amp;'Liste outils'!$Q$121&amp;" "&amp;'Liste outils'!$AA$121&amp;" "&amp;'Liste outils'!$AB$121&amp;" "&amp;'Liste outils'!$AC$121&amp;" "&amp;'Liste outils'!$T$121))),OR(NOT(ISNUMBER(Calcul!$L$11)),AND(ISNUMBER('Liste outils'!$E$121),ABS('Liste outils'!$E$121-IF(ISNUMBER(Calcul!$L$11),Calcul!$L$11,0))&lt;0.002)),OR(NOT(ISNUMBER(Calcul!$O$11)),AND(ISNUMBER('Liste outils'!$H$121),'Liste outils'!$H$121+0.000001&gt;=IF(ISNUMBER(Calcul!$O$11),Calcul!$O$11,0)))),IF(ISNUMBER('Liste outils'!$E$121),'Liste outils'!$E$121,99)*100000+IF(ISNUMBER('Liste outils'!$H$121),'Liste outils'!$H$121,99)*100+116/1000,"")</f>
        <v>9909900.116</v>
      </c>
    </row>
    <row r="176" customFormat="false" ht="15" hidden="false" customHeight="false" outlineLevel="0" collapsed="false">
      <c r="M176" s="0" t="str">
        <f aca="false">IF(AND(ISNUMBER('Liste outils'!$E$122),Convertisseur!$C$14&gt;0),IF(ABS('Liste outils'!$E$122-Convertisseur!$C$14)&lt;0.0005,COUNTIFS('Liste outils'!$E$6:$E122,"&gt;"&amp;(Convertisseur!$C$14-0.0005),'Liste outils'!$E$6:$E122,"&lt;"&amp;(Convertisseur!$C$14+0.0005)),""),"")</f>
        <v/>
      </c>
      <c r="N176" s="0" t="str">
        <f aca="false">IF(AND(ISNUMBER('Liste outils'!$E$122),Convertisseur!$C$15&gt;0),IF(ABS('Liste outils'!$E$122-Convertisseur!$C$15)&lt;0.0005,COUNTIFS('Liste outils'!$E$6:$E122,"&gt;"&amp;(Convertisseur!$C$15-0.0005),'Liste outils'!$E$6:$E122,"&lt;"&amp;(Convertisseur!$C$15+0.0005)),""),"")</f>
        <v/>
      </c>
      <c r="O176" s="0" t="str">
        <f aca="false">IF(AND(ISNUMBER('Liste outils'!$E$122),Convertisseur!$C$16&gt;0),IF(ABS('Liste outils'!$E$122-Convertisseur!$C$16)&lt;0.0005,COUNTIFS('Liste outils'!$E$6:$E122,"&gt;"&amp;(Convertisseur!$C$16-0.0005),'Liste outils'!$E$6:$E122,"&lt;"&amp;(Convertisseur!$C$16+0.0005)),""),"")</f>
        <v/>
      </c>
      <c r="P176" s="58" t="n">
        <f aca="false">IF(AND(OR('Recherche outils'!$B$5="Tous",'Recherche outils'!$B$5='Liste outils'!$C$122),OR(TRIM('Recherche outils'!$B$4&amp;"")="",ISNUMBER(SEARCH(TRIM('Recherche outils'!$B$4&amp;""),'Liste outils'!$B$122&amp;" "&amp;'Liste outils'!$C$122&amp;" "&amp;'Liste outils'!$J$122&amp;" "&amp;'Liste outils'!$O$122&amp;" "&amp;'Liste outils'!$P$122&amp;" "&amp;'Liste outils'!$Q$122&amp;" "&amp;'Liste outils'!$AA$122&amp;" "&amp;'Liste outils'!$AB$122&amp;" "&amp;'Liste outils'!$AC$122&amp;" "&amp;'Liste outils'!$T$122))),OR(NOT(ISNUMBER(Calcul!$L$11)),AND(ISNUMBER('Liste outils'!$E$122),ABS('Liste outils'!$E$122-IF(ISNUMBER(Calcul!$L$11),Calcul!$L$11,0))&lt;0.002)),OR(NOT(ISNUMBER(Calcul!$O$11)),AND(ISNUMBER('Liste outils'!$H$122),'Liste outils'!$H$122+0.000001&gt;=IF(ISNUMBER(Calcul!$O$11),Calcul!$O$11,0)))),IF(ISNUMBER('Liste outils'!$E$122),'Liste outils'!$E$122,99)*100000+IF(ISNUMBER('Liste outils'!$H$122),'Liste outils'!$H$122,99)*100+117/1000,"")</f>
        <v>9909900.117</v>
      </c>
    </row>
    <row r="177" customFormat="false" ht="15" hidden="false" customHeight="false" outlineLevel="0" collapsed="false">
      <c r="M177" s="0" t="str">
        <f aca="false">IF(AND(ISNUMBER('Liste outils'!$E$123),Convertisseur!$C$14&gt;0),IF(ABS('Liste outils'!$E$123-Convertisseur!$C$14)&lt;0.0005,COUNTIFS('Liste outils'!$E$6:$E123,"&gt;"&amp;(Convertisseur!$C$14-0.0005),'Liste outils'!$E$6:$E123,"&lt;"&amp;(Convertisseur!$C$14+0.0005)),""),"")</f>
        <v/>
      </c>
      <c r="N177" s="0" t="str">
        <f aca="false">IF(AND(ISNUMBER('Liste outils'!$E$123),Convertisseur!$C$15&gt;0),IF(ABS('Liste outils'!$E$123-Convertisseur!$C$15)&lt;0.0005,COUNTIFS('Liste outils'!$E$6:$E123,"&gt;"&amp;(Convertisseur!$C$15-0.0005),'Liste outils'!$E$6:$E123,"&lt;"&amp;(Convertisseur!$C$15+0.0005)),""),"")</f>
        <v/>
      </c>
      <c r="O177" s="0" t="str">
        <f aca="false">IF(AND(ISNUMBER('Liste outils'!$E$123),Convertisseur!$C$16&gt;0),IF(ABS('Liste outils'!$E$123-Convertisseur!$C$16)&lt;0.0005,COUNTIFS('Liste outils'!$E$6:$E123,"&gt;"&amp;(Convertisseur!$C$16-0.0005),'Liste outils'!$E$6:$E123,"&lt;"&amp;(Convertisseur!$C$16+0.0005)),""),"")</f>
        <v/>
      </c>
      <c r="P177" s="58" t="n">
        <f aca="false">IF(AND(OR('Recherche outils'!$B$5="Tous",'Recherche outils'!$B$5='Liste outils'!$C$123),OR(TRIM('Recherche outils'!$B$4&amp;"")="",ISNUMBER(SEARCH(TRIM('Recherche outils'!$B$4&amp;""),'Liste outils'!$B$123&amp;" "&amp;'Liste outils'!$C$123&amp;" "&amp;'Liste outils'!$J$123&amp;" "&amp;'Liste outils'!$O$123&amp;" "&amp;'Liste outils'!$P$123&amp;" "&amp;'Liste outils'!$Q$123&amp;" "&amp;'Liste outils'!$AA$123&amp;" "&amp;'Liste outils'!$AB$123&amp;" "&amp;'Liste outils'!$AC$123&amp;" "&amp;'Liste outils'!$T$123))),OR(NOT(ISNUMBER(Calcul!$L$11)),AND(ISNUMBER('Liste outils'!$E$123),ABS('Liste outils'!$E$123-IF(ISNUMBER(Calcul!$L$11),Calcul!$L$11,0))&lt;0.002)),OR(NOT(ISNUMBER(Calcul!$O$11)),AND(ISNUMBER('Liste outils'!$H$123),'Liste outils'!$H$123+0.000001&gt;=IF(ISNUMBER(Calcul!$O$11),Calcul!$O$11,0)))),IF(ISNUMBER('Liste outils'!$E$123),'Liste outils'!$E$123,99)*100000+IF(ISNUMBER('Liste outils'!$H$123),'Liste outils'!$H$123,99)*100+118/1000,"")</f>
        <v>9909900.118</v>
      </c>
    </row>
    <row r="178" customFormat="false" ht="15" hidden="false" customHeight="false" outlineLevel="0" collapsed="false">
      <c r="M178" s="0" t="str">
        <f aca="false">IF(AND(ISNUMBER('Liste outils'!$E$124),Convertisseur!$C$14&gt;0),IF(ABS('Liste outils'!$E$124-Convertisseur!$C$14)&lt;0.0005,COUNTIFS('Liste outils'!$E$6:$E124,"&gt;"&amp;(Convertisseur!$C$14-0.0005),'Liste outils'!$E$6:$E124,"&lt;"&amp;(Convertisseur!$C$14+0.0005)),""),"")</f>
        <v/>
      </c>
      <c r="N178" s="0" t="str">
        <f aca="false">IF(AND(ISNUMBER('Liste outils'!$E$124),Convertisseur!$C$15&gt;0),IF(ABS('Liste outils'!$E$124-Convertisseur!$C$15)&lt;0.0005,COUNTIFS('Liste outils'!$E$6:$E124,"&gt;"&amp;(Convertisseur!$C$15-0.0005),'Liste outils'!$E$6:$E124,"&lt;"&amp;(Convertisseur!$C$15+0.0005)),""),"")</f>
        <v/>
      </c>
      <c r="O178" s="0" t="str">
        <f aca="false">IF(AND(ISNUMBER('Liste outils'!$E$124),Convertisseur!$C$16&gt;0),IF(ABS('Liste outils'!$E$124-Convertisseur!$C$16)&lt;0.0005,COUNTIFS('Liste outils'!$E$6:$E124,"&gt;"&amp;(Convertisseur!$C$16-0.0005),'Liste outils'!$E$6:$E124,"&lt;"&amp;(Convertisseur!$C$16+0.0005)),""),"")</f>
        <v/>
      </c>
      <c r="P178" s="58" t="n">
        <f aca="false">IF(AND(OR('Recherche outils'!$B$5="Tous",'Recherche outils'!$B$5='Liste outils'!$C$124),OR(TRIM('Recherche outils'!$B$4&amp;"")="",ISNUMBER(SEARCH(TRIM('Recherche outils'!$B$4&amp;""),'Liste outils'!$B$124&amp;" "&amp;'Liste outils'!$C$124&amp;" "&amp;'Liste outils'!$J$124&amp;" "&amp;'Liste outils'!$O$124&amp;" "&amp;'Liste outils'!$P$124&amp;" "&amp;'Liste outils'!$Q$124&amp;" "&amp;'Liste outils'!$AA$124&amp;" "&amp;'Liste outils'!$AB$124&amp;" "&amp;'Liste outils'!$AC$124&amp;" "&amp;'Liste outils'!$T$124))),OR(NOT(ISNUMBER(Calcul!$L$11)),AND(ISNUMBER('Liste outils'!$E$124),ABS('Liste outils'!$E$124-IF(ISNUMBER(Calcul!$L$11),Calcul!$L$11,0))&lt;0.002)),OR(NOT(ISNUMBER(Calcul!$O$11)),AND(ISNUMBER('Liste outils'!$H$124),'Liste outils'!$H$124+0.000001&gt;=IF(ISNUMBER(Calcul!$O$11),Calcul!$O$11,0)))),IF(ISNUMBER('Liste outils'!$E$124),'Liste outils'!$E$124,99)*100000+IF(ISNUMBER('Liste outils'!$H$124),'Liste outils'!$H$124,99)*100+119/1000,"")</f>
        <v>9909900.119</v>
      </c>
    </row>
    <row r="179" customFormat="false" ht="15" hidden="false" customHeight="false" outlineLevel="0" collapsed="false">
      <c r="M179" s="0" t="str">
        <f aca="false">IF(AND(ISNUMBER('Liste outils'!$E$125),Convertisseur!$C$14&gt;0),IF(ABS('Liste outils'!$E$125-Convertisseur!$C$14)&lt;0.0005,COUNTIFS('Liste outils'!$E$6:$E125,"&gt;"&amp;(Convertisseur!$C$14-0.0005),'Liste outils'!$E$6:$E125,"&lt;"&amp;(Convertisseur!$C$14+0.0005)),""),"")</f>
        <v/>
      </c>
      <c r="N179" s="0" t="str">
        <f aca="false">IF(AND(ISNUMBER('Liste outils'!$E$125),Convertisseur!$C$15&gt;0),IF(ABS('Liste outils'!$E$125-Convertisseur!$C$15)&lt;0.0005,COUNTIFS('Liste outils'!$E$6:$E125,"&gt;"&amp;(Convertisseur!$C$15-0.0005),'Liste outils'!$E$6:$E125,"&lt;"&amp;(Convertisseur!$C$15+0.0005)),""),"")</f>
        <v/>
      </c>
      <c r="O179" s="0" t="str">
        <f aca="false">IF(AND(ISNUMBER('Liste outils'!$E$125),Convertisseur!$C$16&gt;0),IF(ABS('Liste outils'!$E$125-Convertisseur!$C$16)&lt;0.0005,COUNTIFS('Liste outils'!$E$6:$E125,"&gt;"&amp;(Convertisseur!$C$16-0.0005),'Liste outils'!$E$6:$E125,"&lt;"&amp;(Convertisseur!$C$16+0.0005)),""),"")</f>
        <v/>
      </c>
      <c r="P179" s="58" t="n">
        <f aca="false">IF(AND(OR('Recherche outils'!$B$5="Tous",'Recherche outils'!$B$5='Liste outils'!$C$125),OR(TRIM('Recherche outils'!$B$4&amp;"")="",ISNUMBER(SEARCH(TRIM('Recherche outils'!$B$4&amp;""),'Liste outils'!$B$125&amp;" "&amp;'Liste outils'!$C$125&amp;" "&amp;'Liste outils'!$J$125&amp;" "&amp;'Liste outils'!$O$125&amp;" "&amp;'Liste outils'!$P$125&amp;" "&amp;'Liste outils'!$Q$125&amp;" "&amp;'Liste outils'!$AA$125&amp;" "&amp;'Liste outils'!$AB$125&amp;" "&amp;'Liste outils'!$AC$125&amp;" "&amp;'Liste outils'!$T$125))),OR(NOT(ISNUMBER(Calcul!$L$11)),AND(ISNUMBER('Liste outils'!$E$125),ABS('Liste outils'!$E$125-IF(ISNUMBER(Calcul!$L$11),Calcul!$L$11,0))&lt;0.002)),OR(NOT(ISNUMBER(Calcul!$O$11)),AND(ISNUMBER('Liste outils'!$H$125),'Liste outils'!$H$125+0.000001&gt;=IF(ISNUMBER(Calcul!$O$11),Calcul!$O$11,0)))),IF(ISNUMBER('Liste outils'!$E$125),'Liste outils'!$E$125,99)*100000+IF(ISNUMBER('Liste outils'!$H$125),'Liste outils'!$H$125,99)*100+120/1000,"")</f>
        <v>9909900.12</v>
      </c>
    </row>
    <row r="180" customFormat="false" ht="15" hidden="false" customHeight="false" outlineLevel="0" collapsed="false">
      <c r="M180" s="0" t="str">
        <f aca="false">IF(AND(ISNUMBER('Liste outils'!$E$126),Convertisseur!$C$14&gt;0),IF(ABS('Liste outils'!$E$126-Convertisseur!$C$14)&lt;0.0005,COUNTIFS('Liste outils'!$E$6:$E126,"&gt;"&amp;(Convertisseur!$C$14-0.0005),'Liste outils'!$E$6:$E126,"&lt;"&amp;(Convertisseur!$C$14+0.0005)),""),"")</f>
        <v/>
      </c>
      <c r="N180" s="0" t="str">
        <f aca="false">IF(AND(ISNUMBER('Liste outils'!$E$126),Convertisseur!$C$15&gt;0),IF(ABS('Liste outils'!$E$126-Convertisseur!$C$15)&lt;0.0005,COUNTIFS('Liste outils'!$E$6:$E126,"&gt;"&amp;(Convertisseur!$C$15-0.0005),'Liste outils'!$E$6:$E126,"&lt;"&amp;(Convertisseur!$C$15+0.0005)),""),"")</f>
        <v/>
      </c>
      <c r="O180" s="0" t="str">
        <f aca="false">IF(AND(ISNUMBER('Liste outils'!$E$126),Convertisseur!$C$16&gt;0),IF(ABS('Liste outils'!$E$126-Convertisseur!$C$16)&lt;0.0005,COUNTIFS('Liste outils'!$E$6:$E126,"&gt;"&amp;(Convertisseur!$C$16-0.0005),'Liste outils'!$E$6:$E126,"&lt;"&amp;(Convertisseur!$C$16+0.0005)),""),"")</f>
        <v/>
      </c>
      <c r="P180" s="58" t="n">
        <f aca="false">IF(AND(OR('Recherche outils'!$B$5="Tous",'Recherche outils'!$B$5='Liste outils'!$C$126),OR(TRIM('Recherche outils'!$B$4&amp;"")="",ISNUMBER(SEARCH(TRIM('Recherche outils'!$B$4&amp;""),'Liste outils'!$B$126&amp;" "&amp;'Liste outils'!$C$126&amp;" "&amp;'Liste outils'!$J$126&amp;" "&amp;'Liste outils'!$O$126&amp;" "&amp;'Liste outils'!$P$126&amp;" "&amp;'Liste outils'!$Q$126&amp;" "&amp;'Liste outils'!$AA$126&amp;" "&amp;'Liste outils'!$AB$126&amp;" "&amp;'Liste outils'!$AC$126&amp;" "&amp;'Liste outils'!$T$126))),OR(NOT(ISNUMBER(Calcul!$L$11)),AND(ISNUMBER('Liste outils'!$E$126),ABS('Liste outils'!$E$126-IF(ISNUMBER(Calcul!$L$11),Calcul!$L$11,0))&lt;0.002)),OR(NOT(ISNUMBER(Calcul!$O$11)),AND(ISNUMBER('Liste outils'!$H$126),'Liste outils'!$H$126+0.000001&gt;=IF(ISNUMBER(Calcul!$O$11),Calcul!$O$11,0)))),IF(ISNUMBER('Liste outils'!$E$126),'Liste outils'!$E$126,99)*100000+IF(ISNUMBER('Liste outils'!$H$126),'Liste outils'!$H$126,99)*100+121/1000,"")</f>
        <v>9909900.121</v>
      </c>
    </row>
    <row r="181" customFormat="false" ht="15" hidden="false" customHeight="false" outlineLevel="0" collapsed="false">
      <c r="M181" s="0" t="str">
        <f aca="false">IF(AND(ISNUMBER('Liste outils'!$E$127),Convertisseur!$C$14&gt;0),IF(ABS('Liste outils'!$E$127-Convertisseur!$C$14)&lt;0.0005,COUNTIFS('Liste outils'!$E$6:$E127,"&gt;"&amp;(Convertisseur!$C$14-0.0005),'Liste outils'!$E$6:$E127,"&lt;"&amp;(Convertisseur!$C$14+0.0005)),""),"")</f>
        <v/>
      </c>
      <c r="N181" s="0" t="str">
        <f aca="false">IF(AND(ISNUMBER('Liste outils'!$E$127),Convertisseur!$C$15&gt;0),IF(ABS('Liste outils'!$E$127-Convertisseur!$C$15)&lt;0.0005,COUNTIFS('Liste outils'!$E$6:$E127,"&gt;"&amp;(Convertisseur!$C$15-0.0005),'Liste outils'!$E$6:$E127,"&lt;"&amp;(Convertisseur!$C$15+0.0005)),""),"")</f>
        <v/>
      </c>
      <c r="O181" s="0" t="str">
        <f aca="false">IF(AND(ISNUMBER('Liste outils'!$E$127),Convertisseur!$C$16&gt;0),IF(ABS('Liste outils'!$E$127-Convertisseur!$C$16)&lt;0.0005,COUNTIFS('Liste outils'!$E$6:$E127,"&gt;"&amp;(Convertisseur!$C$16-0.0005),'Liste outils'!$E$6:$E127,"&lt;"&amp;(Convertisseur!$C$16+0.0005)),""),"")</f>
        <v/>
      </c>
      <c r="P181" s="58" t="n">
        <f aca="false">IF(AND(OR('Recherche outils'!$B$5="Tous",'Recherche outils'!$B$5='Liste outils'!$C$127),OR(TRIM('Recherche outils'!$B$4&amp;"")="",ISNUMBER(SEARCH(TRIM('Recherche outils'!$B$4&amp;""),'Liste outils'!$B$127&amp;" "&amp;'Liste outils'!$C$127&amp;" "&amp;'Liste outils'!$J$127&amp;" "&amp;'Liste outils'!$O$127&amp;" "&amp;'Liste outils'!$P$127&amp;" "&amp;'Liste outils'!$Q$127&amp;" "&amp;'Liste outils'!$AA$127&amp;" "&amp;'Liste outils'!$AB$127&amp;" "&amp;'Liste outils'!$AC$127&amp;" "&amp;'Liste outils'!$T$127))),OR(NOT(ISNUMBER(Calcul!$L$11)),AND(ISNUMBER('Liste outils'!$E$127),ABS('Liste outils'!$E$127-IF(ISNUMBER(Calcul!$L$11),Calcul!$L$11,0))&lt;0.002)),OR(NOT(ISNUMBER(Calcul!$O$11)),AND(ISNUMBER('Liste outils'!$H$127),'Liste outils'!$H$127+0.000001&gt;=IF(ISNUMBER(Calcul!$O$11),Calcul!$O$11,0)))),IF(ISNUMBER('Liste outils'!$E$127),'Liste outils'!$E$127,99)*100000+IF(ISNUMBER('Liste outils'!$H$127),'Liste outils'!$H$127,99)*100+122/1000,"")</f>
        <v>9909900.122</v>
      </c>
    </row>
    <row r="182" customFormat="false" ht="15" hidden="false" customHeight="false" outlineLevel="0" collapsed="false">
      <c r="M182" s="0" t="str">
        <f aca="false">IF(AND(ISNUMBER('Liste outils'!$E$128),Convertisseur!$C$14&gt;0),IF(ABS('Liste outils'!$E$128-Convertisseur!$C$14)&lt;0.0005,COUNTIFS('Liste outils'!$E$6:$E128,"&gt;"&amp;(Convertisseur!$C$14-0.0005),'Liste outils'!$E$6:$E128,"&lt;"&amp;(Convertisseur!$C$14+0.0005)),""),"")</f>
        <v/>
      </c>
      <c r="N182" s="0" t="str">
        <f aca="false">IF(AND(ISNUMBER('Liste outils'!$E$128),Convertisseur!$C$15&gt;0),IF(ABS('Liste outils'!$E$128-Convertisseur!$C$15)&lt;0.0005,COUNTIFS('Liste outils'!$E$6:$E128,"&gt;"&amp;(Convertisseur!$C$15-0.0005),'Liste outils'!$E$6:$E128,"&lt;"&amp;(Convertisseur!$C$15+0.0005)),""),"")</f>
        <v/>
      </c>
      <c r="O182" s="0" t="str">
        <f aca="false">IF(AND(ISNUMBER('Liste outils'!$E$128),Convertisseur!$C$16&gt;0),IF(ABS('Liste outils'!$E$128-Convertisseur!$C$16)&lt;0.0005,COUNTIFS('Liste outils'!$E$6:$E128,"&gt;"&amp;(Convertisseur!$C$16-0.0005),'Liste outils'!$E$6:$E128,"&lt;"&amp;(Convertisseur!$C$16+0.0005)),""),"")</f>
        <v/>
      </c>
      <c r="P182" s="58" t="n">
        <f aca="false">IF(AND(OR('Recherche outils'!$B$5="Tous",'Recherche outils'!$B$5='Liste outils'!$C$128),OR(TRIM('Recherche outils'!$B$4&amp;"")="",ISNUMBER(SEARCH(TRIM('Recherche outils'!$B$4&amp;""),'Liste outils'!$B$128&amp;" "&amp;'Liste outils'!$C$128&amp;" "&amp;'Liste outils'!$J$128&amp;" "&amp;'Liste outils'!$O$128&amp;" "&amp;'Liste outils'!$P$128&amp;" "&amp;'Liste outils'!$Q$128&amp;" "&amp;'Liste outils'!$AA$128&amp;" "&amp;'Liste outils'!$AB$128&amp;" "&amp;'Liste outils'!$AC$128&amp;" "&amp;'Liste outils'!$T$128))),OR(NOT(ISNUMBER(Calcul!$L$11)),AND(ISNUMBER('Liste outils'!$E$128),ABS('Liste outils'!$E$128-IF(ISNUMBER(Calcul!$L$11),Calcul!$L$11,0))&lt;0.002)),OR(NOT(ISNUMBER(Calcul!$O$11)),AND(ISNUMBER('Liste outils'!$H$128),'Liste outils'!$H$128+0.000001&gt;=IF(ISNUMBER(Calcul!$O$11),Calcul!$O$11,0)))),IF(ISNUMBER('Liste outils'!$E$128),'Liste outils'!$E$128,99)*100000+IF(ISNUMBER('Liste outils'!$H$128),'Liste outils'!$H$128,99)*100+123/1000,"")</f>
        <v>9909900.123</v>
      </c>
    </row>
    <row r="183" customFormat="false" ht="15" hidden="false" customHeight="false" outlineLevel="0" collapsed="false">
      <c r="M183" s="0" t="str">
        <f aca="false">IF(AND(ISNUMBER('Liste outils'!$E$129),Convertisseur!$C$14&gt;0),IF(ABS('Liste outils'!$E$129-Convertisseur!$C$14)&lt;0.0005,COUNTIFS('Liste outils'!$E$6:$E129,"&gt;"&amp;(Convertisseur!$C$14-0.0005),'Liste outils'!$E$6:$E129,"&lt;"&amp;(Convertisseur!$C$14+0.0005)),""),"")</f>
        <v/>
      </c>
      <c r="N183" s="0" t="str">
        <f aca="false">IF(AND(ISNUMBER('Liste outils'!$E$129),Convertisseur!$C$15&gt;0),IF(ABS('Liste outils'!$E$129-Convertisseur!$C$15)&lt;0.0005,COUNTIFS('Liste outils'!$E$6:$E129,"&gt;"&amp;(Convertisseur!$C$15-0.0005),'Liste outils'!$E$6:$E129,"&lt;"&amp;(Convertisseur!$C$15+0.0005)),""),"")</f>
        <v/>
      </c>
      <c r="O183" s="0" t="str">
        <f aca="false">IF(AND(ISNUMBER('Liste outils'!$E$129),Convertisseur!$C$16&gt;0),IF(ABS('Liste outils'!$E$129-Convertisseur!$C$16)&lt;0.0005,COUNTIFS('Liste outils'!$E$6:$E129,"&gt;"&amp;(Convertisseur!$C$16-0.0005),'Liste outils'!$E$6:$E129,"&lt;"&amp;(Convertisseur!$C$16+0.0005)),""),"")</f>
        <v/>
      </c>
      <c r="P183" s="58" t="n">
        <f aca="false">IF(AND(OR('Recherche outils'!$B$5="Tous",'Recherche outils'!$B$5='Liste outils'!$C$129),OR(TRIM('Recherche outils'!$B$4&amp;"")="",ISNUMBER(SEARCH(TRIM('Recherche outils'!$B$4&amp;""),'Liste outils'!$B$129&amp;" "&amp;'Liste outils'!$C$129&amp;" "&amp;'Liste outils'!$J$129&amp;" "&amp;'Liste outils'!$O$129&amp;" "&amp;'Liste outils'!$P$129&amp;" "&amp;'Liste outils'!$Q$129&amp;" "&amp;'Liste outils'!$AA$129&amp;" "&amp;'Liste outils'!$AB$129&amp;" "&amp;'Liste outils'!$AC$129&amp;" "&amp;'Liste outils'!$T$129))),OR(NOT(ISNUMBER(Calcul!$L$11)),AND(ISNUMBER('Liste outils'!$E$129),ABS('Liste outils'!$E$129-IF(ISNUMBER(Calcul!$L$11),Calcul!$L$11,0))&lt;0.002)),OR(NOT(ISNUMBER(Calcul!$O$11)),AND(ISNUMBER('Liste outils'!$H$129),'Liste outils'!$H$129+0.000001&gt;=IF(ISNUMBER(Calcul!$O$11),Calcul!$O$11,0)))),IF(ISNUMBER('Liste outils'!$E$129),'Liste outils'!$E$129,99)*100000+IF(ISNUMBER('Liste outils'!$H$129),'Liste outils'!$H$129,99)*100+124/1000,"")</f>
        <v>9909900.124</v>
      </c>
    </row>
    <row r="184" customFormat="false" ht="15" hidden="false" customHeight="false" outlineLevel="0" collapsed="false">
      <c r="M184" s="0" t="str">
        <f aca="false">IF(AND(ISNUMBER('Liste outils'!$E$130),Convertisseur!$C$14&gt;0),IF(ABS('Liste outils'!$E$130-Convertisseur!$C$14)&lt;0.0005,COUNTIFS('Liste outils'!$E$6:$E130,"&gt;"&amp;(Convertisseur!$C$14-0.0005),'Liste outils'!$E$6:$E130,"&lt;"&amp;(Convertisseur!$C$14+0.0005)),""),"")</f>
        <v/>
      </c>
      <c r="N184" s="0" t="str">
        <f aca="false">IF(AND(ISNUMBER('Liste outils'!$E$130),Convertisseur!$C$15&gt;0),IF(ABS('Liste outils'!$E$130-Convertisseur!$C$15)&lt;0.0005,COUNTIFS('Liste outils'!$E$6:$E130,"&gt;"&amp;(Convertisseur!$C$15-0.0005),'Liste outils'!$E$6:$E130,"&lt;"&amp;(Convertisseur!$C$15+0.0005)),""),"")</f>
        <v/>
      </c>
      <c r="O184" s="0" t="str">
        <f aca="false">IF(AND(ISNUMBER('Liste outils'!$E$130),Convertisseur!$C$16&gt;0),IF(ABS('Liste outils'!$E$130-Convertisseur!$C$16)&lt;0.0005,COUNTIFS('Liste outils'!$E$6:$E130,"&gt;"&amp;(Convertisseur!$C$16-0.0005),'Liste outils'!$E$6:$E130,"&lt;"&amp;(Convertisseur!$C$16+0.0005)),""),"")</f>
        <v/>
      </c>
      <c r="P184" s="58" t="n">
        <f aca="false">IF(AND(OR('Recherche outils'!$B$5="Tous",'Recherche outils'!$B$5='Liste outils'!$C$130),OR(TRIM('Recherche outils'!$B$4&amp;"")="",ISNUMBER(SEARCH(TRIM('Recherche outils'!$B$4&amp;""),'Liste outils'!$B$130&amp;" "&amp;'Liste outils'!$C$130&amp;" "&amp;'Liste outils'!$J$130&amp;" "&amp;'Liste outils'!$O$130&amp;" "&amp;'Liste outils'!$P$130&amp;" "&amp;'Liste outils'!$Q$130&amp;" "&amp;'Liste outils'!$AA$130&amp;" "&amp;'Liste outils'!$AB$130&amp;" "&amp;'Liste outils'!$AC$130&amp;" "&amp;'Liste outils'!$T$130))),OR(NOT(ISNUMBER(Calcul!$L$11)),AND(ISNUMBER('Liste outils'!$E$130),ABS('Liste outils'!$E$130-IF(ISNUMBER(Calcul!$L$11),Calcul!$L$11,0))&lt;0.002)),OR(NOT(ISNUMBER(Calcul!$O$11)),AND(ISNUMBER('Liste outils'!$H$130),'Liste outils'!$H$130+0.000001&gt;=IF(ISNUMBER(Calcul!$O$11),Calcul!$O$11,0)))),IF(ISNUMBER('Liste outils'!$E$130),'Liste outils'!$E$130,99)*100000+IF(ISNUMBER('Liste outils'!$H$130),'Liste outils'!$H$130,99)*100+125/1000,"")</f>
        <v>9909900.125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2026-10-28T20:01:54Z</dcterms:created>
  <dc:creator>openpyxl</dc:creator>
  <dc:description/>
  <dc:language>en-US</dc:language>
  <cp:lastModifiedBy/>
  <dcterms:modified xsi:type="dcterms:W3CDTF">2026-10-28T20:01:54Z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